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026"/>
  <workbookPr defaultThemeVersion="166925"/>
  <bookViews>
    <workbookView xWindow="-120" yWindow="-120" windowWidth="20730" windowHeight="11160" activeTab="1"/>
  </bookViews>
  <sheets>
    <sheet name="Lists" sheetId="2" r:id="rId1"/>
    <sheet name="IPM2026" sheetId="1" r:id="rId2"/>
  </sheets>
  <definedNames>
    <definedName name="_xlnm._FilterDatabase" localSheetId="0" hidden="1">Lists!$C$1:$C$160</definedName>
    <definedName name="_xlnm._FilterDatabase" localSheetId="1" hidden="1">'IPM2026'!$A$1:$S$1338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<sst xmlns="http://schemas.openxmlformats.org/spreadsheetml/2006/main" uniqueCount="245" count="245">
  <si>
    <t>Date</t>
  </si>
  <si>
    <t>Gh.</t>
  </si>
  <si>
    <t>Vulve</t>
  </si>
  <si>
    <t>First Line</t>
  </si>
  <si>
    <t>End line</t>
  </si>
  <si>
    <t>Pesticide Name</t>
  </si>
  <si>
    <t xml:space="preserve">Active ingrediant </t>
  </si>
  <si>
    <t>No. Of Lines</t>
  </si>
  <si>
    <t>Dose/100L(cc Or g)</t>
  </si>
  <si>
    <t xml:space="preserve">Total Qty (kg OrL) </t>
  </si>
  <si>
    <t>Unit</t>
  </si>
  <si>
    <t>PHI</t>
  </si>
  <si>
    <t>Method</t>
  </si>
  <si>
    <t>Allawed Harvest date</t>
  </si>
  <si>
    <t>Sector</t>
  </si>
  <si>
    <t>GH.</t>
  </si>
  <si>
    <t>Mystic 20% WP</t>
  </si>
  <si>
    <t>Prev-AM</t>
  </si>
  <si>
    <t>Vegetable Oil</t>
  </si>
  <si>
    <t>Pestside Name</t>
  </si>
  <si>
    <t>Active Ingridiant</t>
  </si>
  <si>
    <t>Egysect 5%EC</t>
  </si>
  <si>
    <t>Lambda-Cyhalothrin</t>
  </si>
  <si>
    <t>Roxy 10% EC</t>
  </si>
  <si>
    <t>Biomectin 5% EC</t>
  </si>
  <si>
    <t>Thrips</t>
  </si>
  <si>
    <t>Pleo 50% EC</t>
  </si>
  <si>
    <t>Exirel 10% SE</t>
  </si>
  <si>
    <t>Hydrogen peroxide</t>
  </si>
  <si>
    <t>Hydrogen peroxide (H2O2)</t>
  </si>
  <si>
    <t>Ran Way 25% SC</t>
  </si>
  <si>
    <t>Buprofezin</t>
  </si>
  <si>
    <t>Speedo 5.7% WG</t>
  </si>
  <si>
    <t>Provy 10%EC</t>
  </si>
  <si>
    <t>Pyriproxyfen</t>
  </si>
  <si>
    <t>Aphids</t>
  </si>
  <si>
    <t>Bellis 38% WG</t>
  </si>
  <si>
    <t>Protecto 9.4 % WP</t>
  </si>
  <si>
    <t>Bacillus thuringiensis kurstaki</t>
  </si>
  <si>
    <t>Serenade 1.34% SC</t>
  </si>
  <si>
    <t xml:space="preserve">Bacillus Subtilis </t>
  </si>
  <si>
    <t xml:space="preserve">G-Oil </t>
  </si>
  <si>
    <t>Biossiana 2.5%</t>
  </si>
  <si>
    <t xml:space="preserve">Beauveria bassiana </t>
  </si>
  <si>
    <t>Safe Oil</t>
  </si>
  <si>
    <t>Azadirachtin</t>
  </si>
  <si>
    <t>Oikos</t>
  </si>
  <si>
    <t>Delta Star 10% EC</t>
  </si>
  <si>
    <t>A</t>
  </si>
  <si>
    <t>Water Vol.(L)</t>
  </si>
  <si>
    <t>B</t>
  </si>
  <si>
    <t>Status</t>
  </si>
  <si>
    <t>Spray</t>
  </si>
  <si>
    <t>L</t>
  </si>
  <si>
    <t>Deltamethrin</t>
  </si>
  <si>
    <t>Equo 10% EC</t>
  </si>
  <si>
    <t>Castello 10% EC</t>
  </si>
  <si>
    <t>Applaud 25%SC</t>
  </si>
  <si>
    <t>Sivanto Prime 20% SL</t>
  </si>
  <si>
    <t>Velum Prime 40% SC</t>
  </si>
  <si>
    <t>Benevia 10% OD</t>
  </si>
  <si>
    <t>Cantus 50% WG</t>
  </si>
  <si>
    <t>Azoxam 44.7% SC</t>
  </si>
  <si>
    <t>Mosiplan 20% SP</t>
  </si>
  <si>
    <t>King Chem 5.7% WG</t>
  </si>
  <si>
    <t>Trolls 25% EW</t>
  </si>
  <si>
    <t>Tomaga 10.1%  EC</t>
  </si>
  <si>
    <t>Magnifico 5% EC</t>
  </si>
  <si>
    <t>Nativo 75% WG</t>
  </si>
  <si>
    <t>Morduretic 20%  EC</t>
  </si>
  <si>
    <t>Moonsensation 50%  SC</t>
  </si>
  <si>
    <t>Pyriproxyfen [10%]</t>
  </si>
  <si>
    <t>Etoxazole [10%]</t>
  </si>
  <si>
    <t>Novaluron [10%]</t>
  </si>
  <si>
    <t>Lufenuron [10%]</t>
  </si>
  <si>
    <t>Pymetrozine [50%]</t>
  </si>
  <si>
    <t>Flonicamid (p) [50%]</t>
  </si>
  <si>
    <t>Imidacloprid [35%]</t>
  </si>
  <si>
    <t>Flupyradifurone [20%]</t>
  </si>
  <si>
    <t>Lambda-Cyhalothrin [2.5%]</t>
  </si>
  <si>
    <t>Copper hydroxide [53.8%]</t>
  </si>
  <si>
    <t>Penconazole [10%]</t>
  </si>
  <si>
    <t>Spirotetramat (p) [10%]</t>
  </si>
  <si>
    <t>Milbemectin A3 [1%]</t>
  </si>
  <si>
    <t>Trifloxystrobin [50%]</t>
  </si>
  <si>
    <t>Trichoderma asperellum (strain T34) [12%]</t>
  </si>
  <si>
    <t>Spinosad (p) [24%]</t>
  </si>
  <si>
    <t>Pyrimethanil [20%]</t>
  </si>
  <si>
    <t>Myclobutanil [12.5%]</t>
  </si>
  <si>
    <t>Methoxyfenozide [24%]</t>
  </si>
  <si>
    <t>Indoxacarb (p) [15%]</t>
  </si>
  <si>
    <t>Hexythiazox [5%]</t>
  </si>
  <si>
    <t>Fosetyl-aluminium [80%]</t>
  </si>
  <si>
    <t>Fluopyram [40%]</t>
  </si>
  <si>
    <t>Fenpyroximate [5%]</t>
  </si>
  <si>
    <t>Fenpyrazamine [50%]</t>
  </si>
  <si>
    <t>Fenhexamid [50%]</t>
  </si>
  <si>
    <t>Difenoconazole [25%]</t>
  </si>
  <si>
    <t>Cyantraniliprole [10%]</t>
  </si>
  <si>
    <t>Chlorantraniliprole [20%]</t>
  </si>
  <si>
    <t>Captan [80%]</t>
  </si>
  <si>
    <t>Captan [50%]</t>
  </si>
  <si>
    <t>Bifenazate [24%]</t>
  </si>
  <si>
    <t>Bacillus thurigiensis [6.4%]</t>
  </si>
  <si>
    <t>Acetamiprid [20%]</t>
  </si>
  <si>
    <t>Tebuconazole 25%</t>
  </si>
  <si>
    <t>MRL EU</t>
  </si>
  <si>
    <t>MRL GB</t>
  </si>
  <si>
    <t/>
  </si>
  <si>
    <t>7.0000</t>
  </si>
  <si>
    <t>0.0020;0.0100</t>
  </si>
  <si>
    <t>0.0100;0.8000</t>
  </si>
  <si>
    <t>0.8000</t>
  </si>
  <si>
    <t>1.5000</t>
  </si>
  <si>
    <t>4.0000</t>
  </si>
  <si>
    <t>0.0100;5.0000</t>
  </si>
  <si>
    <t>0.0300;1.5000</t>
  </si>
  <si>
    <t>1.5000;0.9000</t>
  </si>
  <si>
    <t>7.0000;1.5000</t>
  </si>
  <si>
    <t>NA</t>
  </si>
  <si>
    <t>4.0000;0.4000</t>
  </si>
  <si>
    <t>7.0000;8.0000</t>
  </si>
  <si>
    <t>4.0000;15.0000</t>
  </si>
  <si>
    <t>0.0100;4.0000</t>
  </si>
  <si>
    <t>8.0000;4.0000</t>
  </si>
  <si>
    <t>10.0000;5.0000</t>
  </si>
  <si>
    <t>20.0000</t>
  </si>
  <si>
    <t>5.0000;0.0100</t>
  </si>
  <si>
    <t>4.0000;5.0000</t>
  </si>
  <si>
    <t>Grendo 10% EC</t>
  </si>
  <si>
    <t>Red Spider Mites</t>
  </si>
  <si>
    <t>RSM</t>
  </si>
  <si>
    <t>Cotton Leaf Worms and Thrips</t>
  </si>
  <si>
    <t>caterpillars</t>
  </si>
  <si>
    <t>Leaf Hoppers</t>
  </si>
  <si>
    <t>Thrips and Aphids</t>
  </si>
  <si>
    <t>White Fly</t>
  </si>
  <si>
    <t>Aphids, blueberry maggots</t>
  </si>
  <si>
    <t>Powdery Mildew and Fruit rots</t>
  </si>
  <si>
    <t>after Transplant</t>
  </si>
  <si>
    <t>Powdery Mildew</t>
  </si>
  <si>
    <t>Leaf spots</t>
  </si>
  <si>
    <t>Fruit rots</t>
  </si>
  <si>
    <t>Root Rots</t>
  </si>
  <si>
    <t>Nematodes</t>
  </si>
  <si>
    <t>Powdery Mildew and Leaf Spots</t>
  </si>
  <si>
    <t>Brotrytis</t>
  </si>
  <si>
    <t>RSM -Insecticide</t>
  </si>
  <si>
    <t>Mealy Bugas</t>
  </si>
  <si>
    <t>Baroque10% SC</t>
  </si>
  <si>
    <t>Emamectin Benzoate [5.7%]</t>
  </si>
  <si>
    <t>Penny 9% SC</t>
  </si>
  <si>
    <t>Emamectin Benzoate [1.5%]&amp;Indoxacarb [7.5%]</t>
  </si>
  <si>
    <t>Prituo 50% WG</t>
  </si>
  <si>
    <t>Chess 50% WG</t>
  </si>
  <si>
    <t>Chinook 35% SC</t>
  </si>
  <si>
    <t>Buprofezin [25%]</t>
  </si>
  <si>
    <t>Karate 2.5% EC</t>
  </si>
  <si>
    <t>Blue Jet 85% WG</t>
  </si>
  <si>
    <t>Copper Oxychloride [85%]</t>
  </si>
  <si>
    <t>Metalaxyl-M [2.5%]&amp;Copper oxychloride [69%]</t>
  </si>
  <si>
    <t>Ridomil Gold Plus 71.5% WP</t>
  </si>
  <si>
    <t>Kocide (2000) 53.8 % DF</t>
  </si>
  <si>
    <t>Mystic Pro 50% EC</t>
  </si>
  <si>
    <t>Prochloraz (p) [30%]&amp;Tebuconazole [20%]</t>
  </si>
  <si>
    <t>Topas (100) 10% EC</t>
  </si>
  <si>
    <t>Tebuconazole [15%]&amp;Kresoxim-Methyl [15%]</t>
  </si>
  <si>
    <t>Fluopyram [20%]&amp;Tebuconazole [20%]</t>
  </si>
  <si>
    <t>Fabric 30% SC</t>
  </si>
  <si>
    <t>Luna Experience 40% SC</t>
  </si>
  <si>
    <t>Movento 10% SC</t>
  </si>
  <si>
    <t>Milbecknok 1% EC</t>
  </si>
  <si>
    <t>Flint 50% WG</t>
  </si>
  <si>
    <t>Biocontrol T34 12% WP</t>
  </si>
  <si>
    <t>Bio Zeid 2.5% WP</t>
  </si>
  <si>
    <t>Trichoderma Album [2.5%]</t>
  </si>
  <si>
    <t>Tracer 24% SC</t>
  </si>
  <si>
    <t>Uphold 36% SC</t>
  </si>
  <si>
    <t>Methoxyfenozide [30%]&amp;Spinetoram [6%]</t>
  </si>
  <si>
    <t>Radiant 12% SC</t>
  </si>
  <si>
    <t>Spinetoram [12%]</t>
  </si>
  <si>
    <t>Luna Tranquility 50% SC</t>
  </si>
  <si>
    <t>Fluopyram [11.3%]&amp;Pyrimethanil [33.8%]</t>
  </si>
  <si>
    <t>Pyraclostrobin [12.8%]&amp;Boscalid [25.2%]</t>
  </si>
  <si>
    <t>Systhane 12.5% EC</t>
  </si>
  <si>
    <t>Runner 24% SC</t>
  </si>
  <si>
    <t>Maxim Xl 3.5% FS</t>
  </si>
  <si>
    <t>Metalaxyl-M [1%]; Fludioxonil [2.5%]</t>
  </si>
  <si>
    <t>Avaunt 15% EC</t>
  </si>
  <si>
    <t>Procar 5% EC</t>
  </si>
  <si>
    <t>Aliette 80% WP</t>
  </si>
  <si>
    <t>Switch 62.5% WG</t>
  </si>
  <si>
    <t>Cyprodinil [37.5%]&amp; Fludioxonil [25%]</t>
  </si>
  <si>
    <t>Ortus Super 5% EC</t>
  </si>
  <si>
    <t>Ortus 5% SC</t>
  </si>
  <si>
    <t>Prolectus 50% WG</t>
  </si>
  <si>
    <t>Teldor 50% SC</t>
  </si>
  <si>
    <t>Benzafast 2.3% EC</t>
  </si>
  <si>
    <t>Emamectin Benoate (p) [2.3%]</t>
  </si>
  <si>
    <t>Score 25% EC</t>
  </si>
  <si>
    <t>Coragen 20% SC</t>
  </si>
  <si>
    <t>Alpha Captan 80% WG</t>
  </si>
  <si>
    <t>Captan Ultra 50% WP</t>
  </si>
  <si>
    <t>Cortiano 50% WP</t>
  </si>
  <si>
    <t>Boscalid [50%]</t>
  </si>
  <si>
    <t>Baldario 10% EW</t>
  </si>
  <si>
    <t>Bifenthrin [10%]</t>
  </si>
  <si>
    <t>Solo 24% SC</t>
  </si>
  <si>
    <t>Dipel Df 6.4% WG</t>
  </si>
  <si>
    <t>Bio Arc 6% WP</t>
  </si>
  <si>
    <t>Bacillus megaterium var. phosphaticum [6%]</t>
  </si>
  <si>
    <t>Azoxystrobin [32.2%]&amp; Metalaxyl-M [12.5%]</t>
  </si>
  <si>
    <t>Amistar Top 32.5% SC</t>
  </si>
  <si>
    <t>Difenoconazole [12.5%]&amp;Azoxystrobin [20%]</t>
  </si>
  <si>
    <t>Beticol 20% SL</t>
  </si>
  <si>
    <t>Nasr Actin 1.8% EC</t>
  </si>
  <si>
    <t>Abamectin [1.8%]</t>
  </si>
  <si>
    <t>Provy 10% EC</t>
  </si>
  <si>
    <t>Emamectin Benzoate (p) [5.7%]</t>
  </si>
  <si>
    <t>Cut Down 50% WG</t>
  </si>
  <si>
    <t>Lambda-Cyhalothrin [5%]</t>
  </si>
  <si>
    <t>Dolf-X 5% EC</t>
  </si>
  <si>
    <t>Abamectin [5%]</t>
  </si>
  <si>
    <t>Bifenthrin [8.8]&amp;Abamectin [1.3]</t>
  </si>
  <si>
    <t>Pyridalyl [50%]</t>
  </si>
  <si>
    <t>Trifloxystrobin [25%]&amp;Tebuconazole [50%]</t>
  </si>
  <si>
    <t>Emazen 9.1% WG</t>
  </si>
  <si>
    <t>Emamectin Benzoate(p) [9.1%]</t>
  </si>
  <si>
    <t>Morden 20% WP</t>
  </si>
  <si>
    <t>Pyridaben [20%]</t>
  </si>
  <si>
    <t>Binfenthrin [10%]&amp;pyriproxyfen [10%]</t>
  </si>
  <si>
    <t>Trifloxystrobin [25%]&amp;Fluopyram  [25%]</t>
  </si>
  <si>
    <t>Target Pest</t>
  </si>
  <si>
    <t>On-Label</t>
  </si>
  <si>
    <t>A&amp;B</t>
  </si>
  <si>
    <t>Uint</t>
  </si>
  <si>
    <t>PPL Sheet</t>
  </si>
  <si>
    <t>Off-Label</t>
  </si>
  <si>
    <t>Completion%</t>
  </si>
  <si>
    <t>Kg</t>
  </si>
  <si>
    <t>Injection</t>
  </si>
  <si>
    <t>Cymax 5% EC</t>
  </si>
  <si>
    <t>Lufenuron [5%]</t>
  </si>
  <si>
    <t>mo</t>
  </si>
  <si>
    <r>
      <rPr>
        <sz val="11"/>
        <color rgb="FF000000"/>
        <rFont val="Calibri"/>
      </rPr>
      <t>Trolls 25% EW</t>
    </r>
  </si>
</sst>
</file>

<file path=xl/styles.xml><?xml version="1.0" encoding="utf-8"?>
<styleSheet xmlns="http://schemas.openxmlformats.org/spreadsheetml/2006/main">
  <numFmts count="5">
    <numFmt numFmtId="0" formatCode="General"/>
    <numFmt numFmtId="2" formatCode="0.00"/>
    <numFmt numFmtId="164" formatCode="0.000"/>
    <numFmt numFmtId="14" formatCode="dd/mm/yy"/>
    <numFmt numFmtId="10" formatCode="0.00%"/>
  </numFmts>
  <fonts count="4">
    <font>
      <name val="Calibri"/>
      <sz val="11"/>
    </font>
    <font>
      <name val="Calibri"/>
      <sz val="11"/>
      <color rgb="FF000000"/>
    </font>
    <font>
      <name val="Calibri"/>
      <sz val="11"/>
      <color rgb="FFFF0000"/>
    </font>
    <font>
      <name val="Calibri"/>
      <sz val="11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57171"/>
        <bgColor indexed="64"/>
      </patternFill>
    </fill>
    <fill>
      <patternFill patternType="none"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2" fontId="1" fillId="0" borderId="0" xfId="0" applyNumberFormat="1" applyAlignment="1">
      <alignment vertical="bottom"/>
    </xf>
    <xf numFmtId="0" fontId="1" fillId="0" borderId="1" xfId="0" applyBorder="1" applyAlignment="1">
      <alignment vertical="bottom"/>
    </xf>
    <xf numFmtId="2" fontId="1" fillId="0" borderId="2" xfId="0" applyNumberFormat="1" applyBorder="1" applyAlignment="1">
      <alignment vertical="bottom"/>
    </xf>
    <xf numFmtId="2" fontId="1" fillId="0" borderId="3" xfId="0" applyNumberFormat="1" applyBorder="1" applyAlignment="1">
      <alignment vertical="bottom"/>
    </xf>
    <xf numFmtId="0" fontId="2" fillId="0" borderId="0" xfId="0" applyFont="1" applyAlignment="1">
      <alignment vertical="bottom"/>
    </xf>
    <xf numFmtId="0" fontId="1" fillId="2" borderId="0" xfId="0" applyFill="1" applyAlignment="1">
      <alignment vertical="bottom"/>
    </xf>
    <xf numFmtId="0" fontId="1" fillId="0" borderId="4" xfId="0" applyBorder="1" applyAlignment="1">
      <alignment vertical="bottom"/>
    </xf>
    <xf numFmtId="2" fontId="1" fillId="0" borderId="5" xfId="0" applyNumberFormat="1" applyBorder="1" applyAlignment="1">
      <alignment vertical="bottom"/>
    </xf>
    <xf numFmtId="0" fontId="1" fillId="3" borderId="0" xfId="0" applyFill="1" applyAlignment="1">
      <alignment vertical="bottom"/>
    </xf>
    <xf numFmtId="164" fontId="1" fillId="0" borderId="0" xfId="0" applyNumberFormat="1" applyAlignment="1">
      <alignment vertical="bottom"/>
    </xf>
    <xf numFmtId="2" fontId="1" fillId="0" borderId="0" xfId="0" applyNumberFormat="1" applyAlignment="1">
      <alignment horizontal="right" vertical="bottom"/>
    </xf>
    <xf numFmtId="0" fontId="1" fillId="4" borderId="0" xfId="0" applyFill="1" applyAlignment="1">
      <alignment vertical="bottom"/>
    </xf>
    <xf numFmtId="0" fontId="1" fillId="5" borderId="0" xfId="0" applyFill="1" applyAlignment="1">
      <alignment vertical="bottom"/>
    </xf>
    <xf numFmtId="164" fontId="1" fillId="0" borderId="0" xfId="0" applyNumberFormat="1" applyAlignment="1">
      <alignment horizontal="right" vertical="bottom"/>
    </xf>
    <xf numFmtId="0" fontId="1" fillId="0" borderId="6" xfId="0" applyBorder="1" applyAlignment="1">
      <alignment vertical="bottom"/>
    </xf>
    <xf numFmtId="2" fontId="1" fillId="0" borderId="7" xfId="0" applyNumberFormat="1" applyBorder="1" applyAlignment="1">
      <alignment vertical="bottom"/>
    </xf>
    <xf numFmtId="2" fontId="1" fillId="0" borderId="8" xfId="0" applyNumberFormat="1" applyBorder="1" applyAlignment="1">
      <alignment vertical="bottom"/>
    </xf>
    <xf numFmtId="14" fontId="1" fillId="0" borderId="0" xfId="0" applyNumberFormat="1" applyAlignment="1">
      <alignment vertical="bottom"/>
      <protection locked="0" hidden="0"/>
    </xf>
    <xf numFmtId="0" fontId="1" fillId="0" borderId="0" xfId="0" applyAlignment="1">
      <alignment vertical="bottom"/>
      <protection locked="0" hidden="0"/>
    </xf>
    <xf numFmtId="10" fontId="1" fillId="0" borderId="0" xfId="0" applyNumberFormat="1" applyAlignment="1">
      <alignment vertical="bottom"/>
    </xf>
    <xf numFmtId="14" fontId="1" fillId="0" borderId="0" xfId="0" applyNumberFormat="1" applyAlignment="1">
      <alignment vertical="bottom"/>
    </xf>
    <xf numFmtId="14" fontId="1" fillId="6" borderId="0" xfId="0" applyNumberFormat="1" applyFill="1" applyAlignment="1">
      <alignment vertical="bottom"/>
      <protection locked="0" hidden="0"/>
    </xf>
    <xf numFmtId="0" fontId="1" fillId="6" borderId="0" xfId="0" applyFill="1" applyAlignment="1">
      <alignment vertical="bottom"/>
      <protection locked="0" hidden="0"/>
    </xf>
    <xf numFmtId="0" fontId="1" fillId="6" borderId="0" xfId="0" applyFill="1" applyAlignment="1">
      <alignment vertical="bottom"/>
    </xf>
    <xf numFmtId="10" fontId="1" fillId="6" borderId="0" xfId="0" applyNumberFormat="1" applyFill="1" applyAlignment="1">
      <alignment vertical="bottom"/>
    </xf>
    <xf numFmtId="14" fontId="1" fillId="6" borderId="0" xfId="0" applyNumberFormat="1" applyFill="1" applyAlignment="1">
      <alignment vertical="bottom"/>
    </xf>
    <xf numFmtId="0" fontId="0" fillId="0" borderId="0" xfId="0">
      <alignment vertical="center"/>
      <protection locked="0" hidden="0"/>
    </xf>
    <xf numFmtId="0" fontId="3" fillId="7" borderId="0" xfId="0" applyNumberFormat="1" applyFont="1" applyFill="1" applyBorder="1" applyAlignment="1">
      <alignment horizontal="left" vertical="bottom"/>
    </xf>
  </cellXfs>
  <cellStyles count="1">
    <cellStyle name="常规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60"/>
  <sheetViews>
    <sheetView workbookViewId="0" topLeftCell="A73">
      <selection activeCell="C95" sqref="C95"/>
    </sheetView>
  </sheetViews>
  <sheetFormatPr defaultRowHeight="15.0" defaultColWidth="10"/>
  <cols>
    <col min="3" max="3" customWidth="1" width="29.0" style="0"/>
    <col min="4" max="4" customWidth="1" bestFit="1" width="40.710938" style="0"/>
    <col min="5" max="5" customWidth="0" width="9.0" style="1"/>
    <col min="6" max="6" customWidth="1" bestFit="1" width="12.425781" style="0"/>
    <col min="7" max="7" customWidth="1" bestFit="1" width="13.425781" style="0"/>
    <col min="8" max="8" customWidth="1" bestFit="1" width="26.425781" style="0"/>
    <col min="13" max="13" customWidth="1" bestFit="1" width="28.425781" style="0"/>
    <col min="14" max="14" customWidth="1" bestFit="1" width="11.285156" style="0"/>
    <col min="16" max="16" customWidth="1" width="13.425781" style="0"/>
    <col min="17" max="17" customWidth="1" width="14.140625" style="0"/>
    <col min="18" max="18" customWidth="1" bestFit="1" width="8.425781" style="1"/>
    <col min="19" max="19" customWidth="1" bestFit="1" width="11.5703125" style="1"/>
    <col min="20" max="21" customWidth="1" bestFit="1" width="13.425781" style="1"/>
  </cols>
  <sheetData>
    <row r="1" spans="8:8">
      <c r="A1" t="s">
        <v>14</v>
      </c>
      <c r="B1" t="s">
        <v>15</v>
      </c>
      <c r="C1" t="s">
        <v>19</v>
      </c>
      <c r="D1" t="s">
        <v>20</v>
      </c>
      <c r="E1" s="1" t="s">
        <v>11</v>
      </c>
      <c r="F1" t="s">
        <v>106</v>
      </c>
      <c r="G1" t="s">
        <v>107</v>
      </c>
      <c r="H1" t="s">
        <v>232</v>
      </c>
      <c r="I1" t="s">
        <v>51</v>
      </c>
      <c r="J1" t="s">
        <v>235</v>
      </c>
      <c r="Q1" s="2" t="s">
        <v>48</v>
      </c>
      <c r="R1" s="3">
        <v>80.0</v>
      </c>
      <c r="S1" s="4">
        <v>1.0</v>
      </c>
    </row>
    <row r="2" spans="8:8">
      <c r="A2">
        <v>1.0</v>
      </c>
      <c r="B2">
        <v>1.0</v>
      </c>
      <c r="C2" s="5" t="s">
        <v>21</v>
      </c>
      <c r="D2" s="5" t="s">
        <v>22</v>
      </c>
      <c r="E2" s="1">
        <v>15.0</v>
      </c>
      <c r="I2" s="6" t="s">
        <v>237</v>
      </c>
      <c r="Q2" s="7" t="s">
        <v>50</v>
      </c>
      <c r="R2" s="1">
        <v>80.0</v>
      </c>
      <c r="S2" s="8">
        <v>2.0</v>
      </c>
    </row>
    <row r="3" spans="8:8">
      <c r="A3">
        <v>1.0</v>
      </c>
      <c r="B3">
        <v>2.0</v>
      </c>
      <c r="C3" s="5" t="s">
        <v>46</v>
      </c>
      <c r="D3" s="5" t="s">
        <v>45</v>
      </c>
      <c r="E3" s="1">
        <v>0.0</v>
      </c>
      <c r="I3" s="6" t="s">
        <v>237</v>
      </c>
      <c r="Q3" s="7" t="s">
        <v>234</v>
      </c>
      <c r="R3" s="1">
        <v>160.0</v>
      </c>
      <c r="S3" s="8">
        <v>3.0</v>
      </c>
    </row>
    <row r="4" spans="8:8">
      <c r="A4">
        <v>1.0</v>
      </c>
      <c r="B4">
        <v>3.0</v>
      </c>
      <c r="C4" s="5" t="s">
        <v>47</v>
      </c>
      <c r="D4" s="5" t="s">
        <v>54</v>
      </c>
      <c r="E4" s="1">
        <v>10.0</v>
      </c>
      <c r="I4" s="6" t="s">
        <v>237</v>
      </c>
      <c r="J4" t="s">
        <v>53</v>
      </c>
      <c r="Q4" s="7"/>
      <c r="S4" s="8">
        <v>4.0</v>
      </c>
    </row>
    <row r="5" spans="8:8">
      <c r="A5">
        <v>1.0</v>
      </c>
      <c r="B5">
        <v>4.0</v>
      </c>
      <c r="C5" s="5"/>
      <c r="D5" s="5"/>
      <c r="I5" s="6" t="s">
        <v>237</v>
      </c>
      <c r="Q5" s="7"/>
      <c r="S5" s="8">
        <v>5.0</v>
      </c>
    </row>
    <row r="6" spans="8:8">
      <c r="A6">
        <v>1.0</v>
      </c>
      <c r="B6">
        <v>5.0</v>
      </c>
      <c r="C6" s="5" t="s">
        <v>17</v>
      </c>
      <c r="D6" s="5" t="s">
        <v>18</v>
      </c>
      <c r="E6" s="1">
        <v>0.0</v>
      </c>
      <c r="I6" s="6" t="s">
        <v>237</v>
      </c>
      <c r="Q6" s="7"/>
      <c r="S6" s="8">
        <v>6.0</v>
      </c>
    </row>
    <row r="7" spans="8:8">
      <c r="A7">
        <v>1.0</v>
      </c>
      <c r="B7">
        <v>6.0</v>
      </c>
      <c r="C7" s="5" t="s">
        <v>42</v>
      </c>
      <c r="D7" s="5" t="s">
        <v>43</v>
      </c>
      <c r="E7" s="1">
        <v>0.0</v>
      </c>
      <c r="I7" s="6" t="s">
        <v>237</v>
      </c>
      <c r="Q7" s="7"/>
      <c r="S7" s="8">
        <v>7.0</v>
      </c>
    </row>
    <row r="8" spans="8:8">
      <c r="A8">
        <v>1.0</v>
      </c>
      <c r="B8">
        <v>7.0</v>
      </c>
      <c r="C8" s="5" t="s">
        <v>44</v>
      </c>
      <c r="D8" s="5" t="s">
        <v>45</v>
      </c>
      <c r="E8" s="1">
        <v>0.0</v>
      </c>
      <c r="I8" s="6" t="s">
        <v>237</v>
      </c>
      <c r="Q8" s="7"/>
      <c r="S8" s="8">
        <v>8.0</v>
      </c>
    </row>
    <row r="9" spans="8:8">
      <c r="A9">
        <v>1.0</v>
      </c>
      <c r="B9">
        <v>8.0</v>
      </c>
      <c r="C9" s="5" t="s">
        <v>37</v>
      </c>
      <c r="D9" s="5" t="s">
        <v>38</v>
      </c>
      <c r="E9" s="1">
        <v>0.0</v>
      </c>
      <c r="I9" s="6" t="s">
        <v>237</v>
      </c>
      <c r="Q9" s="7"/>
      <c r="S9" s="8">
        <v>9.0</v>
      </c>
    </row>
    <row r="10" spans="8:8">
      <c r="A10">
        <v>1.0</v>
      </c>
      <c r="B10">
        <v>9.0</v>
      </c>
      <c r="C10" s="5" t="s">
        <v>39</v>
      </c>
      <c r="D10" s="5" t="s">
        <v>40</v>
      </c>
      <c r="E10" s="1">
        <v>0.0</v>
      </c>
      <c r="I10" s="6" t="s">
        <v>237</v>
      </c>
      <c r="Q10" s="7"/>
      <c r="S10" s="8">
        <v>10.0</v>
      </c>
    </row>
    <row r="11" spans="8:8">
      <c r="A11">
        <v>1.0</v>
      </c>
      <c r="B11">
        <v>10.0</v>
      </c>
      <c r="C11" s="5" t="s">
        <v>41</v>
      </c>
      <c r="D11" s="5" t="s">
        <v>18</v>
      </c>
      <c r="E11" s="1">
        <v>0.0</v>
      </c>
      <c r="I11" s="6" t="s">
        <v>237</v>
      </c>
      <c r="Q11" s="7"/>
      <c r="S11" s="8">
        <v>11.0</v>
      </c>
    </row>
    <row r="12" spans="8:8">
      <c r="A12">
        <v>2.0</v>
      </c>
      <c r="B12">
        <v>11.0</v>
      </c>
      <c r="C12" s="5" t="s">
        <v>33</v>
      </c>
      <c r="D12" s="5" t="s">
        <v>34</v>
      </c>
      <c r="I12" s="6" t="s">
        <v>237</v>
      </c>
      <c r="Q12" s="7"/>
      <c r="S12" s="8">
        <v>12.0</v>
      </c>
    </row>
    <row r="13" spans="8:8">
      <c r="A13">
        <v>2.0</v>
      </c>
      <c r="B13">
        <v>12.0</v>
      </c>
      <c r="C13" s="5" t="s">
        <v>28</v>
      </c>
      <c r="D13" s="5" t="s">
        <v>29</v>
      </c>
      <c r="E13" s="1">
        <v>0.0</v>
      </c>
      <c r="I13" s="6" t="s">
        <v>237</v>
      </c>
      <c r="Q13" s="7"/>
      <c r="S13" s="8">
        <v>13.0</v>
      </c>
    </row>
    <row r="14" spans="8:8">
      <c r="A14">
        <v>2.0</v>
      </c>
      <c r="B14">
        <v>13.0</v>
      </c>
      <c r="C14" s="5" t="s">
        <v>28</v>
      </c>
      <c r="D14" s="5" t="s">
        <v>29</v>
      </c>
      <c r="E14" s="1">
        <v>0.0</v>
      </c>
      <c r="I14" s="6" t="s">
        <v>237</v>
      </c>
      <c r="Q14" s="7"/>
      <c r="S14" s="8">
        <v>14.0</v>
      </c>
    </row>
    <row r="15" spans="8:8">
      <c r="A15">
        <v>2.0</v>
      </c>
      <c r="B15">
        <v>14.0</v>
      </c>
      <c r="C15" s="5" t="s">
        <v>30</v>
      </c>
      <c r="D15" s="5" t="s">
        <v>31</v>
      </c>
      <c r="I15" s="6" t="s">
        <v>237</v>
      </c>
      <c r="Q15" s="7"/>
      <c r="S15" s="8">
        <v>15.0</v>
      </c>
    </row>
    <row r="16" spans="8:8">
      <c r="A16">
        <v>2.0</v>
      </c>
      <c r="B16">
        <v>16.0</v>
      </c>
      <c r="C16" t="s">
        <v>129</v>
      </c>
      <c r="D16" t="s">
        <v>71</v>
      </c>
      <c r="E16" s="1">
        <v>10.0</v>
      </c>
      <c r="F16" s="1">
        <v>0.01</v>
      </c>
      <c r="G16" s="1">
        <v>0.05</v>
      </c>
      <c r="H16" t="s">
        <v>130</v>
      </c>
      <c r="I16" s="9" t="s">
        <v>233</v>
      </c>
      <c r="Q16" s="7"/>
      <c r="S16" s="8">
        <v>16.0</v>
      </c>
    </row>
    <row r="17" spans="8:8">
      <c r="A17">
        <v>2.0</v>
      </c>
      <c r="B17">
        <v>17.0</v>
      </c>
      <c r="C17" t="s">
        <v>149</v>
      </c>
      <c r="D17" t="s">
        <v>72</v>
      </c>
      <c r="E17" s="1">
        <v>10.0</v>
      </c>
      <c r="F17" s="1">
        <v>0.01</v>
      </c>
      <c r="G17" s="1">
        <v>0.01</v>
      </c>
      <c r="H17" t="s">
        <v>131</v>
      </c>
      <c r="I17" s="9" t="s">
        <v>233</v>
      </c>
      <c r="Q17" s="7"/>
      <c r="S17" s="8">
        <v>17.0</v>
      </c>
    </row>
    <row r="18" spans="8:8">
      <c r="A18">
        <v>2.0</v>
      </c>
      <c r="B18">
        <v>18.0</v>
      </c>
      <c r="C18" t="s">
        <v>55</v>
      </c>
      <c r="D18" t="s">
        <v>73</v>
      </c>
      <c r="E18" s="1">
        <v>7.0</v>
      </c>
      <c r="F18" s="1">
        <v>0.01</v>
      </c>
      <c r="G18" s="1">
        <v>7.0</v>
      </c>
      <c r="H18" t="s">
        <v>132</v>
      </c>
      <c r="I18" s="9" t="s">
        <v>233</v>
      </c>
      <c r="Q18" s="7"/>
      <c r="S18" s="8">
        <v>18.0</v>
      </c>
    </row>
    <row r="19" spans="8:8">
      <c r="A19">
        <v>2.0</v>
      </c>
      <c r="B19">
        <v>19.0</v>
      </c>
      <c r="C19" t="s">
        <v>32</v>
      </c>
      <c r="D19" t="s">
        <v>150</v>
      </c>
      <c r="E19" s="1">
        <v>7.0</v>
      </c>
      <c r="F19" s="10">
        <v>0.002</v>
      </c>
      <c r="G19" s="1">
        <v>0.01</v>
      </c>
      <c r="H19" t="s">
        <v>132</v>
      </c>
      <c r="I19" s="9" t="s">
        <v>233</v>
      </c>
      <c r="Q19" s="7"/>
      <c r="S19" s="8">
        <v>19.0</v>
      </c>
    </row>
    <row r="20" spans="8:8">
      <c r="A20">
        <v>2.0</v>
      </c>
      <c r="B20">
        <v>20.0</v>
      </c>
      <c r="C20" t="s">
        <v>56</v>
      </c>
      <c r="D20" t="s">
        <v>74</v>
      </c>
      <c r="E20" s="1">
        <v>4.0</v>
      </c>
      <c r="F20" s="1">
        <v>0.01</v>
      </c>
      <c r="G20" s="1">
        <v>0.01</v>
      </c>
      <c r="H20" t="s">
        <v>132</v>
      </c>
      <c r="I20" s="9" t="s">
        <v>233</v>
      </c>
      <c r="Q20" s="7"/>
      <c r="S20" s="8">
        <v>20.0</v>
      </c>
    </row>
    <row r="21" spans="8:8">
      <c r="A21">
        <v>3.0</v>
      </c>
      <c r="B21">
        <v>21.0</v>
      </c>
      <c r="C21" t="s">
        <v>151</v>
      </c>
      <c r="D21" t="s">
        <v>152</v>
      </c>
      <c r="E21" s="1">
        <v>7.0</v>
      </c>
      <c r="F21" t="s">
        <v>110</v>
      </c>
      <c r="G21" t="s">
        <v>111</v>
      </c>
      <c r="H21" t="s">
        <v>133</v>
      </c>
      <c r="I21" s="9" t="s">
        <v>233</v>
      </c>
      <c r="Q21" s="7"/>
      <c r="S21" s="8">
        <v>21.0</v>
      </c>
    </row>
    <row r="22" spans="8:8">
      <c r="A22">
        <v>3.0</v>
      </c>
      <c r="B22">
        <v>22.0</v>
      </c>
      <c r="C22" t="s">
        <v>153</v>
      </c>
      <c r="D22" t="s">
        <v>76</v>
      </c>
      <c r="E22" s="1">
        <v>7.0</v>
      </c>
      <c r="F22" s="1">
        <v>0.8</v>
      </c>
      <c r="G22" s="1">
        <v>1.5</v>
      </c>
      <c r="H22" t="s">
        <v>35</v>
      </c>
      <c r="I22" s="9" t="s">
        <v>233</v>
      </c>
      <c r="Q22" s="7"/>
      <c r="S22" s="8">
        <v>22.0</v>
      </c>
    </row>
    <row r="23" spans="8:8">
      <c r="A23">
        <v>3.0</v>
      </c>
      <c r="B23">
        <v>23.0</v>
      </c>
      <c r="C23" t="s">
        <v>154</v>
      </c>
      <c r="D23" t="s">
        <v>75</v>
      </c>
      <c r="E23" s="1">
        <v>21.0</v>
      </c>
      <c r="F23" s="1">
        <v>0.02</v>
      </c>
      <c r="G23" s="1">
        <v>0.02</v>
      </c>
      <c r="H23" t="s">
        <v>134</v>
      </c>
      <c r="I23" s="9" t="s">
        <v>233</v>
      </c>
      <c r="Q23" s="7"/>
      <c r="S23" s="8">
        <v>23.0</v>
      </c>
    </row>
    <row r="24" spans="8:8">
      <c r="A24">
        <v>3.0</v>
      </c>
      <c r="B24">
        <v>24.0</v>
      </c>
      <c r="C24" t="s">
        <v>155</v>
      </c>
      <c r="D24" t="s">
        <v>77</v>
      </c>
      <c r="E24" s="1">
        <v>5.0</v>
      </c>
      <c r="F24" s="11">
        <v>5.0</v>
      </c>
      <c r="G24" s="11">
        <v>5.0</v>
      </c>
      <c r="H24" t="s">
        <v>135</v>
      </c>
      <c r="I24" s="9" t="s">
        <v>233</v>
      </c>
      <c r="Q24" s="7"/>
      <c r="S24" s="8">
        <v>24.0</v>
      </c>
    </row>
    <row r="25" spans="8:8">
      <c r="A25">
        <v>3.0</v>
      </c>
      <c r="B25">
        <v>25.0</v>
      </c>
      <c r="C25" t="s">
        <v>57</v>
      </c>
      <c r="D25" t="s">
        <v>156</v>
      </c>
      <c r="E25" s="11">
        <v>7.0</v>
      </c>
      <c r="F25" s="11">
        <v>0.01</v>
      </c>
      <c r="G25" s="11">
        <v>0.01</v>
      </c>
      <c r="H25" t="s">
        <v>136</v>
      </c>
      <c r="I25" s="9" t="s">
        <v>233</v>
      </c>
      <c r="Q25" s="7"/>
      <c r="S25" s="8">
        <v>25.0</v>
      </c>
    </row>
    <row r="26" spans="8:8">
      <c r="A26">
        <v>3.0</v>
      </c>
      <c r="B26">
        <v>26.0</v>
      </c>
      <c r="E26" s="11"/>
      <c r="F26" s="11"/>
      <c r="G26" s="11"/>
      <c r="I26" s="9" t="s">
        <v>233</v>
      </c>
      <c r="Q26" s="7"/>
      <c r="S26" s="8">
        <v>26.0</v>
      </c>
    </row>
    <row r="27" spans="8:8">
      <c r="A27">
        <v>3.0</v>
      </c>
      <c r="B27">
        <v>27.0</v>
      </c>
      <c r="C27" t="s">
        <v>58</v>
      </c>
      <c r="D27" t="s">
        <v>78</v>
      </c>
      <c r="E27" s="11">
        <v>3.0</v>
      </c>
      <c r="F27" s="11">
        <v>4.0</v>
      </c>
      <c r="G27" s="11">
        <v>0.01</v>
      </c>
      <c r="H27" t="s">
        <v>137</v>
      </c>
      <c r="I27" s="9" t="s">
        <v>233</v>
      </c>
      <c r="Q27" s="7"/>
      <c r="S27" s="8">
        <v>27.0</v>
      </c>
    </row>
    <row r="28" spans="8:8">
      <c r="A28">
        <v>3.0</v>
      </c>
      <c r="B28">
        <v>28.0</v>
      </c>
      <c r="C28" t="s">
        <v>157</v>
      </c>
      <c r="D28" t="s">
        <v>79</v>
      </c>
      <c r="E28" s="11">
        <v>5.0</v>
      </c>
      <c r="F28" s="11">
        <v>0.2</v>
      </c>
      <c r="G28" s="11">
        <v>0.2</v>
      </c>
      <c r="H28" t="s">
        <v>132</v>
      </c>
      <c r="I28" s="9" t="s">
        <v>233</v>
      </c>
      <c r="Q28" s="7"/>
      <c r="S28" s="8">
        <v>28.0</v>
      </c>
    </row>
    <row r="29" spans="8:8">
      <c r="A29">
        <v>3.0</v>
      </c>
      <c r="B29">
        <v>29.0</v>
      </c>
      <c r="C29" t="s">
        <v>158</v>
      </c>
      <c r="D29" t="s">
        <v>159</v>
      </c>
      <c r="E29" s="11">
        <v>5.0</v>
      </c>
      <c r="F29" s="11">
        <v>5.0</v>
      </c>
      <c r="G29" s="11">
        <v>5.0</v>
      </c>
      <c r="H29" t="s">
        <v>138</v>
      </c>
      <c r="I29" s="9" t="s">
        <v>233</v>
      </c>
      <c r="Q29" s="7"/>
      <c r="S29" s="8">
        <v>29.0</v>
      </c>
    </row>
    <row r="30" spans="8:8">
      <c r="A30">
        <v>3.0</v>
      </c>
      <c r="B30">
        <v>30.0</v>
      </c>
      <c r="C30" t="s">
        <v>161</v>
      </c>
      <c r="D30" t="s">
        <v>160</v>
      </c>
      <c r="E30" s="11">
        <v>30.0</v>
      </c>
      <c r="F30" s="11" t="s">
        <v>115</v>
      </c>
      <c r="G30" s="11" t="s">
        <v>115</v>
      </c>
      <c r="H30" t="s">
        <v>139</v>
      </c>
      <c r="I30" s="9" t="s">
        <v>233</v>
      </c>
      <c r="Q30" s="7"/>
      <c r="S30" s="8">
        <v>30.0</v>
      </c>
    </row>
    <row r="31" spans="8:8">
      <c r="A31" s="12">
        <v>5.0</v>
      </c>
      <c r="B31">
        <v>32.0</v>
      </c>
      <c r="C31" t="s">
        <v>162</v>
      </c>
      <c r="D31" t="s">
        <v>80</v>
      </c>
      <c r="E31" s="11">
        <v>2.0</v>
      </c>
      <c r="F31" s="11">
        <v>5.0</v>
      </c>
      <c r="G31" s="11">
        <v>5.0</v>
      </c>
      <c r="H31" t="s">
        <v>140</v>
      </c>
      <c r="I31" s="9" t="s">
        <v>233</v>
      </c>
      <c r="Q31" s="7"/>
      <c r="S31" s="8">
        <v>31.0</v>
      </c>
    </row>
    <row r="32" spans="8:8">
      <c r="A32" s="12">
        <v>5.0</v>
      </c>
      <c r="B32">
        <v>33.0</v>
      </c>
      <c r="C32" t="s">
        <v>163</v>
      </c>
      <c r="D32" t="s">
        <v>164</v>
      </c>
      <c r="E32" s="11">
        <v>10.0</v>
      </c>
      <c r="F32" s="11" t="s">
        <v>116</v>
      </c>
      <c r="G32" s="11" t="s">
        <v>116</v>
      </c>
      <c r="H32" t="s">
        <v>140</v>
      </c>
      <c r="I32" s="9" t="s">
        <v>233</v>
      </c>
      <c r="Q32" s="7"/>
      <c r="S32" s="8">
        <v>32.0</v>
      </c>
    </row>
    <row r="33" spans="8:8">
      <c r="A33" s="12">
        <v>5.0</v>
      </c>
      <c r="B33">
        <v>34.0</v>
      </c>
      <c r="C33" t="s">
        <v>165</v>
      </c>
      <c r="D33" t="s">
        <v>81</v>
      </c>
      <c r="E33" s="11">
        <v>3.0</v>
      </c>
      <c r="F33" s="11">
        <v>0.01</v>
      </c>
      <c r="G33" s="11">
        <v>0.01</v>
      </c>
      <c r="H33" t="s">
        <v>140</v>
      </c>
      <c r="I33" s="9" t="s">
        <v>233</v>
      </c>
      <c r="Q33" s="7"/>
      <c r="S33" s="8">
        <v>33.0</v>
      </c>
    </row>
    <row r="34" spans="8:8">
      <c r="A34" s="12">
        <v>5.0</v>
      </c>
      <c r="B34">
        <v>37.0</v>
      </c>
      <c r="C34" t="s">
        <v>168</v>
      </c>
      <c r="D34" t="s">
        <v>166</v>
      </c>
      <c r="E34" s="11">
        <v>5.0</v>
      </c>
      <c r="F34" s="11" t="s">
        <v>117</v>
      </c>
      <c r="G34" s="11" t="s">
        <v>117</v>
      </c>
      <c r="H34" t="s">
        <v>141</v>
      </c>
      <c r="I34" s="9" t="s">
        <v>233</v>
      </c>
      <c r="Q34" s="7"/>
      <c r="S34" s="8">
        <v>34.0</v>
      </c>
    </row>
    <row r="35" spans="8:8">
      <c r="A35" s="12">
        <v>5.0</v>
      </c>
      <c r="B35">
        <v>38.0</v>
      </c>
      <c r="C35" t="s">
        <v>169</v>
      </c>
      <c r="D35" t="s">
        <v>167</v>
      </c>
      <c r="E35" s="11">
        <v>3.0</v>
      </c>
      <c r="F35" s="11" t="s">
        <v>118</v>
      </c>
      <c r="G35" s="11" t="s">
        <v>118</v>
      </c>
      <c r="H35" t="s">
        <v>140</v>
      </c>
      <c r="I35" s="9" t="s">
        <v>233</v>
      </c>
      <c r="Q35" s="7"/>
      <c r="S35" s="8">
        <v>35.0</v>
      </c>
    </row>
    <row r="36" spans="8:8">
      <c r="A36" s="12">
        <v>5.0</v>
      </c>
      <c r="B36">
        <v>39.0</v>
      </c>
      <c r="C36" t="s">
        <v>170</v>
      </c>
      <c r="D36" t="s">
        <v>82</v>
      </c>
      <c r="E36" s="11">
        <v>10.0</v>
      </c>
      <c r="F36" s="11">
        <v>1.5</v>
      </c>
      <c r="G36" s="11">
        <v>0.7</v>
      </c>
      <c r="H36" t="s">
        <v>25</v>
      </c>
      <c r="I36" s="9" t="s">
        <v>233</v>
      </c>
      <c r="Q36" s="7"/>
      <c r="S36" s="8">
        <v>36.0</v>
      </c>
    </row>
    <row r="37" spans="8:8">
      <c r="A37" s="12">
        <v>5.0</v>
      </c>
      <c r="B37">
        <v>42.0</v>
      </c>
      <c r="C37" t="s">
        <v>171</v>
      </c>
      <c r="D37" t="s">
        <v>83</v>
      </c>
      <c r="E37" s="11">
        <v>7.0</v>
      </c>
      <c r="F37" s="11">
        <v>0.02</v>
      </c>
      <c r="G37" s="11">
        <v>0.02</v>
      </c>
      <c r="H37" t="s">
        <v>131</v>
      </c>
      <c r="I37" s="9" t="s">
        <v>233</v>
      </c>
      <c r="Q37" s="7"/>
      <c r="S37" s="8">
        <v>37.0</v>
      </c>
    </row>
    <row r="38" spans="8:8">
      <c r="A38" s="12">
        <v>5.0</v>
      </c>
      <c r="B38">
        <v>43.0</v>
      </c>
      <c r="C38" t="s">
        <v>172</v>
      </c>
      <c r="D38" t="s">
        <v>84</v>
      </c>
      <c r="E38" s="11">
        <v>5.0</v>
      </c>
      <c r="F38" s="11">
        <v>3.0</v>
      </c>
      <c r="G38" s="11">
        <v>3.0</v>
      </c>
      <c r="H38" t="s">
        <v>140</v>
      </c>
      <c r="I38" s="9" t="s">
        <v>233</v>
      </c>
      <c r="Q38" s="7"/>
      <c r="S38" s="8">
        <v>38.0</v>
      </c>
    </row>
    <row r="39" spans="8:8">
      <c r="A39" s="12">
        <v>5.0</v>
      </c>
      <c r="B39">
        <v>44.0</v>
      </c>
      <c r="C39" t="s">
        <v>173</v>
      </c>
      <c r="D39" t="s">
        <v>85</v>
      </c>
      <c r="E39" s="11">
        <v>0.0</v>
      </c>
      <c r="F39" s="11">
        <v>0.01</v>
      </c>
      <c r="G39" s="11" t="s">
        <v>119</v>
      </c>
      <c r="H39" t="s">
        <v>142</v>
      </c>
      <c r="I39" s="9" t="s">
        <v>233</v>
      </c>
      <c r="Q39" s="7"/>
      <c r="S39" s="8">
        <v>39.0</v>
      </c>
    </row>
    <row r="40" spans="8:8">
      <c r="A40" s="13">
        <v>4.0</v>
      </c>
      <c r="B40">
        <v>46.0</v>
      </c>
      <c r="C40" t="s">
        <v>174</v>
      </c>
      <c r="D40" t="s">
        <v>175</v>
      </c>
      <c r="E40" s="11">
        <v>0.0</v>
      </c>
      <c r="F40" s="11">
        <v>0.01</v>
      </c>
      <c r="G40" s="11">
        <v>0.01</v>
      </c>
      <c r="H40" t="s">
        <v>140</v>
      </c>
      <c r="I40" s="9" t="s">
        <v>233</v>
      </c>
      <c r="Q40" s="7"/>
      <c r="S40" s="8">
        <v>40.0</v>
      </c>
    </row>
    <row r="41" spans="8:8">
      <c r="A41" s="13">
        <v>4.0</v>
      </c>
      <c r="B41">
        <v>47.0</v>
      </c>
      <c r="C41" t="s">
        <v>176</v>
      </c>
      <c r="D41" t="s">
        <v>86</v>
      </c>
      <c r="E41" s="11">
        <v>4.0</v>
      </c>
      <c r="F41" s="11">
        <v>1.5</v>
      </c>
      <c r="G41" s="11">
        <v>1.5</v>
      </c>
      <c r="H41" t="s">
        <v>132</v>
      </c>
      <c r="I41" s="9" t="s">
        <v>233</v>
      </c>
      <c r="Q41" s="7"/>
      <c r="S41" s="8">
        <v>41.0</v>
      </c>
    </row>
    <row r="42" spans="8:8">
      <c r="A42" s="13">
        <v>4.0</v>
      </c>
      <c r="B42">
        <v>51.0</v>
      </c>
      <c r="C42" t="s">
        <v>177</v>
      </c>
      <c r="D42" t="s">
        <v>178</v>
      </c>
      <c r="E42" s="11">
        <v>7.0</v>
      </c>
      <c r="F42" s="11" t="s">
        <v>120</v>
      </c>
      <c r="G42" s="11" t="s">
        <v>120</v>
      </c>
      <c r="H42" t="s">
        <v>132</v>
      </c>
      <c r="I42" s="9" t="s">
        <v>233</v>
      </c>
      <c r="Q42" s="7"/>
      <c r="S42" s="8">
        <v>42.0</v>
      </c>
    </row>
    <row r="43" spans="8:8">
      <c r="A43" s="13">
        <v>4.0</v>
      </c>
      <c r="B43">
        <v>52.0</v>
      </c>
      <c r="C43" t="s">
        <v>179</v>
      </c>
      <c r="D43" t="s">
        <v>180</v>
      </c>
      <c r="E43" s="11">
        <v>5.0</v>
      </c>
      <c r="F43" s="11">
        <v>0.4</v>
      </c>
      <c r="G43" s="11">
        <v>0.4</v>
      </c>
      <c r="H43" t="s">
        <v>132</v>
      </c>
      <c r="I43" s="9" t="s">
        <v>233</v>
      </c>
      <c r="J43" t="s">
        <v>53</v>
      </c>
      <c r="Q43" s="7"/>
      <c r="S43" s="8">
        <v>43.0</v>
      </c>
    </row>
    <row r="44" spans="8:8">
      <c r="A44" s="13">
        <v>4.0</v>
      </c>
      <c r="B44">
        <v>56.0</v>
      </c>
      <c r="C44" t="s">
        <v>181</v>
      </c>
      <c r="D44" t="s">
        <v>182</v>
      </c>
      <c r="E44" s="11">
        <v>7.0</v>
      </c>
      <c r="F44" s="11" t="s">
        <v>121</v>
      </c>
      <c r="G44" s="11" t="s">
        <v>121</v>
      </c>
      <c r="H44" t="s">
        <v>142</v>
      </c>
      <c r="I44" s="9" t="s">
        <v>233</v>
      </c>
      <c r="Q44" s="7"/>
      <c r="S44" s="8">
        <v>44.0</v>
      </c>
    </row>
    <row r="45" spans="8:8">
      <c r="A45" s="13">
        <v>4.0</v>
      </c>
      <c r="B45">
        <v>57.0</v>
      </c>
      <c r="C45" t="s">
        <v>16</v>
      </c>
      <c r="D45" t="s">
        <v>87</v>
      </c>
      <c r="E45" s="11">
        <v>5.0</v>
      </c>
      <c r="F45" s="11">
        <v>8.0</v>
      </c>
      <c r="G45" s="11">
        <v>8.0</v>
      </c>
      <c r="H45" t="s">
        <v>138</v>
      </c>
      <c r="I45" s="9" t="s">
        <v>233</v>
      </c>
      <c r="Q45" s="7"/>
      <c r="S45" s="8">
        <v>45.0</v>
      </c>
    </row>
    <row r="46" spans="8:8">
      <c r="A46" s="13">
        <v>4.0</v>
      </c>
      <c r="B46">
        <v>58.0</v>
      </c>
      <c r="C46" t="s">
        <v>36</v>
      </c>
      <c r="D46" t="s">
        <v>183</v>
      </c>
      <c r="E46" s="11">
        <v>7.0</v>
      </c>
      <c r="F46" s="11" t="s">
        <v>122</v>
      </c>
      <c r="G46" s="11" t="s">
        <v>122</v>
      </c>
      <c r="H46" t="s">
        <v>138</v>
      </c>
      <c r="I46" s="9" t="s">
        <v>233</v>
      </c>
      <c r="Q46" s="7"/>
      <c r="S46" s="8">
        <v>46.0</v>
      </c>
    </row>
    <row r="47" spans="8:8">
      <c r="A47" s="13">
        <v>4.0</v>
      </c>
      <c r="B47">
        <v>59.0</v>
      </c>
      <c r="C47" t="s">
        <v>184</v>
      </c>
      <c r="D47" t="s">
        <v>88</v>
      </c>
      <c r="E47" s="11">
        <v>5.0</v>
      </c>
      <c r="F47" s="11">
        <v>0.01</v>
      </c>
      <c r="G47" s="11">
        <v>0.02</v>
      </c>
      <c r="H47" t="s">
        <v>140</v>
      </c>
      <c r="I47" s="9" t="s">
        <v>233</v>
      </c>
      <c r="Q47" s="7"/>
      <c r="S47" s="8">
        <v>47.0</v>
      </c>
    </row>
    <row r="48" spans="8:8">
      <c r="A48" s="13">
        <v>4.0</v>
      </c>
      <c r="B48">
        <v>61.0</v>
      </c>
      <c r="C48" t="s">
        <v>185</v>
      </c>
      <c r="D48" t="s">
        <v>89</v>
      </c>
      <c r="E48" s="11">
        <v>5.0</v>
      </c>
      <c r="F48" s="11">
        <v>4.0</v>
      </c>
      <c r="G48" s="11">
        <v>4.0</v>
      </c>
      <c r="H48" t="s">
        <v>132</v>
      </c>
      <c r="I48" s="9" t="s">
        <v>233</v>
      </c>
      <c r="Q48" s="7"/>
      <c r="S48" s="8">
        <v>48.0</v>
      </c>
    </row>
    <row r="49" spans="8:8">
      <c r="A49" s="13">
        <v>4.0</v>
      </c>
      <c r="B49">
        <v>62.0</v>
      </c>
      <c r="C49" t="s">
        <v>186</v>
      </c>
      <c r="D49" t="s">
        <v>187</v>
      </c>
      <c r="E49" s="11">
        <v>7.0</v>
      </c>
      <c r="F49" s="11" t="s">
        <v>123</v>
      </c>
      <c r="G49" s="11" t="s">
        <v>115</v>
      </c>
      <c r="H49" t="s">
        <v>143</v>
      </c>
      <c r="I49" s="9" t="s">
        <v>233</v>
      </c>
      <c r="Q49" s="7"/>
      <c r="S49" s="8">
        <v>49.0</v>
      </c>
    </row>
    <row r="50" spans="8:8">
      <c r="A50" s="13">
        <v>4.0</v>
      </c>
      <c r="B50">
        <v>63.0</v>
      </c>
      <c r="C50" t="s">
        <v>188</v>
      </c>
      <c r="D50" t="s">
        <v>90</v>
      </c>
      <c r="E50" s="11">
        <v>7.0</v>
      </c>
      <c r="F50" s="11">
        <v>0.01</v>
      </c>
      <c r="G50" s="11">
        <v>0.8</v>
      </c>
      <c r="H50" t="s">
        <v>131</v>
      </c>
      <c r="I50" s="9" t="s">
        <v>233</v>
      </c>
      <c r="Q50" s="7"/>
      <c r="S50" s="8">
        <v>50.0</v>
      </c>
    </row>
    <row r="51" spans="8:8">
      <c r="A51" s="13">
        <v>4.0</v>
      </c>
      <c r="B51">
        <v>64.0</v>
      </c>
      <c r="C51" t="s">
        <v>189</v>
      </c>
      <c r="D51" t="s">
        <v>91</v>
      </c>
      <c r="E51" s="11">
        <v>5.0</v>
      </c>
      <c r="F51" s="11">
        <v>0.01</v>
      </c>
      <c r="G51" s="11">
        <v>0.5</v>
      </c>
      <c r="H51" t="s">
        <v>131</v>
      </c>
      <c r="I51" s="9" t="s">
        <v>233</v>
      </c>
      <c r="Q51" s="7"/>
      <c r="S51" s="8">
        <v>51.0</v>
      </c>
    </row>
    <row r="52" spans="8:8">
      <c r="A52" s="13">
        <v>4.0</v>
      </c>
      <c r="B52">
        <v>53.0</v>
      </c>
      <c r="C52" t="s">
        <v>190</v>
      </c>
      <c r="D52" t="s">
        <v>92</v>
      </c>
      <c r="E52" s="11">
        <v>3.0</v>
      </c>
      <c r="F52" s="11">
        <v>200.0</v>
      </c>
      <c r="G52" s="11">
        <v>80.0</v>
      </c>
      <c r="H52" t="s">
        <v>143</v>
      </c>
      <c r="I52" s="9" t="s">
        <v>233</v>
      </c>
      <c r="Q52" s="7"/>
      <c r="S52" s="8">
        <v>52.0</v>
      </c>
    </row>
    <row r="53" spans="8:8">
      <c r="A53" s="13">
        <v>4.0</v>
      </c>
      <c r="B53">
        <v>48.0</v>
      </c>
      <c r="C53" t="s">
        <v>59</v>
      </c>
      <c r="D53" t="s">
        <v>93</v>
      </c>
      <c r="E53" s="11">
        <v>7.0</v>
      </c>
      <c r="F53" s="11">
        <v>7.0</v>
      </c>
      <c r="G53" s="11" t="s">
        <v>109</v>
      </c>
      <c r="H53" t="s">
        <v>144</v>
      </c>
      <c r="I53" s="9" t="s">
        <v>233</v>
      </c>
      <c r="Q53" s="7"/>
      <c r="S53" s="8">
        <v>53.0</v>
      </c>
    </row>
    <row r="54" spans="8:8">
      <c r="C54" t="s">
        <v>191</v>
      </c>
      <c r="D54" t="s">
        <v>192</v>
      </c>
      <c r="E54" s="11">
        <v>3.0</v>
      </c>
      <c r="F54" s="11" t="s">
        <v>124</v>
      </c>
      <c r="G54" s="11" t="s">
        <v>125</v>
      </c>
      <c r="H54" t="s">
        <v>142</v>
      </c>
      <c r="I54" s="9" t="s">
        <v>233</v>
      </c>
      <c r="Q54" s="7"/>
      <c r="S54" s="8">
        <v>54.0</v>
      </c>
    </row>
    <row r="55" spans="8:8">
      <c r="C55" t="s">
        <v>193</v>
      </c>
      <c r="D55" t="s">
        <v>94</v>
      </c>
      <c r="E55" s="11">
        <v>5.0</v>
      </c>
      <c r="F55" s="11">
        <v>0.4</v>
      </c>
      <c r="G55" s="11">
        <v>2.0</v>
      </c>
      <c r="H55" t="s">
        <v>131</v>
      </c>
      <c r="I55" s="9" t="s">
        <v>233</v>
      </c>
      <c r="Q55" s="7"/>
      <c r="S55" s="8">
        <v>55.0</v>
      </c>
    </row>
    <row r="56" spans="8:8">
      <c r="C56" t="s">
        <v>194</v>
      </c>
      <c r="D56" t="s">
        <v>94</v>
      </c>
      <c r="E56" s="11">
        <v>5.0</v>
      </c>
      <c r="F56" s="11">
        <v>0.4</v>
      </c>
      <c r="G56" s="11">
        <v>2.0</v>
      </c>
      <c r="H56" t="s">
        <v>131</v>
      </c>
      <c r="I56" s="9" t="s">
        <v>233</v>
      </c>
      <c r="Q56" s="7"/>
      <c r="S56" s="8">
        <v>56.0</v>
      </c>
    </row>
    <row r="57" spans="8:8">
      <c r="C57" t="s">
        <v>195</v>
      </c>
      <c r="D57" t="s">
        <v>95</v>
      </c>
      <c r="E57" s="11">
        <v>3.0</v>
      </c>
      <c r="F57" s="11">
        <v>4.0</v>
      </c>
      <c r="G57" s="11">
        <v>4.0</v>
      </c>
      <c r="H57" t="s">
        <v>138</v>
      </c>
      <c r="I57" s="9" t="s">
        <v>233</v>
      </c>
      <c r="Q57" s="7"/>
      <c r="S57" s="8">
        <v>57.0</v>
      </c>
    </row>
    <row r="58" spans="8:8">
      <c r="C58" t="s">
        <v>196</v>
      </c>
      <c r="D58" t="s">
        <v>96</v>
      </c>
      <c r="E58" s="11">
        <v>5.0</v>
      </c>
      <c r="F58" s="11">
        <v>20.0</v>
      </c>
      <c r="G58" s="11" t="s">
        <v>126</v>
      </c>
      <c r="H58" t="s">
        <v>138</v>
      </c>
      <c r="I58" s="9" t="s">
        <v>233</v>
      </c>
      <c r="Q58" s="7"/>
      <c r="S58" s="8">
        <v>58.0</v>
      </c>
    </row>
    <row r="59" spans="8:8">
      <c r="C59" t="s">
        <v>197</v>
      </c>
      <c r="D59" t="s">
        <v>198</v>
      </c>
      <c r="E59" s="11">
        <v>7.0</v>
      </c>
      <c r="F59" s="11">
        <v>0.002</v>
      </c>
      <c r="G59" s="11">
        <v>0.01</v>
      </c>
      <c r="H59" t="s">
        <v>132</v>
      </c>
      <c r="I59" s="9" t="s">
        <v>233</v>
      </c>
      <c r="Q59" s="7"/>
      <c r="S59" s="8">
        <v>59.0</v>
      </c>
    </row>
    <row r="60" spans="8:8">
      <c r="C60" t="s">
        <v>199</v>
      </c>
      <c r="D60" t="s">
        <v>97</v>
      </c>
      <c r="E60" s="11">
        <v>5.0</v>
      </c>
      <c r="F60" s="11">
        <v>4.0</v>
      </c>
      <c r="G60" s="11" t="s">
        <v>114</v>
      </c>
      <c r="H60" t="s">
        <v>145</v>
      </c>
      <c r="I60" s="9" t="s">
        <v>233</v>
      </c>
      <c r="Q60" s="7"/>
      <c r="S60" s="8">
        <v>60.0</v>
      </c>
    </row>
    <row r="61" spans="8:8">
      <c r="C61" t="s">
        <v>60</v>
      </c>
      <c r="D61" t="s">
        <v>98</v>
      </c>
      <c r="E61" s="11">
        <v>5.0</v>
      </c>
      <c r="F61" s="11">
        <v>4.0</v>
      </c>
      <c r="G61" s="11">
        <v>4.0</v>
      </c>
      <c r="H61" t="s">
        <v>132</v>
      </c>
      <c r="I61" s="9" t="s">
        <v>233</v>
      </c>
      <c r="Q61" s="7"/>
      <c r="S61" s="8">
        <v>61.0</v>
      </c>
    </row>
    <row r="62" spans="8:8">
      <c r="C62" t="s">
        <v>200</v>
      </c>
      <c r="D62" t="s">
        <v>99</v>
      </c>
      <c r="E62" s="11">
        <v>4.0</v>
      </c>
      <c r="F62" s="11">
        <v>1.5</v>
      </c>
      <c r="G62" s="11">
        <v>1.5</v>
      </c>
      <c r="H62" t="s">
        <v>132</v>
      </c>
      <c r="I62" s="9" t="s">
        <v>233</v>
      </c>
      <c r="Q62" s="7"/>
      <c r="S62" s="8">
        <v>62.0</v>
      </c>
    </row>
    <row r="63" spans="8:8">
      <c r="C63" t="s">
        <v>201</v>
      </c>
      <c r="D63" t="s">
        <v>100</v>
      </c>
      <c r="E63" s="11">
        <v>3.0</v>
      </c>
      <c r="F63" s="11">
        <v>30.0</v>
      </c>
      <c r="G63" s="11">
        <v>30.0</v>
      </c>
      <c r="H63" t="s">
        <v>142</v>
      </c>
      <c r="I63" s="9" t="s">
        <v>233</v>
      </c>
      <c r="Q63" s="7"/>
      <c r="S63" s="8">
        <v>63.0</v>
      </c>
    </row>
    <row r="64" spans="8:8">
      <c r="C64" t="s">
        <v>202</v>
      </c>
      <c r="D64" t="s">
        <v>101</v>
      </c>
      <c r="E64" s="11">
        <v>5.0</v>
      </c>
      <c r="F64" s="11">
        <v>30.0</v>
      </c>
      <c r="G64" s="11">
        <v>30.0</v>
      </c>
      <c r="H64" t="s">
        <v>138</v>
      </c>
      <c r="I64" s="9" t="s">
        <v>233</v>
      </c>
      <c r="Q64" s="7"/>
      <c r="S64" s="8">
        <v>64.0</v>
      </c>
    </row>
    <row r="65" spans="8:8">
      <c r="C65" t="s">
        <v>203</v>
      </c>
      <c r="D65" t="s">
        <v>101</v>
      </c>
      <c r="E65" s="11">
        <v>7.0</v>
      </c>
      <c r="F65" s="11">
        <v>30.0</v>
      </c>
      <c r="G65" s="11">
        <v>30.0</v>
      </c>
      <c r="H65" t="s">
        <v>141</v>
      </c>
      <c r="I65" s="9" t="s">
        <v>233</v>
      </c>
      <c r="Q65" s="7"/>
      <c r="S65" s="8">
        <v>65.0</v>
      </c>
    </row>
    <row r="66" spans="8:8">
      <c r="C66" t="s">
        <v>61</v>
      </c>
      <c r="D66" t="s">
        <v>204</v>
      </c>
      <c r="E66" s="11">
        <v>7.0</v>
      </c>
      <c r="F66" s="11">
        <v>15.0</v>
      </c>
      <c r="G66" s="11">
        <v>15.0</v>
      </c>
      <c r="H66" t="s">
        <v>142</v>
      </c>
      <c r="I66" s="9" t="s">
        <v>233</v>
      </c>
      <c r="Q66" s="7"/>
      <c r="S66" s="8">
        <v>66.0</v>
      </c>
    </row>
    <row r="67" spans="8:8">
      <c r="C67" t="s">
        <v>205</v>
      </c>
      <c r="D67" t="s">
        <v>206</v>
      </c>
      <c r="E67" s="11">
        <v>5.0</v>
      </c>
      <c r="F67" s="11">
        <v>3.0</v>
      </c>
      <c r="G67" s="11">
        <v>3.0</v>
      </c>
      <c r="H67" t="s">
        <v>131</v>
      </c>
      <c r="I67" s="9" t="s">
        <v>233</v>
      </c>
      <c r="Q67" s="7"/>
      <c r="S67" s="8">
        <v>67.0</v>
      </c>
    </row>
    <row r="68" spans="8:8">
      <c r="C68" t="s">
        <v>207</v>
      </c>
      <c r="D68" t="s">
        <v>102</v>
      </c>
      <c r="E68" s="11">
        <v>5.0</v>
      </c>
      <c r="F68" s="11">
        <v>0.01</v>
      </c>
      <c r="G68" s="11">
        <v>0.7</v>
      </c>
      <c r="H68" t="s">
        <v>131</v>
      </c>
      <c r="I68" s="9" t="s">
        <v>233</v>
      </c>
      <c r="Q68" s="7"/>
      <c r="S68" s="8">
        <v>68.0</v>
      </c>
    </row>
    <row r="69" spans="8:8">
      <c r="C69" t="s">
        <v>208</v>
      </c>
      <c r="D69" t="s">
        <v>103</v>
      </c>
      <c r="E69" s="11">
        <v>0.0</v>
      </c>
      <c r="F69" s="11">
        <v>0.01</v>
      </c>
      <c r="G69" s="11">
        <v>0.01</v>
      </c>
      <c r="H69" t="s">
        <v>132</v>
      </c>
      <c r="I69" s="9" t="s">
        <v>233</v>
      </c>
      <c r="Q69" s="7"/>
      <c r="S69" s="8">
        <v>69.0</v>
      </c>
    </row>
    <row r="70" spans="8:8">
      <c r="C70" t="s">
        <v>209</v>
      </c>
      <c r="D70" t="s">
        <v>210</v>
      </c>
      <c r="E70" s="11">
        <v>0.0</v>
      </c>
      <c r="F70" s="11" t="s">
        <v>119</v>
      </c>
      <c r="G70" s="11" t="s">
        <v>119</v>
      </c>
      <c r="H70" t="s">
        <v>146</v>
      </c>
      <c r="I70" s="9" t="s">
        <v>233</v>
      </c>
      <c r="Q70" s="7"/>
      <c r="S70" s="8">
        <v>70.0</v>
      </c>
    </row>
    <row r="71" spans="8:8">
      <c r="C71" t="s">
        <v>62</v>
      </c>
      <c r="D71" t="s">
        <v>211</v>
      </c>
      <c r="E71" s="11">
        <v>7.0</v>
      </c>
      <c r="F71" s="11" t="s">
        <v>127</v>
      </c>
      <c r="G71" s="11" t="s">
        <v>127</v>
      </c>
      <c r="H71" t="s">
        <v>140</v>
      </c>
      <c r="I71" s="9" t="s">
        <v>233</v>
      </c>
      <c r="Q71" s="7"/>
      <c r="S71" s="8">
        <v>71.0</v>
      </c>
    </row>
    <row r="72" spans="8:8">
      <c r="C72" t="s">
        <v>212</v>
      </c>
      <c r="D72" t="s">
        <v>213</v>
      </c>
      <c r="E72" s="11">
        <v>5.0</v>
      </c>
      <c r="F72" s="11" t="s">
        <v>128</v>
      </c>
      <c r="G72" s="11" t="s">
        <v>128</v>
      </c>
      <c r="H72" t="s">
        <v>140</v>
      </c>
      <c r="I72" s="9" t="s">
        <v>233</v>
      </c>
      <c r="Q72" s="7"/>
      <c r="S72" s="8">
        <v>72.0</v>
      </c>
    </row>
    <row r="73" spans="8:8">
      <c r="C73" t="s">
        <v>214</v>
      </c>
      <c r="D73" t="s">
        <v>104</v>
      </c>
      <c r="E73" s="11">
        <v>4.0</v>
      </c>
      <c r="F73" s="11">
        <v>2.0</v>
      </c>
      <c r="G73" s="11">
        <v>2.0</v>
      </c>
      <c r="H73" t="s">
        <v>135</v>
      </c>
      <c r="I73" s="9" t="s">
        <v>233</v>
      </c>
      <c r="Q73" s="7"/>
      <c r="S73" s="8">
        <v>73.0</v>
      </c>
    </row>
    <row r="74" spans="8:8">
      <c r="C74" t="s">
        <v>63</v>
      </c>
      <c r="D74" t="s">
        <v>104</v>
      </c>
      <c r="E74" s="11">
        <v>5.0</v>
      </c>
      <c r="F74" s="11">
        <v>2.0</v>
      </c>
      <c r="G74" s="11">
        <v>2.0</v>
      </c>
      <c r="H74" t="s">
        <v>132</v>
      </c>
      <c r="I74" s="9" t="s">
        <v>233</v>
      </c>
      <c r="J74" t="s">
        <v>239</v>
      </c>
      <c r="Q74" s="7"/>
      <c r="S74" s="8">
        <v>74.0</v>
      </c>
    </row>
    <row r="75" spans="8:8">
      <c r="C75" t="s">
        <v>215</v>
      </c>
      <c r="D75" t="s">
        <v>216</v>
      </c>
      <c r="E75" s="11">
        <v>6.0</v>
      </c>
      <c r="F75" s="11">
        <v>0.01</v>
      </c>
      <c r="G75" s="11">
        <v>0.01</v>
      </c>
      <c r="H75" t="s">
        <v>131</v>
      </c>
      <c r="I75" s="9" t="s">
        <v>233</v>
      </c>
      <c r="Q75" s="7"/>
      <c r="S75" s="8">
        <v>75.0</v>
      </c>
    </row>
    <row r="76" spans="8:8">
      <c r="C76" t="s">
        <v>217</v>
      </c>
      <c r="D76" t="s">
        <v>71</v>
      </c>
      <c r="E76" s="11">
        <v>10.0</v>
      </c>
      <c r="F76" s="11">
        <v>0.01</v>
      </c>
      <c r="G76" s="11">
        <v>0.05</v>
      </c>
      <c r="H76" t="s">
        <v>130</v>
      </c>
      <c r="I76" s="9" t="s">
        <v>233</v>
      </c>
      <c r="Q76" s="7"/>
      <c r="S76" s="8">
        <v>76.0</v>
      </c>
    </row>
    <row r="77" spans="8:8">
      <c r="C77" t="s">
        <v>64</v>
      </c>
      <c r="D77" t="s">
        <v>218</v>
      </c>
      <c r="E77" s="11">
        <v>7.0</v>
      </c>
      <c r="F77" s="14">
        <v>0.002</v>
      </c>
      <c r="G77" s="11">
        <v>0.01</v>
      </c>
      <c r="H77" t="s">
        <v>132</v>
      </c>
      <c r="I77" s="9" t="s">
        <v>233</v>
      </c>
      <c r="Q77" s="7"/>
      <c r="S77" s="8">
        <v>77.0</v>
      </c>
    </row>
    <row r="78" spans="8:8">
      <c r="C78" t="s">
        <v>219</v>
      </c>
      <c r="D78" t="s">
        <v>76</v>
      </c>
      <c r="E78" s="11" t="s">
        <v>108</v>
      </c>
      <c r="F78" s="11" t="s">
        <v>112</v>
      </c>
      <c r="G78" s="11" t="s">
        <v>113</v>
      </c>
      <c r="I78" s="9" t="s">
        <v>233</v>
      </c>
      <c r="Q78" s="7"/>
      <c r="S78" s="8">
        <v>78.0</v>
      </c>
    </row>
    <row r="79" spans="8:8">
      <c r="C79" t="s">
        <v>65</v>
      </c>
      <c r="D79" t="s">
        <v>105</v>
      </c>
      <c r="E79" s="11">
        <v>45.0</v>
      </c>
      <c r="F79" s="11">
        <v>1.5</v>
      </c>
      <c r="G79" s="11">
        <v>0.9</v>
      </c>
      <c r="H79" t="s">
        <v>141</v>
      </c>
      <c r="I79" s="9" t="s">
        <v>233</v>
      </c>
      <c r="J79" t="s">
        <v>53</v>
      </c>
      <c r="Q79" s="7"/>
      <c r="S79" s="8">
        <v>79.0</v>
      </c>
    </row>
    <row r="80" spans="8:8">
      <c r="C80" t="s">
        <v>23</v>
      </c>
      <c r="D80" t="s">
        <v>73</v>
      </c>
      <c r="E80" s="11">
        <v>7.0</v>
      </c>
      <c r="F80" s="11">
        <v>0.01</v>
      </c>
      <c r="G80" s="11">
        <v>7.0</v>
      </c>
      <c r="H80" t="s">
        <v>132</v>
      </c>
      <c r="I80" s="9" t="s">
        <v>233</v>
      </c>
      <c r="Q80" s="7"/>
      <c r="S80" s="8">
        <v>80.0</v>
      </c>
    </row>
    <row r="81" spans="8:8">
      <c r="C81" t="s">
        <v>221</v>
      </c>
      <c r="D81" t="s">
        <v>220</v>
      </c>
      <c r="E81" s="11">
        <v>5.0</v>
      </c>
      <c r="F81" s="11">
        <v>0.2</v>
      </c>
      <c r="G81" s="11">
        <v>0.2</v>
      </c>
      <c r="H81" t="s">
        <v>132</v>
      </c>
      <c r="I81" s="9" t="s">
        <v>233</v>
      </c>
      <c r="Q81" s="7"/>
      <c r="S81" s="8">
        <v>81.0</v>
      </c>
    </row>
    <row r="82" spans="8:8">
      <c r="C82" t="s">
        <v>24</v>
      </c>
      <c r="D82" t="s">
        <v>222</v>
      </c>
      <c r="E82" s="11">
        <v>6.0</v>
      </c>
      <c r="F82" s="11">
        <v>0.01</v>
      </c>
      <c r="G82" s="11">
        <v>0.01</v>
      </c>
      <c r="H82" t="s">
        <v>131</v>
      </c>
      <c r="I82" s="9" t="s">
        <v>233</v>
      </c>
      <c r="Q82" s="7"/>
      <c r="S82" s="8">
        <v>82.0</v>
      </c>
    </row>
    <row r="83" spans="8:8">
      <c r="C83" t="s">
        <v>27</v>
      </c>
      <c r="D83" t="s">
        <v>98</v>
      </c>
      <c r="E83" s="11">
        <v>5.0</v>
      </c>
      <c r="F83" s="11">
        <v>4.0</v>
      </c>
      <c r="G83" s="11">
        <v>4.0</v>
      </c>
      <c r="H83" t="s">
        <v>132</v>
      </c>
      <c r="I83" s="9" t="s">
        <v>233</v>
      </c>
      <c r="Q83" s="7"/>
      <c r="S83" s="8">
        <v>83.0</v>
      </c>
    </row>
    <row r="84" spans="8:8">
      <c r="C84" t="s">
        <v>66</v>
      </c>
      <c r="D84" t="s">
        <v>223</v>
      </c>
      <c r="E84" s="11"/>
      <c r="F84" s="11"/>
      <c r="G84" s="11"/>
      <c r="H84" t="s">
        <v>131</v>
      </c>
      <c r="I84" s="9" t="s">
        <v>233</v>
      </c>
      <c r="Q84" s="7"/>
      <c r="S84" s="8">
        <v>84.0</v>
      </c>
    </row>
    <row r="85" spans="8:8">
      <c r="C85" t="s">
        <v>67</v>
      </c>
      <c r="D85" t="s">
        <v>91</v>
      </c>
      <c r="E85" s="11"/>
      <c r="F85" s="11"/>
      <c r="G85" s="11"/>
      <c r="H85" t="s">
        <v>131</v>
      </c>
      <c r="I85" s="9" t="s">
        <v>233</v>
      </c>
      <c r="Q85" s="7"/>
      <c r="S85" s="8">
        <v>85.0</v>
      </c>
    </row>
    <row r="86" spans="8:8">
      <c r="C86" t="s">
        <v>26</v>
      </c>
      <c r="D86" t="s">
        <v>224</v>
      </c>
      <c r="E86" s="11"/>
      <c r="F86" s="11"/>
      <c r="G86" s="11"/>
      <c r="H86" t="s">
        <v>131</v>
      </c>
      <c r="I86" s="9" t="s">
        <v>233</v>
      </c>
      <c r="Q86" s="7"/>
      <c r="S86" s="8">
        <v>86.0</v>
      </c>
    </row>
    <row r="87" spans="8:8">
      <c r="C87" t="s">
        <v>68</v>
      </c>
      <c r="D87" t="s">
        <v>225</v>
      </c>
      <c r="E87" s="11">
        <v>5.0</v>
      </c>
      <c r="F87" s="11">
        <v>3.0</v>
      </c>
      <c r="G87" s="11">
        <v>3.0</v>
      </c>
      <c r="H87" t="s">
        <v>140</v>
      </c>
      <c r="I87" s="9" t="s">
        <v>233</v>
      </c>
      <c r="Q87" s="7"/>
      <c r="S87" s="8">
        <v>87.0</v>
      </c>
    </row>
    <row r="88" spans="8:8">
      <c r="C88" t="s">
        <v>226</v>
      </c>
      <c r="D88" t="s">
        <v>227</v>
      </c>
      <c r="E88" s="11">
        <v>7.0</v>
      </c>
      <c r="F88" s="11">
        <v>0.002</v>
      </c>
      <c r="G88" s="11">
        <v>0.01</v>
      </c>
      <c r="H88" t="s">
        <v>132</v>
      </c>
      <c r="I88" s="9" t="s">
        <v>233</v>
      </c>
      <c r="Q88" s="7"/>
      <c r="S88" s="8">
        <v>88.0</v>
      </c>
    </row>
    <row r="89" spans="8:8">
      <c r="C89" t="s">
        <v>228</v>
      </c>
      <c r="D89" t="s">
        <v>229</v>
      </c>
      <c r="E89" s="11"/>
      <c r="F89" s="11"/>
      <c r="G89" s="11"/>
      <c r="H89" t="s">
        <v>147</v>
      </c>
      <c r="I89" s="9" t="s">
        <v>233</v>
      </c>
      <c r="Q89" s="7"/>
      <c r="S89" s="8">
        <v>89.0</v>
      </c>
    </row>
    <row r="90" spans="8:8">
      <c r="C90" t="s">
        <v>69</v>
      </c>
      <c r="D90" t="s">
        <v>230</v>
      </c>
      <c r="E90" s="11"/>
      <c r="F90" s="11"/>
      <c r="G90" s="11"/>
      <c r="H90" t="s">
        <v>148</v>
      </c>
      <c r="I90" s="9" t="s">
        <v>233</v>
      </c>
      <c r="Q90" s="7"/>
      <c r="S90" s="8">
        <v>90.0</v>
      </c>
    </row>
    <row r="91" spans="8:8">
      <c r="C91" t="s">
        <v>70</v>
      </c>
      <c r="D91" t="s">
        <v>231</v>
      </c>
      <c r="E91" s="11"/>
      <c r="F91" s="11"/>
      <c r="G91" s="11"/>
      <c r="H91" t="s">
        <v>142</v>
      </c>
      <c r="I91" s="9" t="s">
        <v>233</v>
      </c>
      <c r="Q91" s="7"/>
      <c r="S91" s="8">
        <v>91.0</v>
      </c>
    </row>
    <row r="92" spans="8:8">
      <c r="C92" t="s">
        <v>241</v>
      </c>
      <c r="D92" t="s">
        <v>242</v>
      </c>
      <c r="E92" s="11"/>
      <c r="F92" s="11"/>
      <c r="G92" s="11"/>
      <c r="Q92" s="7"/>
      <c r="S92" s="8">
        <v>92.0</v>
      </c>
    </row>
    <row r="93" spans="8:8">
      <c r="Q93" s="7"/>
      <c r="S93" s="8">
        <v>93.0</v>
      </c>
    </row>
    <row r="94" spans="8:8">
      <c r="Q94" s="7"/>
      <c r="S94" s="8">
        <v>94.0</v>
      </c>
    </row>
    <row r="95" spans="8:8">
      <c r="Q95" s="7"/>
      <c r="S95" s="8">
        <v>95.0</v>
      </c>
    </row>
    <row r="96" spans="8:8">
      <c r="Q96" s="7"/>
      <c r="S96" s="8">
        <v>96.0</v>
      </c>
    </row>
    <row r="97" spans="8:8">
      <c r="Q97" s="7"/>
      <c r="S97" s="8">
        <v>97.0</v>
      </c>
    </row>
    <row r="98" spans="8:8">
      <c r="Q98" s="7"/>
      <c r="S98" s="8">
        <v>98.0</v>
      </c>
    </row>
    <row r="99" spans="8:8">
      <c r="Q99" s="7"/>
      <c r="S99" s="8">
        <v>99.0</v>
      </c>
    </row>
    <row r="100" spans="8:8">
      <c r="Q100" s="7"/>
      <c r="S100" s="8">
        <v>100.0</v>
      </c>
    </row>
    <row r="101" spans="8:8">
      <c r="Q101" s="7"/>
      <c r="S101" s="8">
        <v>101.0</v>
      </c>
    </row>
    <row r="102" spans="8:8">
      <c r="Q102" s="7"/>
      <c r="S102" s="8">
        <v>102.0</v>
      </c>
    </row>
    <row r="103" spans="8:8">
      <c r="Q103" s="7"/>
      <c r="S103" s="8">
        <v>103.0</v>
      </c>
    </row>
    <row r="104" spans="8:8">
      <c r="Q104" s="7"/>
      <c r="S104" s="8">
        <v>104.0</v>
      </c>
    </row>
    <row r="105" spans="8:8">
      <c r="Q105" s="7"/>
      <c r="S105" s="8">
        <v>105.0</v>
      </c>
    </row>
    <row r="106" spans="8:8">
      <c r="Q106" s="7"/>
      <c r="S106" s="8">
        <v>106.0</v>
      </c>
    </row>
    <row r="107" spans="8:8">
      <c r="Q107" s="7"/>
      <c r="S107" s="8">
        <v>107.0</v>
      </c>
    </row>
    <row r="108" spans="8:8">
      <c r="Q108" s="7"/>
      <c r="S108" s="8">
        <v>108.0</v>
      </c>
    </row>
    <row r="109" spans="8:8">
      <c r="Q109" s="7"/>
      <c r="S109" s="8">
        <v>109.0</v>
      </c>
    </row>
    <row r="110" spans="8:8">
      <c r="Q110" s="7"/>
      <c r="S110" s="8">
        <v>110.0</v>
      </c>
    </row>
    <row r="111" spans="8:8">
      <c r="Q111" s="7"/>
      <c r="S111" s="8">
        <v>111.0</v>
      </c>
    </row>
    <row r="112" spans="8:8">
      <c r="Q112" s="7"/>
      <c r="S112" s="8">
        <v>112.0</v>
      </c>
    </row>
    <row r="113" spans="8:8">
      <c r="Q113" s="7"/>
      <c r="S113" s="8">
        <v>113.0</v>
      </c>
    </row>
    <row r="114" spans="8:8">
      <c r="Q114" s="7"/>
      <c r="S114" s="8">
        <v>114.0</v>
      </c>
    </row>
    <row r="115" spans="8:8">
      <c r="Q115" s="7"/>
      <c r="S115" s="8">
        <v>115.0</v>
      </c>
    </row>
    <row r="116" spans="8:8">
      <c r="Q116" s="7"/>
      <c r="S116" s="8">
        <v>116.0</v>
      </c>
    </row>
    <row r="117" spans="8:8">
      <c r="Q117" s="7"/>
      <c r="S117" s="8">
        <v>117.0</v>
      </c>
    </row>
    <row r="118" spans="8:8">
      <c r="Q118" s="7"/>
      <c r="S118" s="8">
        <v>118.0</v>
      </c>
    </row>
    <row r="119" spans="8:8">
      <c r="Q119" s="7"/>
      <c r="S119" s="8">
        <v>119.0</v>
      </c>
    </row>
    <row r="120" spans="8:8">
      <c r="Q120" s="7"/>
      <c r="S120" s="8">
        <v>120.0</v>
      </c>
    </row>
    <row r="121" spans="8:8">
      <c r="Q121" s="7"/>
      <c r="S121" s="8">
        <v>121.0</v>
      </c>
    </row>
    <row r="122" spans="8:8">
      <c r="Q122" s="7"/>
      <c r="S122" s="8">
        <v>122.0</v>
      </c>
    </row>
    <row r="123" spans="8:8">
      <c r="Q123" s="7"/>
      <c r="S123" s="8">
        <v>123.0</v>
      </c>
    </row>
    <row r="124" spans="8:8">
      <c r="Q124" s="7"/>
      <c r="S124" s="8">
        <v>124.0</v>
      </c>
    </row>
    <row r="125" spans="8:8">
      <c r="Q125" s="7"/>
      <c r="S125" s="8">
        <v>125.0</v>
      </c>
    </row>
    <row r="126" spans="8:8">
      <c r="Q126" s="7"/>
      <c r="S126" s="8">
        <v>126.0</v>
      </c>
    </row>
    <row r="127" spans="8:8">
      <c r="Q127" s="7"/>
      <c r="S127" s="8">
        <v>127.0</v>
      </c>
    </row>
    <row r="128" spans="8:8">
      <c r="Q128" s="7"/>
      <c r="S128" s="8">
        <v>128.0</v>
      </c>
    </row>
    <row r="129" spans="8:8">
      <c r="Q129" s="7"/>
      <c r="S129" s="8">
        <v>129.0</v>
      </c>
    </row>
    <row r="130" spans="8:8">
      <c r="Q130" s="7"/>
      <c r="S130" s="8">
        <v>130.0</v>
      </c>
    </row>
    <row r="131" spans="8:8">
      <c r="Q131" s="7"/>
      <c r="S131" s="8">
        <v>131.0</v>
      </c>
    </row>
    <row r="132" spans="8:8">
      <c r="Q132" s="7"/>
      <c r="S132" s="8">
        <v>132.0</v>
      </c>
    </row>
    <row r="133" spans="8:8">
      <c r="Q133" s="7"/>
      <c r="S133" s="8">
        <v>133.0</v>
      </c>
    </row>
    <row r="134" spans="8:8">
      <c r="Q134" s="7"/>
      <c r="S134" s="8">
        <v>134.0</v>
      </c>
    </row>
    <row r="135" spans="8:8">
      <c r="Q135" s="7"/>
      <c r="S135" s="8">
        <v>135.0</v>
      </c>
    </row>
    <row r="136" spans="8:8">
      <c r="Q136" s="7"/>
      <c r="S136" s="8">
        <v>136.0</v>
      </c>
    </row>
    <row r="137" spans="8:8">
      <c r="Q137" s="7"/>
      <c r="S137" s="8">
        <v>137.0</v>
      </c>
    </row>
    <row r="138" spans="8:8">
      <c r="Q138" s="7"/>
      <c r="S138" s="8">
        <v>138.0</v>
      </c>
    </row>
    <row r="139" spans="8:8">
      <c r="Q139" s="7"/>
      <c r="S139" s="8">
        <v>139.0</v>
      </c>
    </row>
    <row r="140" spans="8:8">
      <c r="Q140" s="7"/>
      <c r="S140" s="8">
        <v>140.0</v>
      </c>
    </row>
    <row r="141" spans="8:8">
      <c r="Q141" s="7"/>
      <c r="S141" s="8">
        <v>141.0</v>
      </c>
    </row>
    <row r="142" spans="8:8">
      <c r="Q142" s="7"/>
      <c r="S142" s="8">
        <v>142.0</v>
      </c>
    </row>
    <row r="143" spans="8:8">
      <c r="Q143" s="7"/>
      <c r="S143" s="8">
        <v>143.0</v>
      </c>
    </row>
    <row r="144" spans="8:8">
      <c r="Q144" s="7"/>
      <c r="S144" s="8">
        <v>144.0</v>
      </c>
    </row>
    <row r="145" spans="8:8">
      <c r="Q145" s="7"/>
      <c r="S145" s="8">
        <v>145.0</v>
      </c>
    </row>
    <row r="146" spans="8:8">
      <c r="Q146" s="7"/>
      <c r="S146" s="8">
        <v>146.0</v>
      </c>
    </row>
    <row r="147" spans="8:8">
      <c r="Q147" s="7"/>
      <c r="S147" s="8">
        <v>147.0</v>
      </c>
    </row>
    <row r="148" spans="8:8">
      <c r="Q148" s="7"/>
      <c r="S148" s="8">
        <v>148.0</v>
      </c>
    </row>
    <row r="149" spans="8:8">
      <c r="Q149" s="7"/>
      <c r="S149" s="8">
        <v>149.0</v>
      </c>
    </row>
    <row r="150" spans="8:8">
      <c r="Q150" s="7"/>
      <c r="S150" s="8">
        <v>150.0</v>
      </c>
    </row>
    <row r="151" spans="8:8">
      <c r="Q151" s="7"/>
      <c r="S151" s="8">
        <v>151.0</v>
      </c>
    </row>
    <row r="152" spans="8:8">
      <c r="Q152" s="7"/>
      <c r="S152" s="8">
        <v>152.0</v>
      </c>
    </row>
    <row r="153" spans="8:8">
      <c r="Q153" s="7"/>
      <c r="S153" s="8">
        <v>153.0</v>
      </c>
    </row>
    <row r="154" spans="8:8">
      <c r="Q154" s="7"/>
      <c r="S154" s="8">
        <v>154.0</v>
      </c>
    </row>
    <row r="155" spans="8:8">
      <c r="Q155" s="7"/>
      <c r="S155" s="8">
        <v>155.0</v>
      </c>
    </row>
    <row r="156" spans="8:8">
      <c r="Q156" s="7"/>
      <c r="S156" s="8">
        <v>156.0</v>
      </c>
    </row>
    <row r="157" spans="8:8">
      <c r="Q157" s="7"/>
      <c r="S157" s="8">
        <v>157.0</v>
      </c>
    </row>
    <row r="158" spans="8:8">
      <c r="Q158" s="7"/>
      <c r="S158" s="8">
        <v>158.0</v>
      </c>
    </row>
    <row r="159" spans="8:8">
      <c r="Q159" s="7"/>
      <c r="S159" s="8">
        <v>159.0</v>
      </c>
    </row>
    <row r="160" spans="8:8">
      <c r="Q160" s="15"/>
      <c r="R160" s="16"/>
      <c r="S160" s="17">
        <v>160.0</v>
      </c>
    </row>
  </sheetData>
  <autoFilter ref="C1:C160">
    <filterColumn colId="0" showButton="1"/>
  </autoFilter>
  <pageMargins left="0.7" right="0.7" top="0.75" bottom="0.75" header="0.3" footer="0.3"/>
  <ignoredErrors>
    <ignoredError sqref="E84:G86 G53 G58 G60 E78:G78 E89:G92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dimension ref="A1:Y1338"/>
  <sheetViews>
    <sheetView tabSelected="1" workbookViewId="0" zoomScale="30">
      <selection activeCell="L138" sqref="L138"/>
    </sheetView>
  </sheetViews>
  <sheetFormatPr defaultRowHeight="15.0" defaultColWidth="9"/>
  <cols>
    <col min="1" max="1" customWidth="1" width="13.5703125" style="18"/>
    <col min="2" max="2" customWidth="1" width="6.5703125" style="19"/>
    <col min="3" max="3" customWidth="0" width="9.140625" style="0"/>
    <col min="4" max="4" customWidth="0" width="9.0" style="19"/>
    <col min="5" max="5" customWidth="1" width="11.7109375" style="19"/>
    <col min="6" max="6" customWidth="1" width="10.425781" style="19"/>
    <col min="7" max="7" customWidth="1" width="14.285156" style="0"/>
    <col min="8" max="8" customWidth="1" width="14.285156" style="20"/>
    <col min="9" max="9" customWidth="1" width="17.425781" style="19"/>
    <col min="10" max="10" customWidth="1" width="19.425781" style="0"/>
    <col min="11" max="11" customWidth="1" bestFit="1" width="14.0" style="19"/>
    <col min="12" max="12" customWidth="1" bestFit="1" width="21.140625" style="19"/>
    <col min="13" max="13" customWidth="1" width="14.7109375" style="19"/>
    <col min="14" max="14" customWidth="1" width="19.570312" style="0"/>
    <col min="15" max="15" customWidth="1" width="7.4257812" style="0"/>
    <col min="16" max="16" customWidth="1" width="9.7109375" style="0"/>
    <col min="17" max="17" customWidth="1" width="22.710938" style="21"/>
    <col min="18" max="18" customWidth="1" width="10.285156" style="0"/>
    <col min="19" max="19" customWidth="1" bestFit="1" width="12.285156" style="0"/>
    <col min="20" max="16384" customWidth="0" width="9.0" style="19"/>
  </cols>
  <sheetData>
    <row r="1" spans="8:8">
      <c r="A1" s="22" t="s">
        <v>0</v>
      </c>
      <c r="B1" s="23" t="s">
        <v>1</v>
      </c>
      <c r="C1" s="24" t="s">
        <v>14</v>
      </c>
      <c r="D1" s="23" t="s">
        <v>2</v>
      </c>
      <c r="E1" s="23" t="s">
        <v>3</v>
      </c>
      <c r="F1" s="23" t="s">
        <v>4</v>
      </c>
      <c r="G1" s="24" t="s">
        <v>7</v>
      </c>
      <c r="H1" s="25" t="s">
        <v>238</v>
      </c>
      <c r="I1" s="23" t="s">
        <v>5</v>
      </c>
      <c r="J1" s="24" t="s">
        <v>6</v>
      </c>
      <c r="K1" s="23" t="s">
        <v>12</v>
      </c>
      <c r="L1" s="23" t="s">
        <v>8</v>
      </c>
      <c r="M1" s="23" t="s">
        <v>49</v>
      </c>
      <c r="N1" s="24" t="s">
        <v>9</v>
      </c>
      <c r="O1" s="24" t="s">
        <v>10</v>
      </c>
      <c r="P1" s="24" t="s">
        <v>11</v>
      </c>
      <c r="Q1" s="26" t="s">
        <v>13</v>
      </c>
      <c r="R1" s="24" t="s">
        <v>51</v>
      </c>
      <c r="S1" s="24" t="s">
        <v>236</v>
      </c>
    </row>
    <row r="2" spans="8:8">
      <c r="A2" s="18">
        <v>46143.0</v>
      </c>
      <c r="B2" s="19">
        <v>1.0</v>
      </c>
      <c r="C2">
        <f>_xlfn.XLOOKUP(B2,Lists!B:B,Lists!A:A,"")</f>
        <v>1.0</v>
      </c>
      <c r="D2" s="19" t="s">
        <v>234</v>
      </c>
      <c r="E2" s="19">
        <v>1.0</v>
      </c>
      <c r="F2" s="19">
        <v>160.0</v>
      </c>
      <c r="G2">
        <f t="shared" si="0" ref="G2:G33">IF(OR(E2="",F2=""),"",F2-E2+1)</f>
        <v>160.0</v>
      </c>
      <c r="H2" s="20">
        <f t="shared" si="1" ref="H2:H3">IF(D2="","",IF(OR(D2="A",D2="B"),G2/80,IF(D2="A&amp;B",G2/160,"")))</f>
        <v>1.0</v>
      </c>
      <c r="I2" s="19" t="s">
        <v>65</v>
      </c>
      <c r="J2" t="str">
        <f>IF(I2="","",_xlfn.XLOOKUP(I2,Lists!$C:$C,Lists!$D:$D))</f>
        <v>Tebuconazole 25%</v>
      </c>
      <c r="K2" s="19" t="s">
        <v>52</v>
      </c>
      <c r="L2" s="19">
        <v>100.0</v>
      </c>
      <c r="M2" s="19">
        <v>900.0</v>
      </c>
      <c r="N2">
        <f t="shared" si="2" ref="N2:N33">IF(OR(M2="",L2=""),"",(M2*L2)/100000)</f>
        <v>0.9</v>
      </c>
      <c r="O2" t="str">
        <f>IF(I2="","",_xlfn.XLOOKUP(I2,Lists!$C:$C,Lists!$J:$J))</f>
        <v>L</v>
      </c>
      <c r="P2">
        <f>IF(I2="","",_xlfn.XLOOKUP(I2,Lists!$C:$C,Lists!$E:$E))</f>
        <v>45.0</v>
      </c>
      <c r="Q2" s="21">
        <f t="shared" si="3" ref="Q2:Q33">IF(OR(A2="",P2=""),"",A2+P2+1)</f>
        <v>46189.0</v>
      </c>
      <c r="R2" t="str">
        <f t="shared" si="4" ref="R2:R33">IF(Q2="","",IF(Q2&lt;=TODAY(),"Allow","Not Allow"))</f>
        <v>Allow</v>
      </c>
      <c r="S2" t="str">
        <f>IF(I2="","",_xlfn.XLOOKUP(I2,Lists!$C:$C,Lists!$I:$I))</f>
        <v>On-Label</v>
      </c>
    </row>
    <row r="3" spans="8:8">
      <c r="A3" s="18">
        <v>46145.0</v>
      </c>
      <c r="B3" s="19">
        <v>2.0</v>
      </c>
      <c r="C3">
        <f>_xlfn.XLOOKUP(B3,Lists!B:B,Lists!A:A,"")</f>
        <v>1.0</v>
      </c>
      <c r="D3" s="19" t="s">
        <v>234</v>
      </c>
      <c r="E3" s="19">
        <v>1.0</v>
      </c>
      <c r="F3" s="19">
        <v>160.0</v>
      </c>
      <c r="G3">
        <f t="shared" si="0"/>
        <v>160.0</v>
      </c>
      <c r="H3" s="20">
        <f t="shared" si="1"/>
        <v>1.0</v>
      </c>
      <c r="I3" s="19" t="s">
        <v>65</v>
      </c>
      <c r="J3" t="str">
        <f>IF(I3="","",_xlfn.XLOOKUP(I3,Lists!$C:$C,Lists!$D:$D))</f>
        <v>Tebuconazole 25%</v>
      </c>
      <c r="K3" s="19" t="s">
        <v>52</v>
      </c>
      <c r="L3" s="19">
        <v>100.0</v>
      </c>
      <c r="M3" s="19">
        <v>900.0</v>
      </c>
      <c r="N3">
        <f t="shared" si="2"/>
        <v>0.9</v>
      </c>
      <c r="O3" t="str">
        <f>IF(I3="","",_xlfn.XLOOKUP(I3,Lists!$C:$C,Lists!$J:$J))</f>
        <v>L</v>
      </c>
      <c r="P3">
        <f>IF(I3="","",_xlfn.XLOOKUP(I3,Lists!$C:$C,Lists!$E:$E))</f>
        <v>45.0</v>
      </c>
      <c r="Q3" s="21">
        <f t="shared" si="3"/>
        <v>46191.0</v>
      </c>
      <c r="R3" t="str">
        <f t="shared" si="4"/>
        <v>Allow</v>
      </c>
      <c r="S3" t="str">
        <f>IF(I3="","",_xlfn.XLOOKUP(I3,Lists!$C:$C,Lists!$I:$I))</f>
        <v>On-Label</v>
      </c>
    </row>
    <row r="4" spans="8:8">
      <c r="A4" s="18">
        <v>46145.0</v>
      </c>
      <c r="B4" s="19">
        <v>11.0</v>
      </c>
      <c r="C4">
        <f>_xlfn.XLOOKUP(B4,Lists!B:B,Lists!A:A,"")</f>
        <v>2.0</v>
      </c>
      <c r="D4" s="19" t="s">
        <v>234</v>
      </c>
      <c r="E4" s="19">
        <v>1.0</v>
      </c>
      <c r="F4" s="19">
        <v>160.0</v>
      </c>
      <c r="G4">
        <f t="shared" si="0"/>
        <v>160.0</v>
      </c>
      <c r="H4" s="20">
        <f t="shared" si="5" ref="H4:H35">IF(D4="","",IF(OR(D4="A",D4="B"),G4/80,IF(D4="A&amp;B",G4/160,"")))</f>
        <v>1.0</v>
      </c>
      <c r="I4" s="19" t="s">
        <v>65</v>
      </c>
      <c r="J4" t="str">
        <f>IF(I4="","",_xlfn.XLOOKUP(I4,Lists!$C:$C,Lists!$D:$D))</f>
        <v>Tebuconazole 25%</v>
      </c>
      <c r="K4" s="19" t="s">
        <v>52</v>
      </c>
      <c r="L4" s="19">
        <v>100.0</v>
      </c>
      <c r="M4" s="19">
        <v>900.0</v>
      </c>
      <c r="N4">
        <f t="shared" si="2"/>
        <v>0.9</v>
      </c>
      <c r="O4" t="str">
        <f>IF(I4="","",_xlfn.XLOOKUP(I4,Lists!$C:$C,Lists!$J:$J))</f>
        <v>L</v>
      </c>
      <c r="P4">
        <f>IF(I4="","",_xlfn.XLOOKUP(I4,Lists!$C:$C,Lists!$E:$E))</f>
        <v>45.0</v>
      </c>
      <c r="Q4" s="21">
        <f t="shared" si="3"/>
        <v>46191.0</v>
      </c>
      <c r="R4" t="str">
        <f t="shared" si="4"/>
        <v>Allow</v>
      </c>
      <c r="S4" t="str">
        <f>IF(I4="","",_xlfn.XLOOKUP(I4,Lists!$C:$C,Lists!$I:$I))</f>
        <v>On-Label</v>
      </c>
    </row>
    <row r="5" spans="8:8">
      <c r="A5" s="18">
        <v>46146.0</v>
      </c>
      <c r="B5" s="19">
        <v>3.0</v>
      </c>
      <c r="C5">
        <f>_xlfn.XLOOKUP(B5,Lists!B:B,Lists!A:A,"")</f>
        <v>1.0</v>
      </c>
      <c r="D5" s="19" t="s">
        <v>234</v>
      </c>
      <c r="E5" s="19">
        <v>1.0</v>
      </c>
      <c r="F5" s="19">
        <v>160.0</v>
      </c>
      <c r="G5">
        <f t="shared" si="0"/>
        <v>160.0</v>
      </c>
      <c r="H5" s="20">
        <f t="shared" si="5"/>
        <v>1.0</v>
      </c>
      <c r="I5" s="19" t="s">
        <v>65</v>
      </c>
      <c r="J5" t="str">
        <f>IF(I5="","",_xlfn.XLOOKUP(I5,Lists!$C:$C,Lists!$D:$D))</f>
        <v>Tebuconazole 25%</v>
      </c>
      <c r="K5" s="19" t="s">
        <v>52</v>
      </c>
      <c r="L5" s="19">
        <v>100.0</v>
      </c>
      <c r="M5" s="19">
        <v>900.0</v>
      </c>
      <c r="N5">
        <f t="shared" si="2"/>
        <v>0.9</v>
      </c>
      <c r="O5" t="str">
        <f>IF(I5="","",_xlfn.XLOOKUP(I5,Lists!$C:$C,Lists!$J:$J))</f>
        <v>L</v>
      </c>
      <c r="P5">
        <f>IF(I5="","",_xlfn.XLOOKUP(I5,Lists!$C:$C,Lists!$E:$E))</f>
        <v>45.0</v>
      </c>
      <c r="Q5" s="21">
        <f t="shared" si="3"/>
        <v>46192.0</v>
      </c>
      <c r="R5" t="str">
        <f t="shared" si="4"/>
        <v>Allow</v>
      </c>
      <c r="S5" t="str">
        <f>IF(I5="","",_xlfn.XLOOKUP(I5,Lists!$C:$C,Lists!$I:$I))</f>
        <v>On-Label</v>
      </c>
    </row>
    <row r="6" spans="8:8">
      <c r="A6" s="18">
        <v>46147.0</v>
      </c>
      <c r="B6" s="19">
        <v>4.0</v>
      </c>
      <c r="C6">
        <f>_xlfn.XLOOKUP(B6,Lists!B:B,Lists!A:A,"")</f>
        <v>1.0</v>
      </c>
      <c r="D6" s="19" t="s">
        <v>234</v>
      </c>
      <c r="E6" s="19">
        <v>1.0</v>
      </c>
      <c r="F6" s="19">
        <v>160.0</v>
      </c>
      <c r="G6">
        <f t="shared" si="0"/>
        <v>160.0</v>
      </c>
      <c r="H6" s="20">
        <f t="shared" si="5"/>
        <v>1.0</v>
      </c>
      <c r="I6" s="19" t="s">
        <v>65</v>
      </c>
      <c r="J6" t="str">
        <f>IF(I6="","",_xlfn.XLOOKUP(I6,Lists!$C:$C,Lists!$D:$D))</f>
        <v>Tebuconazole 25%</v>
      </c>
      <c r="K6" s="19" t="s">
        <v>52</v>
      </c>
      <c r="L6" s="19">
        <v>100.0</v>
      </c>
      <c r="M6" s="19">
        <v>900.0</v>
      </c>
      <c r="N6">
        <f t="shared" si="2"/>
        <v>0.9</v>
      </c>
      <c r="O6" t="str">
        <f>IF(I6="","",_xlfn.XLOOKUP(I6,Lists!$C:$C,Lists!$J:$J))</f>
        <v>L</v>
      </c>
      <c r="P6">
        <f>IF(I6="","",_xlfn.XLOOKUP(I6,Lists!$C:$C,Lists!$E:$E))</f>
        <v>45.0</v>
      </c>
      <c r="Q6" s="21">
        <f t="shared" si="3"/>
        <v>46193.0</v>
      </c>
      <c r="R6" t="str">
        <f t="shared" si="4"/>
        <v>Allow</v>
      </c>
      <c r="S6" t="str">
        <f>IF(I6="","",_xlfn.XLOOKUP(I6,Lists!$C:$C,Lists!$I:$I))</f>
        <v>On-Label</v>
      </c>
    </row>
    <row r="7" spans="8:8">
      <c r="A7" s="18">
        <v>46147.0</v>
      </c>
      <c r="B7" s="19">
        <v>12.0</v>
      </c>
      <c r="C7">
        <f>_xlfn.XLOOKUP(B7,Lists!B:B,Lists!A:A,"")</f>
        <v>2.0</v>
      </c>
      <c r="D7" s="19" t="s">
        <v>234</v>
      </c>
      <c r="E7" s="19">
        <v>1.0</v>
      </c>
      <c r="F7" s="19">
        <v>160.0</v>
      </c>
      <c r="G7">
        <f t="shared" si="0"/>
        <v>160.0</v>
      </c>
      <c r="H7" s="20">
        <f t="shared" si="5"/>
        <v>1.0</v>
      </c>
      <c r="I7" s="19" t="s">
        <v>65</v>
      </c>
      <c r="J7" t="str">
        <f>IF(I7="","",_xlfn.XLOOKUP(I7,Lists!$C:$C,Lists!$D:$D))</f>
        <v>Tebuconazole 25%</v>
      </c>
      <c r="K7" s="19" t="s">
        <v>52</v>
      </c>
      <c r="L7" s="19">
        <v>100.0</v>
      </c>
      <c r="M7" s="19">
        <v>900.0</v>
      </c>
      <c r="N7">
        <f t="shared" si="2"/>
        <v>0.9</v>
      </c>
      <c r="O7" t="str">
        <f>IF(I7="","",_xlfn.XLOOKUP(I7,Lists!$C:$C,Lists!$J:$J))</f>
        <v>L</v>
      </c>
      <c r="P7">
        <f>IF(I7="","",_xlfn.XLOOKUP(I7,Lists!$C:$C,Lists!$E:$E))</f>
        <v>45.0</v>
      </c>
      <c r="Q7" s="21">
        <f t="shared" si="3"/>
        <v>46193.0</v>
      </c>
      <c r="R7" t="str">
        <f t="shared" si="4"/>
        <v>Allow</v>
      </c>
      <c r="S7" t="str">
        <f>IF(I7="","",_xlfn.XLOOKUP(I7,Lists!$C:$C,Lists!$I:$I))</f>
        <v>On-Label</v>
      </c>
    </row>
    <row r="8" spans="8:8">
      <c r="A8" s="18">
        <v>46149.0</v>
      </c>
      <c r="B8" s="19">
        <v>5.0</v>
      </c>
      <c r="C8">
        <f>_xlfn.XLOOKUP(B8,Lists!B:B,Lists!A:A,"")</f>
        <v>1.0</v>
      </c>
      <c r="D8" s="19" t="s">
        <v>234</v>
      </c>
      <c r="E8" s="19">
        <v>1.0</v>
      </c>
      <c r="F8" s="19">
        <v>160.0</v>
      </c>
      <c r="G8">
        <f t="shared" si="0"/>
        <v>160.0</v>
      </c>
      <c r="H8" s="20">
        <f t="shared" si="5"/>
        <v>1.0</v>
      </c>
      <c r="I8" s="19" t="s">
        <v>65</v>
      </c>
      <c r="J8" t="str">
        <f>IF(I8="","",_xlfn.XLOOKUP(I8,Lists!$C:$C,Lists!$D:$D))</f>
        <v>Tebuconazole 25%</v>
      </c>
      <c r="K8" s="19" t="s">
        <v>52</v>
      </c>
      <c r="L8" s="19">
        <v>100.0</v>
      </c>
      <c r="M8" s="19">
        <v>900.0</v>
      </c>
      <c r="N8">
        <f t="shared" si="2"/>
        <v>0.9</v>
      </c>
      <c r="O8" t="str">
        <f>IF(I8="","",_xlfn.XLOOKUP(I8,Lists!$C:$C,Lists!$J:$J))</f>
        <v>L</v>
      </c>
      <c r="P8">
        <f>IF(I8="","",_xlfn.XLOOKUP(I8,Lists!$C:$C,Lists!$E:$E))</f>
        <v>45.0</v>
      </c>
      <c r="Q8" s="21">
        <f t="shared" si="3"/>
        <v>46195.0</v>
      </c>
      <c r="R8" t="str">
        <f t="shared" si="4"/>
        <v>Allow</v>
      </c>
      <c r="S8" t="str">
        <f>IF(I8="","",_xlfn.XLOOKUP(I8,Lists!$C:$C,Lists!$I:$I))</f>
        <v>On-Label</v>
      </c>
    </row>
    <row r="9" spans="8:8">
      <c r="A9" s="18">
        <v>46149.0</v>
      </c>
      <c r="B9" s="19">
        <v>13.0</v>
      </c>
      <c r="C9">
        <f>_xlfn.XLOOKUP(B9,Lists!B:B,Lists!A:A,"")</f>
        <v>2.0</v>
      </c>
      <c r="D9" s="19" t="s">
        <v>234</v>
      </c>
      <c r="E9" s="19">
        <v>1.0</v>
      </c>
      <c r="F9" s="19">
        <v>160.0</v>
      </c>
      <c r="G9">
        <f t="shared" si="0"/>
        <v>160.0</v>
      </c>
      <c r="H9" s="20">
        <f t="shared" si="5"/>
        <v>1.0</v>
      </c>
      <c r="I9" s="19" t="s">
        <v>65</v>
      </c>
      <c r="J9" t="str">
        <f>IF(I9="","",_xlfn.XLOOKUP(I9,Lists!$C:$C,Lists!$D:$D))</f>
        <v>Tebuconazole 25%</v>
      </c>
      <c r="K9" s="19" t="s">
        <v>52</v>
      </c>
      <c r="L9" s="19">
        <v>100.0</v>
      </c>
      <c r="M9" s="19">
        <v>900.0</v>
      </c>
      <c r="N9">
        <f t="shared" si="2"/>
        <v>0.9</v>
      </c>
      <c r="O9" t="str">
        <f>IF(I9="","",_xlfn.XLOOKUP(I9,Lists!$C:$C,Lists!$J:$J))</f>
        <v>L</v>
      </c>
      <c r="P9">
        <f>IF(I9="","",_xlfn.XLOOKUP(I9,Lists!$C:$C,Lists!$E:$E))</f>
        <v>45.0</v>
      </c>
      <c r="Q9" s="21">
        <f t="shared" si="3"/>
        <v>46195.0</v>
      </c>
      <c r="R9" t="str">
        <f t="shared" si="4"/>
        <v>Allow</v>
      </c>
      <c r="S9" t="str">
        <f>IF(I9="","",_xlfn.XLOOKUP(I9,Lists!$C:$C,Lists!$I:$I))</f>
        <v>On-Label</v>
      </c>
    </row>
    <row r="10" spans="8:8">
      <c r="A10" s="18">
        <v>46149.0</v>
      </c>
      <c r="B10" s="19">
        <v>32.0</v>
      </c>
      <c r="C10">
        <f>_xlfn.XLOOKUP(B10,Lists!B:B,Lists!A:A,"")</f>
        <v>5.0</v>
      </c>
      <c r="D10" s="19" t="s">
        <v>234</v>
      </c>
      <c r="E10" s="19">
        <v>1.0</v>
      </c>
      <c r="F10" s="19">
        <v>160.0</v>
      </c>
      <c r="G10">
        <f t="shared" si="0"/>
        <v>160.0</v>
      </c>
      <c r="H10" s="20">
        <f t="shared" si="5"/>
        <v>1.0</v>
      </c>
      <c r="I10" s="19" t="s">
        <v>65</v>
      </c>
      <c r="J10" t="str">
        <f>IF(I10="","",_xlfn.XLOOKUP(I10,Lists!$C:$C,Lists!$D:$D))</f>
        <v>Tebuconazole 25%</v>
      </c>
      <c r="K10" s="19" t="s">
        <v>52</v>
      </c>
      <c r="L10" s="19">
        <v>100.0</v>
      </c>
      <c r="M10" s="19">
        <v>900.0</v>
      </c>
      <c r="N10">
        <f t="shared" si="2"/>
        <v>0.9</v>
      </c>
      <c r="O10" t="str">
        <f>IF(I10="","",_xlfn.XLOOKUP(I10,Lists!$C:$C,Lists!$J:$J))</f>
        <v>L</v>
      </c>
      <c r="P10">
        <f>IF(I10="","",_xlfn.XLOOKUP(I10,Lists!$C:$C,Lists!$E:$E))</f>
        <v>45.0</v>
      </c>
      <c r="Q10" s="21">
        <f t="shared" si="3"/>
        <v>46195.0</v>
      </c>
      <c r="R10" t="str">
        <f t="shared" si="4"/>
        <v>Allow</v>
      </c>
      <c r="S10" t="str">
        <f>IF(I10="","",_xlfn.XLOOKUP(I10,Lists!$C:$C,Lists!$I:$I))</f>
        <v>On-Label</v>
      </c>
    </row>
    <row r="11" spans="8:8">
      <c r="A11" s="18">
        <v>46150.0</v>
      </c>
      <c r="B11" s="19">
        <v>10.0</v>
      </c>
      <c r="C11">
        <f>_xlfn.XLOOKUP(B11,Lists!B:B,Lists!A:A,"")</f>
        <v>1.0</v>
      </c>
      <c r="D11" s="19" t="s">
        <v>234</v>
      </c>
      <c r="E11" s="19">
        <v>1.0</v>
      </c>
      <c r="F11" s="19">
        <v>160.0</v>
      </c>
      <c r="G11">
        <f t="shared" si="0"/>
        <v>160.0</v>
      </c>
      <c r="H11" s="20">
        <f t="shared" si="5"/>
        <v>1.0</v>
      </c>
      <c r="I11" s="19" t="s">
        <v>65</v>
      </c>
      <c r="J11" t="str">
        <f>IF(I11="","",_xlfn.XLOOKUP(I11,Lists!$C:$C,Lists!$D:$D))</f>
        <v>Tebuconazole 25%</v>
      </c>
      <c r="K11" s="19" t="s">
        <v>52</v>
      </c>
      <c r="L11" s="19">
        <v>100.0</v>
      </c>
      <c r="M11" s="19">
        <v>900.0</v>
      </c>
      <c r="N11">
        <f t="shared" si="2"/>
        <v>0.9</v>
      </c>
      <c r="O11" t="str">
        <f>IF(I11="","",_xlfn.XLOOKUP(I11,Lists!$C:$C,Lists!$J:$J))</f>
        <v>L</v>
      </c>
      <c r="P11">
        <f>IF(I11="","",_xlfn.XLOOKUP(I11,Lists!$C:$C,Lists!$E:$E))</f>
        <v>45.0</v>
      </c>
      <c r="Q11" s="21">
        <f t="shared" si="3"/>
        <v>46196.0</v>
      </c>
      <c r="R11" t="str">
        <f t="shared" si="4"/>
        <v>Allow</v>
      </c>
      <c r="S11" t="str">
        <f>IF(I11="","",_xlfn.XLOOKUP(I11,Lists!$C:$C,Lists!$I:$I))</f>
        <v>On-Label</v>
      </c>
    </row>
    <row r="12" spans="8:8">
      <c r="A12" s="18">
        <v>46150.0</v>
      </c>
      <c r="B12" s="19">
        <v>23.0</v>
      </c>
      <c r="C12">
        <f>_xlfn.XLOOKUP(B12,Lists!B:B,Lists!A:A,"")</f>
        <v>3.0</v>
      </c>
      <c r="D12" s="19" t="s">
        <v>234</v>
      </c>
      <c r="E12" s="19">
        <v>1.0</v>
      </c>
      <c r="F12" s="19">
        <v>160.0</v>
      </c>
      <c r="G12">
        <f t="shared" si="0"/>
        <v>160.0</v>
      </c>
      <c r="H12" s="20">
        <f t="shared" si="5"/>
        <v>1.0</v>
      </c>
      <c r="I12" s="19" t="s">
        <v>65</v>
      </c>
      <c r="J12" t="str">
        <f>IF(I12="","",_xlfn.XLOOKUP(I12,Lists!$C:$C,Lists!$D:$D))</f>
        <v>Tebuconazole 25%</v>
      </c>
      <c r="K12" s="19" t="s">
        <v>52</v>
      </c>
      <c r="L12" s="19">
        <v>100.0</v>
      </c>
      <c r="M12" s="19">
        <v>900.0</v>
      </c>
      <c r="N12">
        <f t="shared" si="2"/>
        <v>0.9</v>
      </c>
      <c r="O12" t="str">
        <f>IF(I12="","",_xlfn.XLOOKUP(I12,Lists!$C:$C,Lists!$J:$J))</f>
        <v>L</v>
      </c>
      <c r="P12">
        <f>IF(I12="","",_xlfn.XLOOKUP(I12,Lists!$C:$C,Lists!$E:$E))</f>
        <v>45.0</v>
      </c>
      <c r="Q12" s="21">
        <f t="shared" si="3"/>
        <v>46196.0</v>
      </c>
      <c r="R12" t="str">
        <f t="shared" si="4"/>
        <v>Allow</v>
      </c>
      <c r="S12" t="str">
        <f>IF(I12="","",_xlfn.XLOOKUP(I12,Lists!$C:$C,Lists!$I:$I))</f>
        <v>On-Label</v>
      </c>
    </row>
    <row r="13" spans="8:8">
      <c r="A13" s="18">
        <v>46150.0</v>
      </c>
      <c r="B13" s="19">
        <v>46.0</v>
      </c>
      <c r="C13">
        <f>_xlfn.XLOOKUP(B13,Lists!B:B,Lists!A:A,"")</f>
        <v>4.0</v>
      </c>
      <c r="D13" s="19" t="s">
        <v>234</v>
      </c>
      <c r="E13" s="19">
        <v>1.0</v>
      </c>
      <c r="F13" s="19">
        <v>160.0</v>
      </c>
      <c r="G13">
        <f t="shared" si="0"/>
        <v>160.0</v>
      </c>
      <c r="H13" s="20">
        <f t="shared" si="5"/>
        <v>1.0</v>
      </c>
      <c r="I13" s="19" t="s">
        <v>65</v>
      </c>
      <c r="J13" t="str">
        <f>IF(I13="","",_xlfn.XLOOKUP(I13,Lists!$C:$C,Lists!$D:$D))</f>
        <v>Tebuconazole 25%</v>
      </c>
      <c r="K13" s="19" t="s">
        <v>52</v>
      </c>
      <c r="L13" s="19">
        <v>100.0</v>
      </c>
      <c r="M13" s="19">
        <v>900.0</v>
      </c>
      <c r="N13">
        <f t="shared" si="2"/>
        <v>0.9</v>
      </c>
      <c r="O13" t="str">
        <f>IF(I13="","",_xlfn.XLOOKUP(I13,Lists!$C:$C,Lists!$J:$J))</f>
        <v>L</v>
      </c>
      <c r="P13">
        <f>IF(I13="","",_xlfn.XLOOKUP(I13,Lists!$C:$C,Lists!$E:$E))</f>
        <v>45.0</v>
      </c>
      <c r="Q13" s="21">
        <f t="shared" si="3"/>
        <v>46196.0</v>
      </c>
      <c r="R13" t="str">
        <f t="shared" si="4"/>
        <v>Allow</v>
      </c>
      <c r="S13" t="str">
        <f>IF(I13="","",_xlfn.XLOOKUP(I13,Lists!$C:$C,Lists!$I:$I))</f>
        <v>On-Label</v>
      </c>
    </row>
    <row r="14" spans="8:8">
      <c r="A14" s="18">
        <v>46151.0</v>
      </c>
      <c r="B14" s="19">
        <v>37.0</v>
      </c>
      <c r="C14">
        <f>_xlfn.XLOOKUP(B14,Lists!B:B,Lists!A:A,"")</f>
        <v>5.0</v>
      </c>
      <c r="D14" s="19" t="s">
        <v>234</v>
      </c>
      <c r="E14" s="19">
        <v>1.0</v>
      </c>
      <c r="F14" s="19">
        <v>160.0</v>
      </c>
      <c r="G14">
        <f t="shared" si="0"/>
        <v>160.0</v>
      </c>
      <c r="H14" s="20">
        <f t="shared" si="5"/>
        <v>1.0</v>
      </c>
      <c r="I14" s="19" t="s">
        <v>65</v>
      </c>
      <c r="J14" t="str">
        <f>IF(I14="","",_xlfn.XLOOKUP(I14,Lists!$C:$C,Lists!$D:$D))</f>
        <v>Tebuconazole 25%</v>
      </c>
      <c r="K14" s="19" t="s">
        <v>52</v>
      </c>
      <c r="L14" s="19">
        <v>100.0</v>
      </c>
      <c r="M14" s="19">
        <v>900.0</v>
      </c>
      <c r="N14">
        <f t="shared" si="2"/>
        <v>0.9</v>
      </c>
      <c r="O14" t="str">
        <f>IF(I14="","",_xlfn.XLOOKUP(I14,Lists!$C:$C,Lists!$J:$J))</f>
        <v>L</v>
      </c>
      <c r="P14">
        <f>IF(I14="","",_xlfn.XLOOKUP(I14,Lists!$C:$C,Lists!$E:$E))</f>
        <v>45.0</v>
      </c>
      <c r="Q14" s="21">
        <f t="shared" si="3"/>
        <v>46197.0</v>
      </c>
      <c r="R14" t="str">
        <f t="shared" si="4"/>
        <v>Allow</v>
      </c>
      <c r="S14" t="str">
        <f>IF(I14="","",_xlfn.XLOOKUP(I14,Lists!$C:$C,Lists!$I:$I))</f>
        <v>On-Label</v>
      </c>
    </row>
    <row r="15" spans="8:8">
      <c r="A15" s="18">
        <v>46151.0</v>
      </c>
      <c r="B15" s="19">
        <v>47.0</v>
      </c>
      <c r="C15">
        <f>_xlfn.XLOOKUP(B15,Lists!B:B,Lists!A:A,"")</f>
        <v>4.0</v>
      </c>
      <c r="D15" s="19" t="s">
        <v>234</v>
      </c>
      <c r="E15" s="19">
        <v>1.0</v>
      </c>
      <c r="F15" s="19">
        <v>160.0</v>
      </c>
      <c r="G15">
        <f t="shared" si="0"/>
        <v>160.0</v>
      </c>
      <c r="H15" s="20">
        <f t="shared" si="5"/>
        <v>1.0</v>
      </c>
      <c r="I15" s="19" t="s">
        <v>65</v>
      </c>
      <c r="J15" t="str">
        <f>IF(I15="","",_xlfn.XLOOKUP(I15,Lists!$C:$C,Lists!$D:$D))</f>
        <v>Tebuconazole 25%</v>
      </c>
      <c r="K15" s="19" t="s">
        <v>52</v>
      </c>
      <c r="L15" s="19">
        <v>100.0</v>
      </c>
      <c r="M15" s="19">
        <v>900.0</v>
      </c>
      <c r="N15">
        <f t="shared" si="2"/>
        <v>0.9</v>
      </c>
      <c r="O15" t="str">
        <f>IF(I15="","",_xlfn.XLOOKUP(I15,Lists!$C:$C,Lists!$J:$J))</f>
        <v>L</v>
      </c>
      <c r="P15">
        <f>IF(I15="","",_xlfn.XLOOKUP(I15,Lists!$C:$C,Lists!$E:$E))</f>
        <v>45.0</v>
      </c>
      <c r="Q15" s="21">
        <f t="shared" si="3"/>
        <v>46197.0</v>
      </c>
      <c r="R15" t="str">
        <f t="shared" si="4"/>
        <v>Allow</v>
      </c>
      <c r="S15" t="str">
        <f>IF(I15="","",_xlfn.XLOOKUP(I15,Lists!$C:$C,Lists!$I:$I))</f>
        <v>On-Label</v>
      </c>
    </row>
    <row r="16" spans="8:8">
      <c r="A16" s="18">
        <v>46151.0</v>
      </c>
      <c r="B16" s="19">
        <v>42.0</v>
      </c>
      <c r="C16">
        <f>_xlfn.XLOOKUP(B16,Lists!B:B,Lists!A:A,"")</f>
        <v>5.0</v>
      </c>
      <c r="D16" s="19" t="s">
        <v>234</v>
      </c>
      <c r="E16" s="19">
        <v>1.0</v>
      </c>
      <c r="F16" s="19">
        <v>160.0</v>
      </c>
      <c r="G16">
        <f t="shared" si="0"/>
        <v>160.0</v>
      </c>
      <c r="H16" s="20">
        <f t="shared" si="5"/>
        <v>1.0</v>
      </c>
      <c r="I16" s="19" t="s">
        <v>65</v>
      </c>
      <c r="J16" t="str">
        <f>IF(I16="","",_xlfn.XLOOKUP(I16,Lists!$C:$C,Lists!$D:$D))</f>
        <v>Tebuconazole 25%</v>
      </c>
      <c r="K16" s="19" t="s">
        <v>52</v>
      </c>
      <c r="L16" s="19">
        <v>100.0</v>
      </c>
      <c r="M16" s="19">
        <v>900.0</v>
      </c>
      <c r="N16">
        <f t="shared" si="2"/>
        <v>0.9</v>
      </c>
      <c r="O16" t="str">
        <f>IF(I16="","",_xlfn.XLOOKUP(I16,Lists!$C:$C,Lists!$J:$J))</f>
        <v>L</v>
      </c>
      <c r="P16">
        <f>IF(I16="","",_xlfn.XLOOKUP(I16,Lists!$C:$C,Lists!$E:$E))</f>
        <v>45.0</v>
      </c>
      <c r="Q16" s="21">
        <f t="shared" si="3"/>
        <v>46197.0</v>
      </c>
      <c r="R16" t="str">
        <f t="shared" si="4"/>
        <v>Allow</v>
      </c>
      <c r="S16" t="str">
        <f>IF(I16="","",_xlfn.XLOOKUP(I16,Lists!$C:$C,Lists!$I:$I))</f>
        <v>On-Label</v>
      </c>
    </row>
    <row r="17" spans="8:8">
      <c r="A17" s="18">
        <v>46151.0</v>
      </c>
      <c r="B17" s="19">
        <v>9.0</v>
      </c>
      <c r="C17">
        <f>_xlfn.XLOOKUP(B17,Lists!B:B,Lists!A:A,"")</f>
        <v>1.0</v>
      </c>
      <c r="D17" s="19" t="s">
        <v>234</v>
      </c>
      <c r="E17" s="19">
        <v>1.0</v>
      </c>
      <c r="F17" s="19">
        <v>160.0</v>
      </c>
      <c r="G17">
        <f t="shared" si="0"/>
        <v>160.0</v>
      </c>
      <c r="H17" s="20">
        <f t="shared" si="5"/>
        <v>1.0</v>
      </c>
      <c r="I17" s="19" t="s">
        <v>65</v>
      </c>
      <c r="J17" t="str">
        <f>IF(I17="","",_xlfn.XLOOKUP(I17,Lists!$C:$C,Lists!$D:$D))</f>
        <v>Tebuconazole 25%</v>
      </c>
      <c r="K17" s="19" t="s">
        <v>52</v>
      </c>
      <c r="L17" s="19">
        <v>100.0</v>
      </c>
      <c r="M17" s="19">
        <v>900.0</v>
      </c>
      <c r="N17">
        <f t="shared" si="2"/>
        <v>0.9</v>
      </c>
      <c r="O17" t="str">
        <f>IF(I17="","",_xlfn.XLOOKUP(I17,Lists!$C:$C,Lists!$J:$J))</f>
        <v>L</v>
      </c>
      <c r="P17">
        <f>IF(I17="","",_xlfn.XLOOKUP(I17,Lists!$C:$C,Lists!$E:$E))</f>
        <v>45.0</v>
      </c>
      <c r="Q17" s="21">
        <f t="shared" si="3"/>
        <v>46197.0</v>
      </c>
      <c r="R17" t="str">
        <f t="shared" si="4"/>
        <v>Allow</v>
      </c>
      <c r="S17" t="str">
        <f>IF(I17="","",_xlfn.XLOOKUP(I17,Lists!$C:$C,Lists!$I:$I))</f>
        <v>On-Label</v>
      </c>
    </row>
    <row r="18" spans="8:8">
      <c r="A18" s="18">
        <v>46152.0</v>
      </c>
      <c r="B18" s="19">
        <v>14.0</v>
      </c>
      <c r="C18">
        <f>_xlfn.XLOOKUP(B18,Lists!B:B,Lists!A:A,"")</f>
        <v>2.0</v>
      </c>
      <c r="D18" s="19" t="s">
        <v>234</v>
      </c>
      <c r="E18" s="19">
        <v>1.0</v>
      </c>
      <c r="F18" s="19">
        <v>160.0</v>
      </c>
      <c r="G18">
        <f t="shared" si="0"/>
        <v>160.0</v>
      </c>
      <c r="H18" s="20">
        <f t="shared" si="5"/>
        <v>1.0</v>
      </c>
      <c r="I18" s="19" t="s">
        <v>65</v>
      </c>
      <c r="J18" t="str">
        <f>IF(I18="","",_xlfn.XLOOKUP(I18,Lists!$C:$C,Lists!$D:$D))</f>
        <v>Tebuconazole 25%</v>
      </c>
      <c r="K18" s="19" t="s">
        <v>52</v>
      </c>
      <c r="L18" s="19">
        <v>100.0</v>
      </c>
      <c r="M18" s="19">
        <v>900.0</v>
      </c>
      <c r="N18">
        <f t="shared" si="2"/>
        <v>0.9</v>
      </c>
      <c r="O18" t="str">
        <f>IF(I18="","",_xlfn.XLOOKUP(I18,Lists!$C:$C,Lists!$J:$J))</f>
        <v>L</v>
      </c>
      <c r="P18">
        <f>IF(I18="","",_xlfn.XLOOKUP(I18,Lists!$C:$C,Lists!$E:$E))</f>
        <v>45.0</v>
      </c>
      <c r="Q18" s="21">
        <f t="shared" si="3"/>
        <v>46198.0</v>
      </c>
      <c r="R18" t="str">
        <f t="shared" si="4"/>
        <v>Allow</v>
      </c>
      <c r="S18" t="str">
        <f>IF(I18="","",_xlfn.XLOOKUP(I18,Lists!$C:$C,Lists!$I:$I))</f>
        <v>On-Label</v>
      </c>
    </row>
    <row r="19" spans="8:8">
      <c r="A19" s="18">
        <v>46152.0</v>
      </c>
      <c r="B19" s="19">
        <v>28.0</v>
      </c>
      <c r="C19">
        <f>_xlfn.XLOOKUP(B19,Lists!B:B,Lists!A:A,"")</f>
        <v>3.0</v>
      </c>
      <c r="D19" s="19" t="s">
        <v>234</v>
      </c>
      <c r="E19" s="19">
        <v>1.0</v>
      </c>
      <c r="F19" s="19">
        <v>160.0</v>
      </c>
      <c r="G19">
        <f t="shared" si="0"/>
        <v>160.0</v>
      </c>
      <c r="H19" s="20">
        <f t="shared" si="5"/>
        <v>1.0</v>
      </c>
      <c r="I19" s="19" t="s">
        <v>65</v>
      </c>
      <c r="J19" t="str">
        <f>IF(I19="","",_xlfn.XLOOKUP(I19,Lists!$C:$C,Lists!$D:$D))</f>
        <v>Tebuconazole 25%</v>
      </c>
      <c r="K19" s="19" t="s">
        <v>52</v>
      </c>
      <c r="L19" s="19">
        <v>100.0</v>
      </c>
      <c r="M19" s="19">
        <v>900.0</v>
      </c>
      <c r="N19">
        <f t="shared" si="2"/>
        <v>0.9</v>
      </c>
      <c r="O19" t="str">
        <f>IF(I19="","",_xlfn.XLOOKUP(I19,Lists!$C:$C,Lists!$J:$J))</f>
        <v>L</v>
      </c>
      <c r="P19">
        <f>IF(I19="","",_xlfn.XLOOKUP(I19,Lists!$C:$C,Lists!$E:$E))</f>
        <v>45.0</v>
      </c>
      <c r="Q19" s="21">
        <f t="shared" si="3"/>
        <v>46198.0</v>
      </c>
      <c r="R19" t="str">
        <f t="shared" si="4"/>
        <v>Allow</v>
      </c>
      <c r="S19" t="str">
        <f>IF(I19="","",_xlfn.XLOOKUP(I19,Lists!$C:$C,Lists!$I:$I))</f>
        <v>On-Label</v>
      </c>
    </row>
    <row r="20" spans="8:8">
      <c r="A20" s="18">
        <v>46152.0</v>
      </c>
      <c r="B20" s="19">
        <v>23.0</v>
      </c>
      <c r="C20">
        <f>_xlfn.XLOOKUP(B20,Lists!B:B,Lists!A:A,"")</f>
        <v>3.0</v>
      </c>
      <c r="D20" s="19" t="s">
        <v>234</v>
      </c>
      <c r="E20" s="19">
        <v>1.0</v>
      </c>
      <c r="F20" s="19">
        <v>160.0</v>
      </c>
      <c r="G20">
        <f t="shared" si="0"/>
        <v>160.0</v>
      </c>
      <c r="H20" s="20">
        <f t="shared" si="5"/>
        <v>1.0</v>
      </c>
      <c r="I20" s="19" t="s">
        <v>65</v>
      </c>
      <c r="J20" t="str">
        <f>IF(I20="","",_xlfn.XLOOKUP(I20,Lists!$C:$C,Lists!$D:$D))</f>
        <v>Tebuconazole 25%</v>
      </c>
      <c r="K20" s="19" t="s">
        <v>52</v>
      </c>
      <c r="L20" s="19">
        <v>100.0</v>
      </c>
      <c r="M20" s="19">
        <v>900.0</v>
      </c>
      <c r="N20">
        <f t="shared" si="2"/>
        <v>0.9</v>
      </c>
      <c r="O20" t="str">
        <f>IF(I20="","",_xlfn.XLOOKUP(I20,Lists!$C:$C,Lists!$J:$J))</f>
        <v>L</v>
      </c>
      <c r="P20">
        <f>IF(I20="","",_xlfn.XLOOKUP(I20,Lists!$C:$C,Lists!$E:$E))</f>
        <v>45.0</v>
      </c>
      <c r="Q20" s="21">
        <f t="shared" si="3"/>
        <v>46198.0</v>
      </c>
      <c r="R20" t="str">
        <f t="shared" si="4"/>
        <v>Allow</v>
      </c>
      <c r="S20" t="str">
        <f>IF(I20="","",_xlfn.XLOOKUP(I20,Lists!$C:$C,Lists!$I:$I))</f>
        <v>On-Label</v>
      </c>
    </row>
    <row r="21" spans="8:8">
      <c r="A21" s="18">
        <v>46153.0</v>
      </c>
      <c r="B21" s="19">
        <v>51.0</v>
      </c>
      <c r="C21">
        <f>_xlfn.XLOOKUP(B21,Lists!B:B,Lists!A:A,"")</f>
        <v>4.0</v>
      </c>
      <c r="D21" s="19" t="s">
        <v>234</v>
      </c>
      <c r="E21" s="19">
        <v>1.0</v>
      </c>
      <c r="F21" s="19">
        <v>160.0</v>
      </c>
      <c r="G21">
        <f t="shared" si="0"/>
        <v>160.0</v>
      </c>
      <c r="H21" s="20">
        <f t="shared" si="5"/>
        <v>1.0</v>
      </c>
      <c r="I21" s="19" t="s">
        <v>65</v>
      </c>
      <c r="J21" t="str">
        <f>IF(I21="","",_xlfn.XLOOKUP(I21,Lists!$C:$C,Lists!$D:$D))</f>
        <v>Tebuconazole 25%</v>
      </c>
      <c r="K21" s="19" t="s">
        <v>52</v>
      </c>
      <c r="L21" s="19">
        <v>100.0</v>
      </c>
      <c r="M21" s="19">
        <v>900.0</v>
      </c>
      <c r="N21">
        <f t="shared" si="2"/>
        <v>0.9</v>
      </c>
      <c r="O21" t="str">
        <f>IF(I21="","",_xlfn.XLOOKUP(I21,Lists!$C:$C,Lists!$J:$J))</f>
        <v>L</v>
      </c>
      <c r="P21">
        <f>IF(I21="","",_xlfn.XLOOKUP(I21,Lists!$C:$C,Lists!$E:$E))</f>
        <v>45.0</v>
      </c>
      <c r="Q21" s="21">
        <f t="shared" si="3"/>
        <v>46199.0</v>
      </c>
      <c r="R21" t="str">
        <f t="shared" si="4"/>
        <v>Not Allow</v>
      </c>
      <c r="S21" t="str">
        <f>IF(I21="","",_xlfn.XLOOKUP(I21,Lists!$C:$C,Lists!$I:$I))</f>
        <v>On-Label</v>
      </c>
    </row>
    <row r="22" spans="8:8">
      <c r="A22" s="18">
        <v>46153.0</v>
      </c>
      <c r="B22" s="19">
        <v>20.0</v>
      </c>
      <c r="C22">
        <f>_xlfn.XLOOKUP(B22,Lists!B:B,Lists!A:A,"")</f>
        <v>2.0</v>
      </c>
      <c r="D22" s="19" t="s">
        <v>234</v>
      </c>
      <c r="E22" s="19">
        <v>1.0</v>
      </c>
      <c r="F22" s="19">
        <v>160.0</v>
      </c>
      <c r="G22">
        <f t="shared" si="0"/>
        <v>160.0</v>
      </c>
      <c r="H22" s="20">
        <f t="shared" si="5"/>
        <v>1.0</v>
      </c>
      <c r="I22" s="19" t="s">
        <v>65</v>
      </c>
      <c r="J22" t="str">
        <f>IF(I22="","",_xlfn.XLOOKUP(I22,Lists!$C:$C,Lists!$D:$D))</f>
        <v>Tebuconazole 25%</v>
      </c>
      <c r="K22" s="19" t="s">
        <v>52</v>
      </c>
      <c r="L22" s="19">
        <v>100.0</v>
      </c>
      <c r="M22" s="19">
        <v>900.0</v>
      </c>
      <c r="N22">
        <f t="shared" si="2"/>
        <v>0.9</v>
      </c>
      <c r="O22" t="str">
        <f>IF(I22="","",_xlfn.XLOOKUP(I22,Lists!$C:$C,Lists!$J:$J))</f>
        <v>L</v>
      </c>
      <c r="P22">
        <f>IF(I22="","",_xlfn.XLOOKUP(I22,Lists!$C:$C,Lists!$E:$E))</f>
        <v>45.0</v>
      </c>
      <c r="Q22" s="21">
        <f t="shared" si="3"/>
        <v>46199.0</v>
      </c>
      <c r="R22" t="str">
        <f t="shared" si="4"/>
        <v>Not Allow</v>
      </c>
      <c r="S22" t="str">
        <f>IF(I22="","",_xlfn.XLOOKUP(I22,Lists!$C:$C,Lists!$I:$I))</f>
        <v>On-Label</v>
      </c>
    </row>
    <row r="23" spans="8:8">
      <c r="A23" s="18">
        <v>46153.0</v>
      </c>
      <c r="B23" s="19">
        <v>24.0</v>
      </c>
      <c r="C23">
        <f>_xlfn.XLOOKUP(B23,Lists!B:B,Lists!A:A,"")</f>
        <v>3.0</v>
      </c>
      <c r="D23" s="19" t="s">
        <v>234</v>
      </c>
      <c r="E23" s="19">
        <v>1.0</v>
      </c>
      <c r="F23" s="19">
        <v>160.0</v>
      </c>
      <c r="G23">
        <f t="shared" si="0"/>
        <v>160.0</v>
      </c>
      <c r="H23" s="20">
        <f t="shared" si="5"/>
        <v>1.0</v>
      </c>
      <c r="I23" s="19" t="s">
        <v>65</v>
      </c>
      <c r="J23" t="str">
        <f>IF(I23="","",_xlfn.XLOOKUP(I23,Lists!$C:$C,Lists!$D:$D))</f>
        <v>Tebuconazole 25%</v>
      </c>
      <c r="K23" s="19" t="s">
        <v>52</v>
      </c>
      <c r="L23" s="19">
        <v>100.0</v>
      </c>
      <c r="M23" s="19">
        <v>900.0</v>
      </c>
      <c r="N23">
        <f t="shared" si="2"/>
        <v>0.9</v>
      </c>
      <c r="O23" t="str">
        <f>IF(I23="","",_xlfn.XLOOKUP(I23,Lists!$C:$C,Lists!$J:$J))</f>
        <v>L</v>
      </c>
      <c r="P23">
        <f>IF(I23="","",_xlfn.XLOOKUP(I23,Lists!$C:$C,Lists!$E:$E))</f>
        <v>45.0</v>
      </c>
      <c r="Q23" s="21">
        <f t="shared" si="3"/>
        <v>46199.0</v>
      </c>
      <c r="R23" t="str">
        <f t="shared" si="4"/>
        <v>Not Allow</v>
      </c>
      <c r="S23" t="str">
        <f>IF(I23="","",_xlfn.XLOOKUP(I23,Lists!$C:$C,Lists!$I:$I))</f>
        <v>On-Label</v>
      </c>
    </row>
    <row r="24" spans="8:8">
      <c r="A24" s="18">
        <v>46153.0</v>
      </c>
      <c r="B24" s="19">
        <v>52.0</v>
      </c>
      <c r="C24">
        <f>_xlfn.XLOOKUP(B24,Lists!B:B,Lists!A:A,"")</f>
        <v>4.0</v>
      </c>
      <c r="D24" s="19" t="s">
        <v>234</v>
      </c>
      <c r="E24" s="19">
        <v>1.0</v>
      </c>
      <c r="F24" s="19">
        <v>160.0</v>
      </c>
      <c r="G24">
        <f t="shared" si="0"/>
        <v>160.0</v>
      </c>
      <c r="H24" s="20">
        <f t="shared" si="5"/>
        <v>1.0</v>
      </c>
      <c r="I24" s="19" t="s">
        <v>65</v>
      </c>
      <c r="J24" t="str">
        <f>IF(I24="","",_xlfn.XLOOKUP(I24,Lists!$C:$C,Lists!$D:$D))</f>
        <v>Tebuconazole 25%</v>
      </c>
      <c r="K24" s="19" t="s">
        <v>52</v>
      </c>
      <c r="L24" s="19">
        <v>100.0</v>
      </c>
      <c r="M24" s="19">
        <v>900.0</v>
      </c>
      <c r="N24">
        <f t="shared" si="2"/>
        <v>0.9</v>
      </c>
      <c r="O24" t="str">
        <f>IF(I24="","",_xlfn.XLOOKUP(I24,Lists!$C:$C,Lists!$J:$J))</f>
        <v>L</v>
      </c>
      <c r="P24">
        <f>IF(I24="","",_xlfn.XLOOKUP(I24,Lists!$C:$C,Lists!$E:$E))</f>
        <v>45.0</v>
      </c>
      <c r="Q24" s="21">
        <f t="shared" si="3"/>
        <v>46199.0</v>
      </c>
      <c r="R24" t="str">
        <f t="shared" si="4"/>
        <v>Not Allow</v>
      </c>
      <c r="S24" t="str">
        <f>IF(I24="","",_xlfn.XLOOKUP(I24,Lists!$C:$C,Lists!$I:$I))</f>
        <v>On-Label</v>
      </c>
    </row>
    <row r="25" spans="8:8">
      <c r="A25" s="18">
        <v>46153.0</v>
      </c>
      <c r="B25" s="19">
        <v>38.0</v>
      </c>
      <c r="C25">
        <f>_xlfn.XLOOKUP(B25,Lists!B:B,Lists!A:A,"")</f>
        <v>5.0</v>
      </c>
      <c r="D25" s="19" t="s">
        <v>234</v>
      </c>
      <c r="E25" s="19">
        <v>1.0</v>
      </c>
      <c r="F25" s="19">
        <v>160.0</v>
      </c>
      <c r="G25">
        <f t="shared" si="0"/>
        <v>160.0</v>
      </c>
      <c r="H25" s="20">
        <f t="shared" si="5"/>
        <v>1.0</v>
      </c>
      <c r="I25" s="19" t="s">
        <v>65</v>
      </c>
      <c r="J25" t="str">
        <f>IF(I25="","",_xlfn.XLOOKUP(I25,Lists!$C:$C,Lists!$D:$D))</f>
        <v>Tebuconazole 25%</v>
      </c>
      <c r="K25" s="19" t="s">
        <v>52</v>
      </c>
      <c r="L25" s="19">
        <v>100.0</v>
      </c>
      <c r="M25" s="19">
        <v>900.0</v>
      </c>
      <c r="N25">
        <f t="shared" si="2"/>
        <v>0.9</v>
      </c>
      <c r="O25" t="str">
        <f>IF(I25="","",_xlfn.XLOOKUP(I25,Lists!$C:$C,Lists!$J:$J))</f>
        <v>L</v>
      </c>
      <c r="P25">
        <f>IF(I25="","",_xlfn.XLOOKUP(I25,Lists!$C:$C,Lists!$E:$E))</f>
        <v>45.0</v>
      </c>
      <c r="Q25" s="21">
        <f t="shared" si="3"/>
        <v>46199.0</v>
      </c>
      <c r="R25" t="str">
        <f t="shared" si="4"/>
        <v>Not Allow</v>
      </c>
      <c r="S25" t="str">
        <f>IF(I25="","",_xlfn.XLOOKUP(I25,Lists!$C:$C,Lists!$I:$I))</f>
        <v>On-Label</v>
      </c>
    </row>
    <row r="26" spans="8:8">
      <c r="A26" s="18">
        <v>46154.0</v>
      </c>
      <c r="B26" s="19">
        <v>24.0</v>
      </c>
      <c r="C26">
        <f>_xlfn.XLOOKUP(B26,Lists!B:B,Lists!A:A,"")</f>
        <v>3.0</v>
      </c>
      <c r="D26" s="19" t="s">
        <v>234</v>
      </c>
      <c r="E26" s="19">
        <v>1.0</v>
      </c>
      <c r="F26" s="19">
        <v>160.0</v>
      </c>
      <c r="G26">
        <f t="shared" si="0"/>
        <v>160.0</v>
      </c>
      <c r="H26" s="20">
        <f t="shared" si="5"/>
        <v>1.0</v>
      </c>
      <c r="I26" s="19" t="s">
        <v>65</v>
      </c>
      <c r="J26" t="str">
        <f>IF(I26="","",_xlfn.XLOOKUP(I26,Lists!$C:$C,Lists!$D:$D))</f>
        <v>Tebuconazole 25%</v>
      </c>
      <c r="K26" s="19" t="s">
        <v>52</v>
      </c>
      <c r="L26" s="19">
        <v>100.0</v>
      </c>
      <c r="M26" s="19">
        <v>900.0</v>
      </c>
      <c r="N26">
        <f t="shared" si="2"/>
        <v>0.9</v>
      </c>
      <c r="O26" t="str">
        <f>IF(I26="","",_xlfn.XLOOKUP(I26,Lists!$C:$C,Lists!$J:$J))</f>
        <v>L</v>
      </c>
      <c r="P26">
        <f>IF(I26="","",_xlfn.XLOOKUP(I26,Lists!$C:$C,Lists!$E:$E))</f>
        <v>45.0</v>
      </c>
      <c r="Q26" s="21">
        <f t="shared" si="3"/>
        <v>46200.0</v>
      </c>
      <c r="R26" t="str">
        <f t="shared" si="4"/>
        <v>Not Allow</v>
      </c>
      <c r="S26" t="str">
        <f>IF(I26="","",_xlfn.XLOOKUP(I26,Lists!$C:$C,Lists!$I:$I))</f>
        <v>On-Label</v>
      </c>
    </row>
    <row r="27" spans="8:8">
      <c r="A27" s="18">
        <v>46154.0</v>
      </c>
      <c r="B27" s="19">
        <v>25.0</v>
      </c>
      <c r="C27">
        <f>_xlfn.XLOOKUP(B27,Lists!B:B,Lists!A:A,"")</f>
        <v>3.0</v>
      </c>
      <c r="D27" s="19" t="s">
        <v>234</v>
      </c>
      <c r="E27" s="19">
        <v>1.0</v>
      </c>
      <c r="F27" s="19">
        <v>160.0</v>
      </c>
      <c r="G27">
        <f t="shared" si="0"/>
        <v>160.0</v>
      </c>
      <c r="H27" s="20">
        <f t="shared" si="5"/>
        <v>1.0</v>
      </c>
      <c r="I27" s="19" t="s">
        <v>65</v>
      </c>
      <c r="J27" t="str">
        <f>IF(I27="","",_xlfn.XLOOKUP(I27,Lists!$C:$C,Lists!$D:$D))</f>
        <v>Tebuconazole 25%</v>
      </c>
      <c r="K27" s="19" t="s">
        <v>52</v>
      </c>
      <c r="L27" s="19">
        <v>100.0</v>
      </c>
      <c r="M27" s="19">
        <v>900.0</v>
      </c>
      <c r="N27">
        <f t="shared" si="2"/>
        <v>0.9</v>
      </c>
      <c r="O27" t="str">
        <f>IF(I27="","",_xlfn.XLOOKUP(I27,Lists!$C:$C,Lists!$J:$J))</f>
        <v>L</v>
      </c>
      <c r="P27">
        <f>IF(I27="","",_xlfn.XLOOKUP(I27,Lists!$C:$C,Lists!$E:$E))</f>
        <v>45.0</v>
      </c>
      <c r="Q27" s="21">
        <f t="shared" si="3"/>
        <v>46200.0</v>
      </c>
      <c r="R27" t="str">
        <f t="shared" si="4"/>
        <v>Not Allow</v>
      </c>
      <c r="S27" t="str">
        <f>IF(I27="","",_xlfn.XLOOKUP(I27,Lists!$C:$C,Lists!$I:$I))</f>
        <v>On-Label</v>
      </c>
    </row>
    <row r="28" spans="8:8">
      <c r="A28" s="18">
        <v>46154.0</v>
      </c>
      <c r="B28" s="19">
        <v>19.0</v>
      </c>
      <c r="C28">
        <f>_xlfn.XLOOKUP(B28,Lists!B:B,Lists!A:A,"")</f>
        <v>2.0</v>
      </c>
      <c r="D28" s="19" t="s">
        <v>234</v>
      </c>
      <c r="E28" s="19">
        <v>1.0</v>
      </c>
      <c r="F28" s="19">
        <v>160.0</v>
      </c>
      <c r="G28">
        <f t="shared" si="0"/>
        <v>160.0</v>
      </c>
      <c r="H28" s="20">
        <f t="shared" si="5"/>
        <v>1.0</v>
      </c>
      <c r="I28" s="19" t="s">
        <v>65</v>
      </c>
      <c r="J28" t="str">
        <f>IF(I28="","",_xlfn.XLOOKUP(I28,Lists!$C:$C,Lists!$D:$D))</f>
        <v>Tebuconazole 25%</v>
      </c>
      <c r="K28" s="19" t="s">
        <v>52</v>
      </c>
      <c r="L28" s="19">
        <v>100.0</v>
      </c>
      <c r="M28" s="19">
        <v>900.0</v>
      </c>
      <c r="N28">
        <f t="shared" si="2"/>
        <v>0.9</v>
      </c>
      <c r="O28" t="str">
        <f>IF(I28="","",_xlfn.XLOOKUP(I28,Lists!$C:$C,Lists!$J:$J))</f>
        <v>L</v>
      </c>
      <c r="P28">
        <f>IF(I28="","",_xlfn.XLOOKUP(I28,Lists!$C:$C,Lists!$E:$E))</f>
        <v>45.0</v>
      </c>
      <c r="Q28" s="21">
        <f t="shared" si="3"/>
        <v>46200.0</v>
      </c>
      <c r="R28" t="str">
        <f t="shared" si="4"/>
        <v>Not Allow</v>
      </c>
      <c r="S28" t="str">
        <f>IF(I28="","",_xlfn.XLOOKUP(I28,Lists!$C:$C,Lists!$I:$I))</f>
        <v>On-Label</v>
      </c>
    </row>
    <row r="29" spans="8:8">
      <c r="A29" s="18">
        <v>46155.0</v>
      </c>
      <c r="B29" s="19">
        <v>8.0</v>
      </c>
      <c r="C29">
        <f>_xlfn.XLOOKUP(B29,Lists!B:B,Lists!A:A,"")</f>
        <v>1.0</v>
      </c>
      <c r="D29" s="19" t="s">
        <v>234</v>
      </c>
      <c r="E29" s="19">
        <v>1.0</v>
      </c>
      <c r="F29" s="19">
        <v>160.0</v>
      </c>
      <c r="G29">
        <f t="shared" si="0"/>
        <v>160.0</v>
      </c>
      <c r="H29" s="20">
        <f t="shared" si="5"/>
        <v>1.0</v>
      </c>
      <c r="I29" s="19" t="s">
        <v>65</v>
      </c>
      <c r="J29" t="str">
        <f>IF(I29="","",_xlfn.XLOOKUP(I29,Lists!$C:$C,Lists!$D:$D))</f>
        <v>Tebuconazole 25%</v>
      </c>
      <c r="K29" s="19" t="s">
        <v>52</v>
      </c>
      <c r="L29" s="19">
        <v>100.0</v>
      </c>
      <c r="M29" s="19">
        <v>900.0</v>
      </c>
      <c r="N29">
        <f t="shared" si="2"/>
        <v>0.9</v>
      </c>
      <c r="O29" t="str">
        <f>IF(I29="","",_xlfn.XLOOKUP(I29,Lists!$C:$C,Lists!$J:$J))</f>
        <v>L</v>
      </c>
      <c r="P29">
        <f>IF(I29="","",_xlfn.XLOOKUP(I29,Lists!$C:$C,Lists!$E:$E))</f>
        <v>45.0</v>
      </c>
      <c r="Q29" s="21">
        <f t="shared" si="3"/>
        <v>46201.0</v>
      </c>
      <c r="R29" t="str">
        <f t="shared" si="4"/>
        <v>Not Allow</v>
      </c>
      <c r="S29" t="str">
        <f>IF(I29="","",_xlfn.XLOOKUP(I29,Lists!$C:$C,Lists!$I:$I))</f>
        <v>On-Label</v>
      </c>
    </row>
    <row r="30" spans="8:8">
      <c r="A30" s="18">
        <v>46156.0</v>
      </c>
      <c r="B30" s="19">
        <v>7.0</v>
      </c>
      <c r="C30">
        <f>_xlfn.XLOOKUP(B30,Lists!B:B,Lists!A:A,"")</f>
        <v>1.0</v>
      </c>
      <c r="D30" s="19" t="s">
        <v>234</v>
      </c>
      <c r="E30" s="19">
        <v>1.0</v>
      </c>
      <c r="F30" s="19">
        <v>160.0</v>
      </c>
      <c r="G30">
        <f t="shared" si="0"/>
        <v>160.0</v>
      </c>
      <c r="H30" s="20">
        <f t="shared" si="5"/>
        <v>1.0</v>
      </c>
      <c r="I30" s="19" t="s">
        <v>65</v>
      </c>
      <c r="J30" t="str">
        <f>IF(I30="","",_xlfn.XLOOKUP(I30,Lists!$C:$C,Lists!$D:$D))</f>
        <v>Tebuconazole 25%</v>
      </c>
      <c r="K30" s="19" t="s">
        <v>52</v>
      </c>
      <c r="L30" s="19">
        <v>100.0</v>
      </c>
      <c r="M30" s="19">
        <v>900.0</v>
      </c>
      <c r="N30">
        <f t="shared" si="2"/>
        <v>0.9</v>
      </c>
      <c r="O30" t="str">
        <f>IF(I30="","",_xlfn.XLOOKUP(I30,Lists!$C:$C,Lists!$J:$J))</f>
        <v>L</v>
      </c>
      <c r="P30">
        <f>IF(I30="","",_xlfn.XLOOKUP(I30,Lists!$C:$C,Lists!$E:$E))</f>
        <v>45.0</v>
      </c>
      <c r="Q30" s="21">
        <f t="shared" si="3"/>
        <v>46202.0</v>
      </c>
      <c r="R30" t="str">
        <f t="shared" si="4"/>
        <v>Not Allow</v>
      </c>
      <c r="S30" t="str">
        <f>IF(I30="","",_xlfn.XLOOKUP(I30,Lists!$C:$C,Lists!$I:$I))</f>
        <v>On-Label</v>
      </c>
    </row>
    <row r="31" spans="8:8">
      <c r="A31" s="18">
        <v>46156.0</v>
      </c>
      <c r="B31" s="19">
        <v>39.0</v>
      </c>
      <c r="C31">
        <f>_xlfn.XLOOKUP(B31,Lists!B:B,Lists!A:A,"")</f>
        <v>5.0</v>
      </c>
      <c r="D31" s="19" t="s">
        <v>234</v>
      </c>
      <c r="E31" s="19">
        <v>1.0</v>
      </c>
      <c r="F31" s="19">
        <v>160.0</v>
      </c>
      <c r="G31">
        <f t="shared" si="0"/>
        <v>160.0</v>
      </c>
      <c r="H31" s="20">
        <f t="shared" si="5"/>
        <v>1.0</v>
      </c>
      <c r="I31" s="19" t="s">
        <v>65</v>
      </c>
      <c r="J31" t="str">
        <f>IF(I31="","",_xlfn.XLOOKUP(I31,Lists!$C:$C,Lists!$D:$D))</f>
        <v>Tebuconazole 25%</v>
      </c>
      <c r="K31" s="19" t="s">
        <v>52</v>
      </c>
      <c r="L31" s="19">
        <v>100.0</v>
      </c>
      <c r="M31" s="19">
        <v>900.0</v>
      </c>
      <c r="N31">
        <f t="shared" si="2"/>
        <v>0.9</v>
      </c>
      <c r="O31" t="str">
        <f>IF(I31="","",_xlfn.XLOOKUP(I31,Lists!$C:$C,Lists!$J:$J))</f>
        <v>L</v>
      </c>
      <c r="P31">
        <f>IF(I31="","",_xlfn.XLOOKUP(I31,Lists!$C:$C,Lists!$E:$E))</f>
        <v>45.0</v>
      </c>
      <c r="Q31" s="21">
        <f t="shared" si="3"/>
        <v>46202.0</v>
      </c>
      <c r="R31" t="str">
        <f t="shared" si="4"/>
        <v>Not Allow</v>
      </c>
      <c r="S31" t="str">
        <f>IF(I31="","",_xlfn.XLOOKUP(I31,Lists!$C:$C,Lists!$I:$I))</f>
        <v>On-Label</v>
      </c>
    </row>
    <row r="32" spans="8:8">
      <c r="A32" s="18">
        <v>46156.0</v>
      </c>
      <c r="B32" s="19">
        <v>34.0</v>
      </c>
      <c r="C32">
        <f>_xlfn.XLOOKUP(B32,Lists!B:B,Lists!A:A,"")</f>
        <v>5.0</v>
      </c>
      <c r="D32" s="19" t="s">
        <v>234</v>
      </c>
      <c r="E32" s="19">
        <v>1.0</v>
      </c>
      <c r="F32" s="19">
        <v>160.0</v>
      </c>
      <c r="G32">
        <f t="shared" si="0"/>
        <v>160.0</v>
      </c>
      <c r="H32" s="20">
        <f t="shared" si="5"/>
        <v>1.0</v>
      </c>
      <c r="I32" s="19" t="s">
        <v>65</v>
      </c>
      <c r="J32" t="str">
        <f>IF(I32="","",_xlfn.XLOOKUP(I32,Lists!$C:$C,Lists!$D:$D))</f>
        <v>Tebuconazole 25%</v>
      </c>
      <c r="K32" s="19" t="s">
        <v>52</v>
      </c>
      <c r="L32" s="19">
        <v>100.0</v>
      </c>
      <c r="M32" s="19">
        <v>900.0</v>
      </c>
      <c r="N32">
        <f t="shared" si="2"/>
        <v>0.9</v>
      </c>
      <c r="O32" t="str">
        <f>IF(I32="","",_xlfn.XLOOKUP(I32,Lists!$C:$C,Lists!$J:$J))</f>
        <v>L</v>
      </c>
      <c r="P32">
        <f>IF(I32="","",_xlfn.XLOOKUP(I32,Lists!$C:$C,Lists!$E:$E))</f>
        <v>45.0</v>
      </c>
      <c r="Q32" s="21">
        <f t="shared" si="3"/>
        <v>46202.0</v>
      </c>
      <c r="R32" t="str">
        <f t="shared" si="4"/>
        <v>Not Allow</v>
      </c>
      <c r="S32" t="str">
        <f>IF(I32="","",_xlfn.XLOOKUP(I32,Lists!$C:$C,Lists!$I:$I))</f>
        <v>On-Label</v>
      </c>
    </row>
    <row r="33" spans="8:8">
      <c r="A33" s="18">
        <v>46156.0</v>
      </c>
      <c r="B33" s="19">
        <v>6.0</v>
      </c>
      <c r="C33">
        <f>_xlfn.XLOOKUP(B33,Lists!B:B,Lists!A:A,"")</f>
        <v>1.0</v>
      </c>
      <c r="D33" s="19" t="s">
        <v>234</v>
      </c>
      <c r="E33" s="19">
        <v>1.0</v>
      </c>
      <c r="F33" s="19">
        <v>160.0</v>
      </c>
      <c r="G33">
        <f t="shared" si="0"/>
        <v>160.0</v>
      </c>
      <c r="H33" s="20">
        <f t="shared" si="5"/>
        <v>1.0</v>
      </c>
      <c r="I33" s="19" t="s">
        <v>65</v>
      </c>
      <c r="J33" t="str">
        <f>IF(I33="","",_xlfn.XLOOKUP(I33,Lists!$C:$C,Lists!$D:$D))</f>
        <v>Tebuconazole 25%</v>
      </c>
      <c r="K33" s="19" t="s">
        <v>52</v>
      </c>
      <c r="L33" s="19">
        <v>100.0</v>
      </c>
      <c r="M33" s="19">
        <v>900.0</v>
      </c>
      <c r="N33">
        <f t="shared" si="2"/>
        <v>0.9</v>
      </c>
      <c r="O33" t="str">
        <f>IF(I33="","",_xlfn.XLOOKUP(I33,Lists!$C:$C,Lists!$J:$J))</f>
        <v>L</v>
      </c>
      <c r="P33">
        <f>IF(I33="","",_xlfn.XLOOKUP(I33,Lists!$C:$C,Lists!$E:$E))</f>
        <v>45.0</v>
      </c>
      <c r="Q33" s="21">
        <f t="shared" si="3"/>
        <v>46202.0</v>
      </c>
      <c r="R33" t="str">
        <f t="shared" si="4"/>
        <v>Not Allow</v>
      </c>
      <c r="S33" t="str">
        <f>IF(I33="","",_xlfn.XLOOKUP(I33,Lists!$C:$C,Lists!$I:$I))</f>
        <v>On-Label</v>
      </c>
    </row>
    <row r="34" spans="8:8">
      <c r="A34" s="18">
        <v>46157.0</v>
      </c>
      <c r="B34" s="19">
        <v>33.0</v>
      </c>
      <c r="C34">
        <f>_xlfn.XLOOKUP(B34,Lists!B:B,Lists!A:A,"")</f>
        <v>5.0</v>
      </c>
      <c r="D34" s="19" t="s">
        <v>234</v>
      </c>
      <c r="E34" s="19">
        <v>1.0</v>
      </c>
      <c r="F34" s="19">
        <v>160.0</v>
      </c>
      <c r="G34">
        <f t="shared" si="6" ref="G34:G65">IF(OR(E34="",F34=""),"",F34-E34+1)</f>
        <v>160.0</v>
      </c>
      <c r="H34" s="20">
        <f t="shared" si="5"/>
        <v>1.0</v>
      </c>
      <c r="I34" s="19" t="s">
        <v>65</v>
      </c>
      <c r="J34" t="str">
        <f>IF(I34="","",_xlfn.XLOOKUP(I34,Lists!$C:$C,Lists!$D:$D))</f>
        <v>Tebuconazole 25%</v>
      </c>
      <c r="K34" s="19" t="s">
        <v>52</v>
      </c>
      <c r="L34" s="19">
        <v>100.0</v>
      </c>
      <c r="M34" s="19">
        <v>900.0</v>
      </c>
      <c r="N34">
        <f t="shared" si="7" ref="N34:N65">IF(OR(M34="",L34=""),"",(M34*L34)/100000)</f>
        <v>0.9</v>
      </c>
      <c r="O34" t="str">
        <f>IF(I34="","",_xlfn.XLOOKUP(I34,Lists!$C:$C,Lists!$J:$J))</f>
        <v>L</v>
      </c>
      <c r="P34">
        <f>IF(I34="","",_xlfn.XLOOKUP(I34,Lists!$C:$C,Lists!$E:$E))</f>
        <v>45.0</v>
      </c>
      <c r="Q34" s="21">
        <f t="shared" si="8" ref="Q34:Q65">IF(OR(A34="",P34=""),"",A34+P34+1)</f>
        <v>46203.0</v>
      </c>
      <c r="R34" t="str">
        <f t="shared" si="9" ref="R34:R65">IF(Q34="","",IF(Q34&lt;=TODAY(),"Allow","Not Allow"))</f>
        <v>Not Allow</v>
      </c>
      <c r="S34" t="str">
        <f>IF(I34="","",_xlfn.XLOOKUP(I34,Lists!$C:$C,Lists!$I:$I))</f>
        <v>On-Label</v>
      </c>
    </row>
    <row r="35" spans="8:8">
      <c r="A35" s="18">
        <v>46158.0</v>
      </c>
      <c r="B35" s="19">
        <v>17.0</v>
      </c>
      <c r="C35">
        <f>_xlfn.XLOOKUP(B35,Lists!B:B,Lists!A:A,"")</f>
        <v>2.0</v>
      </c>
      <c r="D35" s="19" t="s">
        <v>234</v>
      </c>
      <c r="E35" s="19">
        <v>1.0</v>
      </c>
      <c r="F35" s="19">
        <v>160.0</v>
      </c>
      <c r="G35">
        <f t="shared" si="6"/>
        <v>160.0</v>
      </c>
      <c r="H35" s="20">
        <f t="shared" si="5"/>
        <v>1.0</v>
      </c>
      <c r="I35" s="19" t="s">
        <v>65</v>
      </c>
      <c r="J35" t="str">
        <f>IF(I35="","",_xlfn.XLOOKUP(I35,Lists!$C:$C,Lists!$D:$D))</f>
        <v>Tebuconazole 25%</v>
      </c>
      <c r="K35" s="19" t="s">
        <v>52</v>
      </c>
      <c r="L35" s="19">
        <v>100.0</v>
      </c>
      <c r="M35" s="19">
        <v>900.0</v>
      </c>
      <c r="N35">
        <f t="shared" si="7"/>
        <v>0.9</v>
      </c>
      <c r="O35" t="str">
        <f>IF(I35="","",_xlfn.XLOOKUP(I35,Lists!$C:$C,Lists!$J:$J))</f>
        <v>L</v>
      </c>
      <c r="P35">
        <f>IF(I35="","",_xlfn.XLOOKUP(I35,Lists!$C:$C,Lists!$E:$E))</f>
        <v>45.0</v>
      </c>
      <c r="Q35" s="21">
        <f t="shared" si="8"/>
        <v>46204.0</v>
      </c>
      <c r="R35" t="str">
        <f t="shared" si="9"/>
        <v>Not Allow</v>
      </c>
      <c r="S35" t="str">
        <f>IF(I35="","",_xlfn.XLOOKUP(I35,Lists!$C:$C,Lists!$I:$I))</f>
        <v>On-Label</v>
      </c>
    </row>
    <row r="36" spans="8:8">
      <c r="A36" s="18">
        <v>46158.0</v>
      </c>
      <c r="B36" s="19">
        <v>56.0</v>
      </c>
      <c r="C36">
        <f>_xlfn.XLOOKUP(B36,Lists!B:B,Lists!A:A,"")</f>
        <v>4.0</v>
      </c>
      <c r="D36" s="19" t="s">
        <v>234</v>
      </c>
      <c r="E36" s="19">
        <v>1.0</v>
      </c>
      <c r="F36" s="19">
        <v>160.0</v>
      </c>
      <c r="G36">
        <f t="shared" si="6"/>
        <v>160.0</v>
      </c>
      <c r="H36" s="20">
        <f t="shared" si="10" ref="H36:H67">IF(D36="","",IF(OR(D36="A",D36="B"),G36/80,IF(D36="A&amp;B",G36/160,"")))</f>
        <v>1.0</v>
      </c>
      <c r="I36" s="19" t="s">
        <v>65</v>
      </c>
      <c r="J36" t="str">
        <f>IF(I36="","",_xlfn.XLOOKUP(I36,Lists!$C:$C,Lists!$D:$D))</f>
        <v>Tebuconazole 25%</v>
      </c>
      <c r="K36" s="19" t="s">
        <v>52</v>
      </c>
      <c r="L36" s="19">
        <v>100.0</v>
      </c>
      <c r="M36" s="19">
        <v>900.0</v>
      </c>
      <c r="N36">
        <f t="shared" si="7"/>
        <v>0.9</v>
      </c>
      <c r="O36" t="str">
        <f>IF(I36="","",_xlfn.XLOOKUP(I36,Lists!$C:$C,Lists!$J:$J))</f>
        <v>L</v>
      </c>
      <c r="P36">
        <f>IF(I36="","",_xlfn.XLOOKUP(I36,Lists!$C:$C,Lists!$E:$E))</f>
        <v>45.0</v>
      </c>
      <c r="Q36" s="21">
        <f t="shared" si="8"/>
        <v>46204.0</v>
      </c>
      <c r="R36" t="str">
        <f t="shared" si="9"/>
        <v>Not Allow</v>
      </c>
      <c r="S36" t="str">
        <f>IF(I36="","",_xlfn.XLOOKUP(I36,Lists!$C:$C,Lists!$I:$I))</f>
        <v>On-Label</v>
      </c>
    </row>
    <row r="37" spans="8:8">
      <c r="A37" s="18">
        <v>46160.0</v>
      </c>
      <c r="B37" s="19">
        <v>57.0</v>
      </c>
      <c r="C37">
        <f>_xlfn.XLOOKUP(B37,Lists!B:B,Lists!A:A,"")</f>
        <v>4.0</v>
      </c>
      <c r="D37" s="19" t="s">
        <v>234</v>
      </c>
      <c r="E37" s="19">
        <v>1.0</v>
      </c>
      <c r="F37" s="19">
        <v>160.0</v>
      </c>
      <c r="G37">
        <f t="shared" si="6"/>
        <v>160.0</v>
      </c>
      <c r="H37" s="20">
        <f t="shared" si="10"/>
        <v>1.0</v>
      </c>
      <c r="I37" s="19" t="s">
        <v>65</v>
      </c>
      <c r="J37" t="str">
        <f>IF(I37="","",_xlfn.XLOOKUP(I37,Lists!$C:$C,Lists!$D:$D))</f>
        <v>Tebuconazole 25%</v>
      </c>
      <c r="K37" s="19" t="s">
        <v>52</v>
      </c>
      <c r="L37" s="19">
        <v>100.0</v>
      </c>
      <c r="M37" s="19">
        <v>900.0</v>
      </c>
      <c r="N37">
        <f t="shared" si="7"/>
        <v>0.9</v>
      </c>
      <c r="O37" t="str">
        <f>IF(I37="","",_xlfn.XLOOKUP(I37,Lists!$C:$C,Lists!$J:$J))</f>
        <v>L</v>
      </c>
      <c r="P37">
        <f>IF(I37="","",_xlfn.XLOOKUP(I37,Lists!$C:$C,Lists!$E:$E))</f>
        <v>45.0</v>
      </c>
      <c r="Q37" s="21">
        <f t="shared" si="8"/>
        <v>46206.0</v>
      </c>
      <c r="R37" t="str">
        <f t="shared" si="9"/>
        <v>Not Allow</v>
      </c>
      <c r="S37" t="str">
        <f>IF(I37="","",_xlfn.XLOOKUP(I37,Lists!$C:$C,Lists!$I:$I))</f>
        <v>On-Label</v>
      </c>
    </row>
    <row r="38" spans="8:8">
      <c r="A38" s="18">
        <v>46160.0</v>
      </c>
      <c r="B38" s="19">
        <v>58.0</v>
      </c>
      <c r="C38">
        <f>_xlfn.XLOOKUP(B38,Lists!B:B,Lists!A:A,"")</f>
        <v>4.0</v>
      </c>
      <c r="D38" s="19" t="s">
        <v>234</v>
      </c>
      <c r="E38" s="19">
        <v>1.0</v>
      </c>
      <c r="F38" s="19">
        <v>160.0</v>
      </c>
      <c r="G38">
        <f t="shared" si="6"/>
        <v>160.0</v>
      </c>
      <c r="H38" s="20">
        <f t="shared" si="10"/>
        <v>1.0</v>
      </c>
      <c r="I38" s="19" t="s">
        <v>65</v>
      </c>
      <c r="J38" t="str">
        <f>IF(I38="","",_xlfn.XLOOKUP(I38,Lists!$C:$C,Lists!$D:$D))</f>
        <v>Tebuconazole 25%</v>
      </c>
      <c r="K38" s="19" t="s">
        <v>52</v>
      </c>
      <c r="L38" s="19">
        <v>100.0</v>
      </c>
      <c r="M38" s="19">
        <v>900.0</v>
      </c>
      <c r="N38">
        <f t="shared" si="7"/>
        <v>0.9</v>
      </c>
      <c r="O38" t="str">
        <f>IF(I38="","",_xlfn.XLOOKUP(I38,Lists!$C:$C,Lists!$J:$J))</f>
        <v>L</v>
      </c>
      <c r="P38">
        <f>IF(I38="","",_xlfn.XLOOKUP(I38,Lists!$C:$C,Lists!$E:$E))</f>
        <v>45.0</v>
      </c>
      <c r="Q38" s="21">
        <f t="shared" si="8"/>
        <v>46206.0</v>
      </c>
      <c r="R38" t="str">
        <f t="shared" si="9"/>
        <v>Not Allow</v>
      </c>
      <c r="S38" t="str">
        <f>IF(I38="","",_xlfn.XLOOKUP(I38,Lists!$C:$C,Lists!$I:$I))</f>
        <v>On-Label</v>
      </c>
    </row>
    <row r="39" spans="8:8">
      <c r="A39" s="18">
        <v>46161.0</v>
      </c>
      <c r="B39" s="19">
        <v>61.0</v>
      </c>
      <c r="C39">
        <f>_xlfn.XLOOKUP(B39,Lists!B:B,Lists!A:A,"")</f>
        <v>4.0</v>
      </c>
      <c r="D39" s="19" t="s">
        <v>234</v>
      </c>
      <c r="E39" s="19">
        <v>1.0</v>
      </c>
      <c r="F39" s="19">
        <v>160.0</v>
      </c>
      <c r="G39">
        <f t="shared" si="6"/>
        <v>160.0</v>
      </c>
      <c r="H39" s="20">
        <f t="shared" si="10"/>
        <v>1.0</v>
      </c>
      <c r="I39" s="19" t="s">
        <v>65</v>
      </c>
      <c r="J39" t="str">
        <f>IF(I39="","",_xlfn.XLOOKUP(I39,Lists!$C:$C,Lists!$D:$D))</f>
        <v>Tebuconazole 25%</v>
      </c>
      <c r="K39" s="19" t="s">
        <v>52</v>
      </c>
      <c r="L39" s="19">
        <v>100.0</v>
      </c>
      <c r="M39" s="19">
        <v>900.0</v>
      </c>
      <c r="N39">
        <f t="shared" si="7"/>
        <v>0.9</v>
      </c>
      <c r="O39" t="str">
        <f>IF(I39="","",_xlfn.XLOOKUP(I39,Lists!$C:$C,Lists!$J:$J))</f>
        <v>L</v>
      </c>
      <c r="P39">
        <f>IF(I39="","",_xlfn.XLOOKUP(I39,Lists!$C:$C,Lists!$E:$E))</f>
        <v>45.0</v>
      </c>
      <c r="Q39" s="21">
        <f t="shared" si="8"/>
        <v>46207.0</v>
      </c>
      <c r="R39" t="str">
        <f t="shared" si="9"/>
        <v>Not Allow</v>
      </c>
      <c r="S39" t="str">
        <f>IF(I39="","",_xlfn.XLOOKUP(I39,Lists!$C:$C,Lists!$I:$I))</f>
        <v>On-Label</v>
      </c>
    </row>
    <row r="40" spans="8:8">
      <c r="A40" s="18">
        <v>46161.0</v>
      </c>
      <c r="B40" s="19">
        <v>27.0</v>
      </c>
      <c r="C40">
        <f>_xlfn.XLOOKUP(B40,Lists!B:B,Lists!A:A,"")</f>
        <v>3.0</v>
      </c>
      <c r="D40" s="19" t="s">
        <v>234</v>
      </c>
      <c r="E40" s="19">
        <v>1.0</v>
      </c>
      <c r="F40" s="19">
        <v>160.0</v>
      </c>
      <c r="G40">
        <f t="shared" si="6"/>
        <v>160.0</v>
      </c>
      <c r="H40" s="20">
        <f t="shared" si="10"/>
        <v>1.0</v>
      </c>
      <c r="I40" s="19" t="s">
        <v>65</v>
      </c>
      <c r="J40" t="str">
        <f>IF(I40="","",_xlfn.XLOOKUP(I40,Lists!$C:$C,Lists!$D:$D))</f>
        <v>Tebuconazole 25%</v>
      </c>
      <c r="K40" s="19" t="s">
        <v>52</v>
      </c>
      <c r="L40" s="19">
        <v>100.0</v>
      </c>
      <c r="M40" s="19">
        <v>900.0</v>
      </c>
      <c r="N40">
        <f t="shared" si="7"/>
        <v>0.9</v>
      </c>
      <c r="O40" t="str">
        <f>IF(I40="","",_xlfn.XLOOKUP(I40,Lists!$C:$C,Lists!$J:$J))</f>
        <v>L</v>
      </c>
      <c r="P40">
        <f>IF(I40="","",_xlfn.XLOOKUP(I40,Lists!$C:$C,Lists!$E:$E))</f>
        <v>45.0</v>
      </c>
      <c r="Q40" s="21">
        <f t="shared" si="8"/>
        <v>46207.0</v>
      </c>
      <c r="R40" t="str">
        <f t="shared" si="9"/>
        <v>Not Allow</v>
      </c>
      <c r="S40" t="str">
        <f>IF(I40="","",_xlfn.XLOOKUP(I40,Lists!$C:$C,Lists!$I:$I))</f>
        <v>On-Label</v>
      </c>
    </row>
    <row r="41" spans="8:8">
      <c r="A41" s="18">
        <v>46162.0</v>
      </c>
      <c r="B41" s="19">
        <v>26.0</v>
      </c>
      <c r="C41">
        <f>_xlfn.XLOOKUP(B41,Lists!B:B,Lists!A:A,"")</f>
        <v>3.0</v>
      </c>
      <c r="D41" s="19" t="s">
        <v>234</v>
      </c>
      <c r="E41" s="19">
        <v>1.0</v>
      </c>
      <c r="F41" s="19">
        <v>160.0</v>
      </c>
      <c r="G41">
        <f t="shared" si="6"/>
        <v>160.0</v>
      </c>
      <c r="H41" s="20">
        <f t="shared" si="10"/>
        <v>1.0</v>
      </c>
      <c r="I41" s="19" t="s">
        <v>65</v>
      </c>
      <c r="J41" t="str">
        <f>IF(I41="","",_xlfn.XLOOKUP(I41,Lists!$C:$C,Lists!$D:$D))</f>
        <v>Tebuconazole 25%</v>
      </c>
      <c r="K41" s="19" t="s">
        <v>52</v>
      </c>
      <c r="L41" s="19">
        <v>100.0</v>
      </c>
      <c r="M41" s="19">
        <v>900.0</v>
      </c>
      <c r="N41">
        <f t="shared" si="7"/>
        <v>0.9</v>
      </c>
      <c r="O41" t="str">
        <f>IF(I41="","",_xlfn.XLOOKUP(I41,Lists!$C:$C,Lists!$J:$J))</f>
        <v>L</v>
      </c>
      <c r="P41">
        <f>IF(I41="","",_xlfn.XLOOKUP(I41,Lists!$C:$C,Lists!$E:$E))</f>
        <v>45.0</v>
      </c>
      <c r="Q41" s="21">
        <f t="shared" si="8"/>
        <v>46208.0</v>
      </c>
      <c r="R41" t="str">
        <f t="shared" si="9"/>
        <v>Not Allow</v>
      </c>
      <c r="S41" t="str">
        <f>IF(I41="","",_xlfn.XLOOKUP(I41,Lists!$C:$C,Lists!$I:$I))</f>
        <v>On-Label</v>
      </c>
    </row>
    <row r="42" spans="8:8">
      <c r="A42" s="18">
        <v>46162.0</v>
      </c>
      <c r="B42" s="19">
        <v>22.0</v>
      </c>
      <c r="C42">
        <f>_xlfn.XLOOKUP(B42,Lists!B:B,Lists!A:A,"")</f>
        <v>3.0</v>
      </c>
      <c r="D42" s="19" t="s">
        <v>234</v>
      </c>
      <c r="E42" s="19">
        <v>1.0</v>
      </c>
      <c r="F42" s="19">
        <v>160.0</v>
      </c>
      <c r="G42">
        <f t="shared" si="6"/>
        <v>160.0</v>
      </c>
      <c r="H42" s="20">
        <f t="shared" si="10"/>
        <v>1.0</v>
      </c>
      <c r="I42" s="19" t="s">
        <v>65</v>
      </c>
      <c r="J42" t="str">
        <f>IF(I42="","",_xlfn.XLOOKUP(I42,Lists!$C:$C,Lists!$D:$D))</f>
        <v>Tebuconazole 25%</v>
      </c>
      <c r="K42" s="19" t="s">
        <v>52</v>
      </c>
      <c r="L42" s="19">
        <v>100.0</v>
      </c>
      <c r="M42" s="19">
        <v>900.0</v>
      </c>
      <c r="N42">
        <f t="shared" si="7"/>
        <v>0.9</v>
      </c>
      <c r="O42" t="str">
        <f>IF(I42="","",_xlfn.XLOOKUP(I42,Lists!$C:$C,Lists!$J:$J))</f>
        <v>L</v>
      </c>
      <c r="P42">
        <f>IF(I42="","",_xlfn.XLOOKUP(I42,Lists!$C:$C,Lists!$E:$E))</f>
        <v>45.0</v>
      </c>
      <c r="Q42" s="21">
        <f t="shared" si="8"/>
        <v>46208.0</v>
      </c>
      <c r="R42" t="str">
        <f t="shared" si="9"/>
        <v>Not Allow</v>
      </c>
      <c r="S42" t="str">
        <f>IF(I42="","",_xlfn.XLOOKUP(I42,Lists!$C:$C,Lists!$I:$I))</f>
        <v>On-Label</v>
      </c>
    </row>
    <row r="43" spans="8:8">
      <c r="A43" s="18">
        <v>46162.0</v>
      </c>
      <c r="B43" s="19">
        <v>62.0</v>
      </c>
      <c r="C43">
        <f>_xlfn.XLOOKUP(B43,Lists!B:B,Lists!A:A,"")</f>
        <v>4.0</v>
      </c>
      <c r="D43" s="19" t="s">
        <v>234</v>
      </c>
      <c r="E43" s="19">
        <v>1.0</v>
      </c>
      <c r="F43" s="19">
        <v>160.0</v>
      </c>
      <c r="G43">
        <f t="shared" si="6"/>
        <v>160.0</v>
      </c>
      <c r="H43" s="20">
        <f t="shared" si="10"/>
        <v>1.0</v>
      </c>
      <c r="I43" s="19" t="s">
        <v>65</v>
      </c>
      <c r="J43" t="str">
        <f>IF(I43="","",_xlfn.XLOOKUP(I43,Lists!$C:$C,Lists!$D:$D))</f>
        <v>Tebuconazole 25%</v>
      </c>
      <c r="K43" s="19" t="s">
        <v>52</v>
      </c>
      <c r="L43" s="19">
        <v>100.0</v>
      </c>
      <c r="M43" s="19">
        <v>900.0</v>
      </c>
      <c r="N43">
        <f t="shared" si="7"/>
        <v>0.9</v>
      </c>
      <c r="O43" t="str">
        <f>IF(I43="","",_xlfn.XLOOKUP(I43,Lists!$C:$C,Lists!$J:$J))</f>
        <v>L</v>
      </c>
      <c r="P43">
        <f>IF(I43="","",_xlfn.XLOOKUP(I43,Lists!$C:$C,Lists!$E:$E))</f>
        <v>45.0</v>
      </c>
      <c r="Q43" s="21">
        <f t="shared" si="8"/>
        <v>46208.0</v>
      </c>
      <c r="R43" t="str">
        <f t="shared" si="9"/>
        <v>Not Allow</v>
      </c>
      <c r="S43" t="str">
        <f>IF(I43="","",_xlfn.XLOOKUP(I43,Lists!$C:$C,Lists!$I:$I))</f>
        <v>On-Label</v>
      </c>
    </row>
    <row r="44" spans="8:8">
      <c r="A44" s="18">
        <v>46163.0</v>
      </c>
      <c r="B44" s="19">
        <v>21.0</v>
      </c>
      <c r="C44">
        <f>_xlfn.XLOOKUP(B44,Lists!B:B,Lists!A:A,"")</f>
        <v>3.0</v>
      </c>
      <c r="D44" s="19" t="s">
        <v>234</v>
      </c>
      <c r="E44" s="19">
        <v>1.0</v>
      </c>
      <c r="F44" s="19">
        <v>160.0</v>
      </c>
      <c r="G44">
        <f t="shared" si="6"/>
        <v>160.0</v>
      </c>
      <c r="H44" s="20">
        <f t="shared" si="10"/>
        <v>1.0</v>
      </c>
      <c r="I44" s="19" t="s">
        <v>65</v>
      </c>
      <c r="J44" t="str">
        <f>IF(I44="","",_xlfn.XLOOKUP(I44,Lists!$C:$C,Lists!$D:$D))</f>
        <v>Tebuconazole 25%</v>
      </c>
      <c r="K44" s="19" t="s">
        <v>52</v>
      </c>
      <c r="L44" s="19">
        <v>100.0</v>
      </c>
      <c r="M44" s="19">
        <v>900.0</v>
      </c>
      <c r="N44">
        <f t="shared" si="7"/>
        <v>0.9</v>
      </c>
      <c r="O44" t="str">
        <f>IF(I44="","",_xlfn.XLOOKUP(I44,Lists!$C:$C,Lists!$J:$J))</f>
        <v>L</v>
      </c>
      <c r="P44">
        <f>IF(I44="","",_xlfn.XLOOKUP(I44,Lists!$C:$C,Lists!$E:$E))</f>
        <v>45.0</v>
      </c>
      <c r="Q44" s="21">
        <f t="shared" si="8"/>
        <v>46209.0</v>
      </c>
      <c r="R44" t="str">
        <f t="shared" si="9"/>
        <v>Not Allow</v>
      </c>
      <c r="S44" t="str">
        <f>IF(I44="","",_xlfn.XLOOKUP(I44,Lists!$C:$C,Lists!$I:$I))</f>
        <v>On-Label</v>
      </c>
    </row>
    <row r="45" spans="8:8">
      <c r="A45" s="18">
        <v>46164.0</v>
      </c>
      <c r="B45" s="19">
        <v>11.0</v>
      </c>
      <c r="C45">
        <f>_xlfn.XLOOKUP(B45,Lists!B:B,Lists!A:A,"")</f>
        <v>2.0</v>
      </c>
      <c r="D45" s="19" t="s">
        <v>234</v>
      </c>
      <c r="E45" s="19">
        <v>1.0</v>
      </c>
      <c r="F45" s="19">
        <v>160.0</v>
      </c>
      <c r="G45">
        <f t="shared" si="6"/>
        <v>160.0</v>
      </c>
      <c r="H45" s="20">
        <f t="shared" si="10"/>
        <v>1.0</v>
      </c>
      <c r="I45" s="19" t="s">
        <v>63</v>
      </c>
      <c r="J45" t="str">
        <f>IF(I45="","",_xlfn.XLOOKUP(I45,Lists!$C:$C,Lists!$D:$D))</f>
        <v>Acetamiprid [20%]</v>
      </c>
      <c r="K45" s="19" t="s">
        <v>240</v>
      </c>
      <c r="L45" s="19">
        <v>3000.0</v>
      </c>
      <c r="M45" s="19">
        <v>50.0</v>
      </c>
      <c r="N45">
        <f t="shared" si="7"/>
        <v>1.5</v>
      </c>
      <c r="O45" t="str">
        <f>IF(I45="","",_xlfn.XLOOKUP(I45,Lists!$C:$C,Lists!$J:$J))</f>
        <v>Kg</v>
      </c>
      <c r="P45">
        <f>IF(I45="","",_xlfn.XLOOKUP(I45,Lists!$C:$C,Lists!$E:$E))</f>
        <v>5.0</v>
      </c>
      <c r="Q45" s="21">
        <f t="shared" si="8"/>
        <v>46170.0</v>
      </c>
      <c r="R45" t="str">
        <f t="shared" si="9"/>
        <v>Allow</v>
      </c>
      <c r="S45" t="str">
        <f>IF(I45="","",_xlfn.XLOOKUP(I45,Lists!$C:$C,Lists!$I:$I))</f>
        <v>On-Label</v>
      </c>
    </row>
    <row r="46" spans="8:8">
      <c r="A46" s="18">
        <v>46164.0</v>
      </c>
      <c r="B46" s="19">
        <v>12.0</v>
      </c>
      <c r="C46">
        <f>_xlfn.XLOOKUP(B46,Lists!B:B,Lists!A:A,"")</f>
        <v>2.0</v>
      </c>
      <c r="D46" s="19" t="s">
        <v>234</v>
      </c>
      <c r="E46" s="19">
        <v>1.0</v>
      </c>
      <c r="F46" s="19">
        <v>160.0</v>
      </c>
      <c r="G46">
        <f t="shared" si="6"/>
        <v>160.0</v>
      </c>
      <c r="H46" s="20">
        <f t="shared" si="10"/>
        <v>1.0</v>
      </c>
      <c r="I46" s="19" t="s">
        <v>63</v>
      </c>
      <c r="J46" t="str">
        <f>IF(I46="","",_xlfn.XLOOKUP(I46,Lists!$C:$C,Lists!$D:$D))</f>
        <v>Acetamiprid [20%]</v>
      </c>
      <c r="K46" s="19" t="s">
        <v>240</v>
      </c>
      <c r="L46" s="19">
        <v>3000.0</v>
      </c>
      <c r="M46" s="19">
        <v>50.0</v>
      </c>
      <c r="N46">
        <f t="shared" si="7"/>
        <v>1.5</v>
      </c>
      <c r="O46" t="str">
        <f>IF(I46="","",_xlfn.XLOOKUP(I46,Lists!$C:$C,Lists!$J:$J))</f>
        <v>Kg</v>
      </c>
      <c r="P46">
        <f>IF(I46="","",_xlfn.XLOOKUP(I46,Lists!$C:$C,Lists!$E:$E))</f>
        <v>5.0</v>
      </c>
      <c r="Q46" s="21">
        <f t="shared" si="8"/>
        <v>46170.0</v>
      </c>
      <c r="R46" t="str">
        <f t="shared" si="9"/>
        <v>Allow</v>
      </c>
      <c r="S46" t="str">
        <f>IF(I46="","",_xlfn.XLOOKUP(I46,Lists!$C:$C,Lists!$I:$I))</f>
        <v>On-Label</v>
      </c>
    </row>
    <row r="47" spans="8:8">
      <c r="A47" s="18">
        <v>46164.0</v>
      </c>
      <c r="B47" s="19">
        <v>1.0</v>
      </c>
      <c r="C47">
        <f>_xlfn.XLOOKUP(B47,Lists!B:B,Lists!A:A,"")</f>
        <v>1.0</v>
      </c>
      <c r="D47" s="19" t="s">
        <v>234</v>
      </c>
      <c r="E47" s="19">
        <v>1.0</v>
      </c>
      <c r="F47" s="19">
        <v>160.0</v>
      </c>
      <c r="G47">
        <f t="shared" si="6"/>
        <v>160.0</v>
      </c>
      <c r="H47" s="20">
        <f t="shared" si="10"/>
        <v>1.0</v>
      </c>
      <c r="I47" s="19" t="s">
        <v>179</v>
      </c>
      <c r="J47" t="str">
        <f>IF(I47="","",_xlfn.XLOOKUP(I47,Lists!$C:$C,Lists!$D:$D))</f>
        <v>Spinetoram [12%]</v>
      </c>
      <c r="K47" s="19" t="s">
        <v>52</v>
      </c>
      <c r="L47" s="19">
        <v>40.0</v>
      </c>
      <c r="M47" s="19">
        <v>900.0</v>
      </c>
      <c r="N47">
        <f t="shared" si="7"/>
        <v>0.36</v>
      </c>
      <c r="O47" t="str">
        <f>IF(I47="","",_xlfn.XLOOKUP(I47,Lists!$C:$C,Lists!$J:$J))</f>
        <v>L</v>
      </c>
      <c r="P47">
        <f>IF(I47="","",_xlfn.XLOOKUP(I47,Lists!$C:$C,Lists!$E:$E))</f>
        <v>5.0</v>
      </c>
      <c r="Q47" s="21">
        <f t="shared" si="8"/>
        <v>46170.0</v>
      </c>
      <c r="R47" t="str">
        <f t="shared" si="9"/>
        <v>Allow</v>
      </c>
      <c r="S47" t="str">
        <f>IF(I47="","",_xlfn.XLOOKUP(I47,Lists!$C:$C,Lists!$I:$I))</f>
        <v>On-Label</v>
      </c>
    </row>
    <row r="48" spans="8:8">
      <c r="A48" s="18">
        <v>46164.0</v>
      </c>
      <c r="B48" s="19">
        <v>2.0</v>
      </c>
      <c r="C48">
        <f>_xlfn.XLOOKUP(B48,Lists!B:B,Lists!A:A,"")</f>
        <v>1.0</v>
      </c>
      <c r="D48" s="19" t="s">
        <v>234</v>
      </c>
      <c r="E48" s="19">
        <v>1.0</v>
      </c>
      <c r="F48" s="19">
        <v>160.0</v>
      </c>
      <c r="G48">
        <f t="shared" si="6"/>
        <v>160.0</v>
      </c>
      <c r="H48" s="20">
        <f t="shared" si="10"/>
        <v>1.0</v>
      </c>
      <c r="I48" s="19" t="s">
        <v>179</v>
      </c>
      <c r="J48" t="str">
        <f>IF(I48="","",_xlfn.XLOOKUP(I48,Lists!$C:$C,Lists!$D:$D))</f>
        <v>Spinetoram [12%]</v>
      </c>
      <c r="K48" s="19" t="s">
        <v>52</v>
      </c>
      <c r="L48" s="19">
        <v>40.0</v>
      </c>
      <c r="M48" s="19">
        <v>900.0</v>
      </c>
      <c r="N48">
        <f t="shared" si="7"/>
        <v>0.36</v>
      </c>
      <c r="O48" t="str">
        <f>IF(I48="","",_xlfn.XLOOKUP(I48,Lists!$C:$C,Lists!$J:$J))</f>
        <v>L</v>
      </c>
      <c r="P48">
        <f>IF(I48="","",_xlfn.XLOOKUP(I48,Lists!$C:$C,Lists!$E:$E))</f>
        <v>5.0</v>
      </c>
      <c r="Q48" s="21">
        <f t="shared" si="8"/>
        <v>46170.0</v>
      </c>
      <c r="R48" t="str">
        <f t="shared" si="9"/>
        <v>Allow</v>
      </c>
      <c r="S48" t="str">
        <f>IF(I48="","",_xlfn.XLOOKUP(I48,Lists!$C:$C,Lists!$I:$I))</f>
        <v>On-Label</v>
      </c>
    </row>
    <row r="49" spans="8:8">
      <c r="A49" s="18">
        <v>46164.0</v>
      </c>
      <c r="B49" s="19">
        <v>3.0</v>
      </c>
      <c r="C49">
        <f>_xlfn.XLOOKUP(B49,Lists!B:B,Lists!A:A,"")</f>
        <v>1.0</v>
      </c>
      <c r="D49" s="19" t="s">
        <v>234</v>
      </c>
      <c r="E49" s="19">
        <v>1.0</v>
      </c>
      <c r="F49" s="19">
        <v>160.0</v>
      </c>
      <c r="G49">
        <f t="shared" si="6"/>
        <v>160.0</v>
      </c>
      <c r="H49" s="20">
        <f t="shared" si="10"/>
        <v>1.0</v>
      </c>
      <c r="I49" s="19" t="s">
        <v>179</v>
      </c>
      <c r="J49" t="str">
        <f>IF(I49="","",_xlfn.XLOOKUP(I49,Lists!$C:$C,Lists!$D:$D))</f>
        <v>Spinetoram [12%]</v>
      </c>
      <c r="K49" s="19" t="s">
        <v>52</v>
      </c>
      <c r="L49" s="19">
        <v>40.0</v>
      </c>
      <c r="M49" s="19">
        <v>900.0</v>
      </c>
      <c r="N49">
        <f t="shared" si="7"/>
        <v>0.36</v>
      </c>
      <c r="O49" t="str">
        <f>IF(I49="","",_xlfn.XLOOKUP(I49,Lists!$C:$C,Lists!$J:$J))</f>
        <v>L</v>
      </c>
      <c r="P49">
        <f>IF(I49="","",_xlfn.XLOOKUP(I49,Lists!$C:$C,Lists!$E:$E))</f>
        <v>5.0</v>
      </c>
      <c r="Q49" s="21">
        <f t="shared" si="8"/>
        <v>46170.0</v>
      </c>
      <c r="R49" t="str">
        <f t="shared" si="9"/>
        <v>Allow</v>
      </c>
      <c r="S49" t="str">
        <f>IF(I49="","",_xlfn.XLOOKUP(I49,Lists!$C:$C,Lists!$I:$I))</f>
        <v>On-Label</v>
      </c>
    </row>
    <row r="50" spans="8:8">
      <c r="A50" s="18">
        <v>46164.0</v>
      </c>
      <c r="B50" s="19">
        <v>11.0</v>
      </c>
      <c r="C50">
        <f>_xlfn.XLOOKUP(B50,Lists!B:B,Lists!A:A,"")</f>
        <v>2.0</v>
      </c>
      <c r="D50" s="19" t="s">
        <v>234</v>
      </c>
      <c r="E50" s="19">
        <v>1.0</v>
      </c>
      <c r="F50" s="19">
        <v>160.0</v>
      </c>
      <c r="G50">
        <f t="shared" si="6"/>
        <v>160.0</v>
      </c>
      <c r="H50" s="20">
        <f t="shared" si="10"/>
        <v>1.0</v>
      </c>
      <c r="I50" s="19" t="s">
        <v>179</v>
      </c>
      <c r="J50" t="str">
        <f>IF(I50="","",_xlfn.XLOOKUP(I50,Lists!$C:$C,Lists!$D:$D))</f>
        <v>Spinetoram [12%]</v>
      </c>
      <c r="K50" s="19" t="s">
        <v>52</v>
      </c>
      <c r="L50" s="19">
        <v>40.0</v>
      </c>
      <c r="M50" s="19">
        <v>900.0</v>
      </c>
      <c r="N50">
        <f t="shared" si="7"/>
        <v>0.36</v>
      </c>
      <c r="O50" t="str">
        <f>IF(I50="","",_xlfn.XLOOKUP(I50,Lists!$C:$C,Lists!$J:$J))</f>
        <v>L</v>
      </c>
      <c r="P50">
        <f>IF(I50="","",_xlfn.XLOOKUP(I50,Lists!$C:$C,Lists!$E:$E))</f>
        <v>5.0</v>
      </c>
      <c r="Q50" s="21">
        <f t="shared" si="8"/>
        <v>46170.0</v>
      </c>
      <c r="R50" t="str">
        <f t="shared" si="9"/>
        <v>Allow</v>
      </c>
      <c r="S50" t="str">
        <f>IF(I50="","",_xlfn.XLOOKUP(I50,Lists!$C:$C,Lists!$I:$I))</f>
        <v>On-Label</v>
      </c>
    </row>
    <row r="51" spans="8:8">
      <c r="A51" s="18">
        <v>46165.0</v>
      </c>
      <c r="B51" s="19">
        <v>12.0</v>
      </c>
      <c r="C51">
        <f>_xlfn.XLOOKUP(B51,Lists!B:B,Lists!A:A,"")</f>
        <v>2.0</v>
      </c>
      <c r="D51" s="19" t="s">
        <v>234</v>
      </c>
      <c r="E51" s="19">
        <v>1.0</v>
      </c>
      <c r="F51" s="19">
        <v>160.0</v>
      </c>
      <c r="G51">
        <f t="shared" si="6"/>
        <v>160.0</v>
      </c>
      <c r="H51" s="20">
        <f t="shared" si="10"/>
        <v>1.0</v>
      </c>
      <c r="I51" s="19" t="s">
        <v>63</v>
      </c>
      <c r="J51" t="str">
        <f>IF(I51="","",_xlfn.XLOOKUP(I51,Lists!$C:$C,Lists!$D:$D))</f>
        <v>Acetamiprid [20%]</v>
      </c>
      <c r="K51" s="19" t="s">
        <v>240</v>
      </c>
      <c r="L51" s="19">
        <v>3000.0</v>
      </c>
      <c r="M51" s="19">
        <v>50.0</v>
      </c>
      <c r="N51">
        <f t="shared" si="7"/>
        <v>1.5</v>
      </c>
      <c r="O51" t="str">
        <f>IF(I51="","",_xlfn.XLOOKUP(I51,Lists!$C:$C,Lists!$J:$J))</f>
        <v>Kg</v>
      </c>
      <c r="P51">
        <f>IF(I51="","",_xlfn.XLOOKUP(I51,Lists!$C:$C,Lists!$E:$E))</f>
        <v>5.0</v>
      </c>
      <c r="Q51" s="21">
        <f t="shared" si="8"/>
        <v>46171.0</v>
      </c>
      <c r="R51" t="str">
        <f t="shared" si="9"/>
        <v>Allow</v>
      </c>
      <c r="S51" t="str">
        <f>IF(I51="","",_xlfn.XLOOKUP(I51,Lists!$C:$C,Lists!$I:$I))</f>
        <v>On-Label</v>
      </c>
    </row>
    <row r="52" spans="8:8">
      <c r="A52" s="18">
        <v>46165.0</v>
      </c>
      <c r="B52" s="19">
        <v>1.0</v>
      </c>
      <c r="C52">
        <f>_xlfn.XLOOKUP(B52,Lists!B:B,Lists!A:A,"")</f>
        <v>1.0</v>
      </c>
      <c r="D52" s="19" t="s">
        <v>234</v>
      </c>
      <c r="E52" s="19">
        <v>1.0</v>
      </c>
      <c r="F52" s="19">
        <v>160.0</v>
      </c>
      <c r="G52">
        <f t="shared" si="6"/>
        <v>160.0</v>
      </c>
      <c r="H52" s="20">
        <f t="shared" si="10"/>
        <v>1.0</v>
      </c>
      <c r="I52" s="19" t="s">
        <v>63</v>
      </c>
      <c r="J52" t="str">
        <f>IF(I52="","",_xlfn.XLOOKUP(I52,Lists!$C:$C,Lists!$D:$D))</f>
        <v>Acetamiprid [20%]</v>
      </c>
      <c r="K52" s="19" t="s">
        <v>240</v>
      </c>
      <c r="L52" s="19">
        <v>3000.0</v>
      </c>
      <c r="M52" s="19">
        <v>50.0</v>
      </c>
      <c r="N52">
        <f t="shared" si="7"/>
        <v>1.5</v>
      </c>
      <c r="O52" t="str">
        <f>IF(I52="","",_xlfn.XLOOKUP(I52,Lists!$C:$C,Lists!$J:$J))</f>
        <v>Kg</v>
      </c>
      <c r="P52">
        <f>IF(I52="","",_xlfn.XLOOKUP(I52,Lists!$C:$C,Lists!$E:$E))</f>
        <v>5.0</v>
      </c>
      <c r="Q52" s="21">
        <f t="shared" si="8"/>
        <v>46171.0</v>
      </c>
      <c r="R52" t="str">
        <f t="shared" si="9"/>
        <v>Allow</v>
      </c>
      <c r="S52" t="str">
        <f>IF(I52="","",_xlfn.XLOOKUP(I52,Lists!$C:$C,Lists!$I:$I))</f>
        <v>On-Label</v>
      </c>
    </row>
    <row r="53" spans="8:8">
      <c r="A53" s="18">
        <v>46165.0</v>
      </c>
      <c r="B53" s="19">
        <v>2.0</v>
      </c>
      <c r="C53">
        <f>_xlfn.XLOOKUP(B53,Lists!B:B,Lists!A:A,"")</f>
        <v>1.0</v>
      </c>
      <c r="D53" s="19" t="s">
        <v>234</v>
      </c>
      <c r="E53" s="19">
        <v>1.0</v>
      </c>
      <c r="F53" s="19">
        <v>160.0</v>
      </c>
      <c r="G53">
        <f t="shared" si="6"/>
        <v>160.0</v>
      </c>
      <c r="H53" s="20">
        <f t="shared" si="10"/>
        <v>1.0</v>
      </c>
      <c r="I53" s="19" t="s">
        <v>63</v>
      </c>
      <c r="J53" t="str">
        <f>IF(I53="","",_xlfn.XLOOKUP(I53,Lists!$C:$C,Lists!$D:$D))</f>
        <v>Acetamiprid [20%]</v>
      </c>
      <c r="K53" s="19" t="s">
        <v>240</v>
      </c>
      <c r="L53" s="19">
        <v>3000.0</v>
      </c>
      <c r="M53" s="19">
        <v>50.0</v>
      </c>
      <c r="N53">
        <f t="shared" si="7"/>
        <v>1.5</v>
      </c>
      <c r="O53" t="str">
        <f>IF(I53="","",_xlfn.XLOOKUP(I53,Lists!$C:$C,Lists!$J:$J))</f>
        <v>Kg</v>
      </c>
      <c r="P53">
        <f>IF(I53="","",_xlfn.XLOOKUP(I53,Lists!$C:$C,Lists!$E:$E))</f>
        <v>5.0</v>
      </c>
      <c r="Q53" s="21">
        <f t="shared" si="8"/>
        <v>46171.0</v>
      </c>
      <c r="R53" t="str">
        <f t="shared" si="9"/>
        <v>Allow</v>
      </c>
      <c r="S53" t="str">
        <f>IF(I53="","",_xlfn.XLOOKUP(I53,Lists!$C:$C,Lists!$I:$I))</f>
        <v>On-Label</v>
      </c>
    </row>
    <row r="54" spans="8:8">
      <c r="A54" s="18">
        <v>46165.0</v>
      </c>
      <c r="B54" s="19">
        <v>3.0</v>
      </c>
      <c r="C54">
        <f>_xlfn.XLOOKUP(B54,Lists!B:B,Lists!A:A,"")</f>
        <v>1.0</v>
      </c>
      <c r="D54" s="19" t="s">
        <v>234</v>
      </c>
      <c r="E54" s="19">
        <v>1.0</v>
      </c>
      <c r="F54" s="19">
        <v>160.0</v>
      </c>
      <c r="G54">
        <f t="shared" si="6"/>
        <v>160.0</v>
      </c>
      <c r="H54" s="20">
        <f t="shared" si="10"/>
        <v>1.0</v>
      </c>
      <c r="I54" s="19" t="s">
        <v>63</v>
      </c>
      <c r="J54" t="str">
        <f>IF(I54="","",_xlfn.XLOOKUP(I54,Lists!$C:$C,Lists!$D:$D))</f>
        <v>Acetamiprid [20%]</v>
      </c>
      <c r="K54" s="19" t="s">
        <v>240</v>
      </c>
      <c r="L54" s="19">
        <v>3000.0</v>
      </c>
      <c r="M54" s="19">
        <v>50.0</v>
      </c>
      <c r="N54">
        <f t="shared" si="7"/>
        <v>1.5</v>
      </c>
      <c r="O54" t="str">
        <f>IF(I54="","",_xlfn.XLOOKUP(I54,Lists!$C:$C,Lists!$J:$J))</f>
        <v>Kg</v>
      </c>
      <c r="P54">
        <f>IF(I54="","",_xlfn.XLOOKUP(I54,Lists!$C:$C,Lists!$E:$E))</f>
        <v>5.0</v>
      </c>
      <c r="Q54" s="21">
        <f t="shared" si="8"/>
        <v>46171.0</v>
      </c>
      <c r="R54" t="str">
        <f t="shared" si="9"/>
        <v>Allow</v>
      </c>
      <c r="S54" t="str">
        <f>IF(I54="","",_xlfn.XLOOKUP(I54,Lists!$C:$C,Lists!$I:$I))</f>
        <v>On-Label</v>
      </c>
    </row>
    <row r="55" spans="8:8">
      <c r="A55" s="18">
        <v>46165.0</v>
      </c>
      <c r="B55" s="19">
        <v>5.0</v>
      </c>
      <c r="C55">
        <f>_xlfn.XLOOKUP(B55,Lists!B:B,Lists!A:A,"")</f>
        <v>1.0</v>
      </c>
      <c r="D55" s="19" t="s">
        <v>234</v>
      </c>
      <c r="E55" s="19">
        <v>1.0</v>
      </c>
      <c r="F55" s="19">
        <v>160.0</v>
      </c>
      <c r="G55">
        <f t="shared" si="6"/>
        <v>160.0</v>
      </c>
      <c r="H55" s="20">
        <f t="shared" si="10"/>
        <v>1.0</v>
      </c>
      <c r="I55" s="19" t="s">
        <v>63</v>
      </c>
      <c r="J55" t="str">
        <f>IF(I55="","",_xlfn.XLOOKUP(I55,Lists!$C:$C,Lists!$D:$D))</f>
        <v>Acetamiprid [20%]</v>
      </c>
      <c r="K55" s="19" t="s">
        <v>240</v>
      </c>
      <c r="L55" s="19">
        <v>3000.0</v>
      </c>
      <c r="M55" s="19">
        <v>50.0</v>
      </c>
      <c r="N55">
        <f t="shared" si="7"/>
        <v>1.5</v>
      </c>
      <c r="O55" t="str">
        <f>IF(I55="","",_xlfn.XLOOKUP(I55,Lists!$C:$C,Lists!$J:$J))</f>
        <v>Kg</v>
      </c>
      <c r="P55">
        <f>IF(I55="","",_xlfn.XLOOKUP(I55,Lists!$C:$C,Lists!$E:$E))</f>
        <v>5.0</v>
      </c>
      <c r="Q55" s="21">
        <f t="shared" si="8"/>
        <v>46171.0</v>
      </c>
      <c r="R55" t="str">
        <f t="shared" si="9"/>
        <v>Allow</v>
      </c>
      <c r="S55" t="str">
        <f>IF(I55="","",_xlfn.XLOOKUP(I55,Lists!$C:$C,Lists!$I:$I))</f>
        <v>On-Label</v>
      </c>
    </row>
    <row r="56" spans="8:8">
      <c r="A56" s="18">
        <v>46165.0</v>
      </c>
      <c r="B56" s="19">
        <v>4.0</v>
      </c>
      <c r="C56">
        <f>_xlfn.XLOOKUP(B56,Lists!B:B,Lists!A:A,"")</f>
        <v>1.0</v>
      </c>
      <c r="D56" s="19" t="s">
        <v>234</v>
      </c>
      <c r="E56" s="19">
        <v>1.0</v>
      </c>
      <c r="F56" s="19">
        <v>160.0</v>
      </c>
      <c r="G56">
        <f t="shared" si="6"/>
        <v>160.0</v>
      </c>
      <c r="H56" s="20">
        <f t="shared" si="10"/>
        <v>1.0</v>
      </c>
      <c r="I56" s="19" t="s">
        <v>63</v>
      </c>
      <c r="J56" t="str">
        <f>IF(I56="","",_xlfn.XLOOKUP(I56,Lists!$C:$C,Lists!$D:$D))</f>
        <v>Acetamiprid [20%]</v>
      </c>
      <c r="K56" s="19" t="s">
        <v>240</v>
      </c>
      <c r="L56" s="19">
        <v>3000.0</v>
      </c>
      <c r="M56" s="19">
        <v>50.0</v>
      </c>
      <c r="N56">
        <f t="shared" si="7"/>
        <v>1.5</v>
      </c>
      <c r="O56" t="str">
        <f>IF(I56="","",_xlfn.XLOOKUP(I56,Lists!$C:$C,Lists!$J:$J))</f>
        <v>Kg</v>
      </c>
      <c r="P56">
        <f>IF(I56="","",_xlfn.XLOOKUP(I56,Lists!$C:$C,Lists!$E:$E))</f>
        <v>5.0</v>
      </c>
      <c r="Q56" s="21">
        <f t="shared" si="8"/>
        <v>46171.0</v>
      </c>
      <c r="R56" t="str">
        <f t="shared" si="9"/>
        <v>Allow</v>
      </c>
      <c r="S56" t="str">
        <f>IF(I56="","",_xlfn.XLOOKUP(I56,Lists!$C:$C,Lists!$I:$I))</f>
        <v>On-Label</v>
      </c>
      <c r="X56" s="19">
        <f>1500*5</f>
        <v>7500.0</v>
      </c>
    </row>
    <row r="57" spans="8:8">
      <c r="A57" s="18">
        <v>46166.0</v>
      </c>
      <c r="B57" s="19">
        <v>23.0</v>
      </c>
      <c r="C57">
        <f>_xlfn.XLOOKUP(B57,Lists!B:B,Lists!A:A,"")</f>
        <v>3.0</v>
      </c>
      <c r="D57" s="19" t="s">
        <v>234</v>
      </c>
      <c r="E57" s="19">
        <v>1.0</v>
      </c>
      <c r="F57" s="19">
        <v>160.0</v>
      </c>
      <c r="G57">
        <f t="shared" si="6"/>
        <v>160.0</v>
      </c>
      <c r="H57" s="20">
        <f t="shared" si="10"/>
        <v>1.0</v>
      </c>
      <c r="I57" s="19" t="s">
        <v>63</v>
      </c>
      <c r="J57" t="str">
        <f>IF(I57="","",_xlfn.XLOOKUP(I57,Lists!$C:$C,Lists!$D:$D))</f>
        <v>Acetamiprid [20%]</v>
      </c>
      <c r="K57" s="19" t="s">
        <v>240</v>
      </c>
      <c r="L57" s="19">
        <v>3000.0</v>
      </c>
      <c r="M57" s="19">
        <v>50.0</v>
      </c>
      <c r="N57">
        <f t="shared" si="7"/>
        <v>1.5</v>
      </c>
      <c r="O57" t="str">
        <f>IF(I57="","",_xlfn.XLOOKUP(I57,Lists!$C:$C,Lists!$J:$J))</f>
        <v>Kg</v>
      </c>
      <c r="P57">
        <f>IF(I57="","",_xlfn.XLOOKUP(I57,Lists!$C:$C,Lists!$E:$E))</f>
        <v>5.0</v>
      </c>
      <c r="Q57" s="21">
        <f t="shared" si="8"/>
        <v>46172.0</v>
      </c>
      <c r="R57" t="str">
        <f t="shared" si="9"/>
        <v>Allow</v>
      </c>
      <c r="S57" t="str">
        <f>IF(I57="","",_xlfn.XLOOKUP(I57,Lists!$C:$C,Lists!$I:$I))</f>
        <v>On-Label</v>
      </c>
    </row>
    <row r="58" spans="8:8">
      <c r="A58" s="18">
        <v>46166.0</v>
      </c>
      <c r="B58" s="19">
        <v>28.0</v>
      </c>
      <c r="C58">
        <f>_xlfn.XLOOKUP(B58,Lists!B:B,Lists!A:A,"")</f>
        <v>3.0</v>
      </c>
      <c r="D58" s="19" t="s">
        <v>234</v>
      </c>
      <c r="E58" s="19">
        <v>1.0</v>
      </c>
      <c r="F58" s="19">
        <v>160.0</v>
      </c>
      <c r="G58">
        <f t="shared" si="6"/>
        <v>160.0</v>
      </c>
      <c r="H58" s="20">
        <f t="shared" si="10"/>
        <v>1.0</v>
      </c>
      <c r="I58" s="19" t="s">
        <v>63</v>
      </c>
      <c r="J58" t="str">
        <f>IF(I58="","",_xlfn.XLOOKUP(I58,Lists!$C:$C,Lists!$D:$D))</f>
        <v>Acetamiprid [20%]</v>
      </c>
      <c r="K58" s="19" t="s">
        <v>240</v>
      </c>
      <c r="L58" s="19">
        <v>3000.0</v>
      </c>
      <c r="M58" s="19">
        <v>50.0</v>
      </c>
      <c r="N58">
        <f t="shared" si="7"/>
        <v>1.5</v>
      </c>
      <c r="O58" t="str">
        <f>IF(I58="","",_xlfn.XLOOKUP(I58,Lists!$C:$C,Lists!$J:$J))</f>
        <v>Kg</v>
      </c>
      <c r="P58">
        <f>IF(I58="","",_xlfn.XLOOKUP(I58,Lists!$C:$C,Lists!$E:$E))</f>
        <v>5.0</v>
      </c>
      <c r="Q58" s="21">
        <f t="shared" si="8"/>
        <v>46172.0</v>
      </c>
      <c r="R58" t="str">
        <f t="shared" si="9"/>
        <v>Allow</v>
      </c>
      <c r="S58" t="str">
        <f>IF(I58="","",_xlfn.XLOOKUP(I58,Lists!$C:$C,Lists!$I:$I))</f>
        <v>On-Label</v>
      </c>
    </row>
    <row r="59" spans="8:8">
      <c r="A59" s="18">
        <v>46167.0</v>
      </c>
      <c r="B59" s="19">
        <v>32.0</v>
      </c>
      <c r="C59">
        <f>_xlfn.XLOOKUP(B59,Lists!B:B,Lists!A:A,"")</f>
        <v>5.0</v>
      </c>
      <c r="D59" s="19" t="s">
        <v>234</v>
      </c>
      <c r="E59" s="19">
        <v>1.0</v>
      </c>
      <c r="F59" s="19">
        <v>160.0</v>
      </c>
      <c r="G59">
        <f t="shared" si="6"/>
        <v>160.0</v>
      </c>
      <c r="H59" s="20">
        <f t="shared" si="10"/>
        <v>1.0</v>
      </c>
      <c r="I59" s="19" t="s">
        <v>63</v>
      </c>
      <c r="J59" t="str">
        <f>IF(I59="","",_xlfn.XLOOKUP(I59,Lists!$C:$C,Lists!$D:$D))</f>
        <v>Acetamiprid [20%]</v>
      </c>
      <c r="K59" s="19" t="s">
        <v>240</v>
      </c>
      <c r="L59" s="19">
        <v>3000.0</v>
      </c>
      <c r="M59" s="19">
        <v>50.0</v>
      </c>
      <c r="N59">
        <f t="shared" si="7"/>
        <v>1.5</v>
      </c>
      <c r="O59" t="str">
        <f>IF(I59="","",_xlfn.XLOOKUP(I59,Lists!$C:$C,Lists!$J:$J))</f>
        <v>Kg</v>
      </c>
      <c r="P59">
        <f>IF(I59="","",_xlfn.XLOOKUP(I59,Lists!$C:$C,Lists!$E:$E))</f>
        <v>5.0</v>
      </c>
      <c r="Q59" s="21">
        <f t="shared" si="8"/>
        <v>46173.0</v>
      </c>
      <c r="R59" t="str">
        <f t="shared" si="9"/>
        <v>Allow</v>
      </c>
      <c r="S59" t="str">
        <f>IF(I59="","",_xlfn.XLOOKUP(I59,Lists!$C:$C,Lists!$I:$I))</f>
        <v>On-Label</v>
      </c>
    </row>
    <row r="60" spans="8:8">
      <c r="A60" s="18">
        <v>46167.0</v>
      </c>
      <c r="B60" s="19">
        <v>37.0</v>
      </c>
      <c r="C60">
        <f>_xlfn.XLOOKUP(B60,Lists!B:B,Lists!A:A,"")</f>
        <v>5.0</v>
      </c>
      <c r="D60" s="19" t="s">
        <v>234</v>
      </c>
      <c r="E60" s="19">
        <v>1.0</v>
      </c>
      <c r="F60" s="19">
        <v>160.0</v>
      </c>
      <c r="G60">
        <f t="shared" si="6"/>
        <v>160.0</v>
      </c>
      <c r="H60" s="20">
        <f t="shared" si="10"/>
        <v>1.0</v>
      </c>
      <c r="I60" s="19" t="s">
        <v>63</v>
      </c>
      <c r="J60" t="str">
        <f>IF(I60="","",_xlfn.XLOOKUP(I60,Lists!$C:$C,Lists!$D:$D))</f>
        <v>Acetamiprid [20%]</v>
      </c>
      <c r="K60" s="19" t="s">
        <v>240</v>
      </c>
      <c r="L60" s="19">
        <v>3000.0</v>
      </c>
      <c r="M60" s="19">
        <v>50.0</v>
      </c>
      <c r="N60">
        <f t="shared" si="7"/>
        <v>1.5</v>
      </c>
      <c r="O60" t="str">
        <f>IF(I60="","",_xlfn.XLOOKUP(I60,Lists!$C:$C,Lists!$J:$J))</f>
        <v>Kg</v>
      </c>
      <c r="P60">
        <f>IF(I60="","",_xlfn.XLOOKUP(I60,Lists!$C:$C,Lists!$E:$E))</f>
        <v>5.0</v>
      </c>
      <c r="Q60" s="21">
        <f t="shared" si="8"/>
        <v>46173.0</v>
      </c>
      <c r="R60" t="str">
        <f t="shared" si="9"/>
        <v>Allow</v>
      </c>
      <c r="S60" t="str">
        <f>IF(I60="","",_xlfn.XLOOKUP(I60,Lists!$C:$C,Lists!$I:$I))</f>
        <v>On-Label</v>
      </c>
    </row>
    <row r="61" spans="8:8">
      <c r="A61" s="18">
        <v>46167.0</v>
      </c>
      <c r="B61" s="19">
        <v>42.0</v>
      </c>
      <c r="C61">
        <f>_xlfn.XLOOKUP(B61,Lists!B:B,Lists!A:A,"")</f>
        <v>5.0</v>
      </c>
      <c r="D61" s="19" t="s">
        <v>234</v>
      </c>
      <c r="E61" s="19">
        <v>1.0</v>
      </c>
      <c r="F61" s="19">
        <v>160.0</v>
      </c>
      <c r="G61">
        <f t="shared" si="6"/>
        <v>160.0</v>
      </c>
      <c r="H61" s="20">
        <f t="shared" si="10"/>
        <v>1.0</v>
      </c>
      <c r="I61" s="19" t="s">
        <v>63</v>
      </c>
      <c r="J61" t="str">
        <f>IF(I61="","",_xlfn.XLOOKUP(I61,Lists!$C:$C,Lists!$D:$D))</f>
        <v>Acetamiprid [20%]</v>
      </c>
      <c r="K61" s="19" t="s">
        <v>240</v>
      </c>
      <c r="L61" s="19">
        <v>3000.0</v>
      </c>
      <c r="M61" s="19">
        <v>50.0</v>
      </c>
      <c r="N61">
        <f t="shared" si="7"/>
        <v>1.5</v>
      </c>
      <c r="O61" t="str">
        <f>IF(I61="","",_xlfn.XLOOKUP(I61,Lists!$C:$C,Lists!$J:$J))</f>
        <v>Kg</v>
      </c>
      <c r="P61">
        <f>IF(I61="","",_xlfn.XLOOKUP(I61,Lists!$C:$C,Lists!$E:$E))</f>
        <v>5.0</v>
      </c>
      <c r="Q61" s="21">
        <f t="shared" si="8"/>
        <v>46173.0</v>
      </c>
      <c r="R61" t="str">
        <f t="shared" si="9"/>
        <v>Allow</v>
      </c>
      <c r="S61" t="str">
        <f>IF(I61="","",_xlfn.XLOOKUP(I61,Lists!$C:$C,Lists!$I:$I))</f>
        <v>On-Label</v>
      </c>
    </row>
    <row r="62" spans="8:8">
      <c r="A62" s="18">
        <v>46167.0</v>
      </c>
      <c r="B62" s="19">
        <v>4.0</v>
      </c>
      <c r="C62">
        <f>_xlfn.XLOOKUP(B62,Lists!B:B,Lists!A:A,"")</f>
        <v>1.0</v>
      </c>
      <c r="D62" s="19" t="s">
        <v>234</v>
      </c>
      <c r="E62" s="19">
        <v>1.0</v>
      </c>
      <c r="F62" s="19">
        <v>160.0</v>
      </c>
      <c r="G62">
        <f t="shared" si="6"/>
        <v>160.0</v>
      </c>
      <c r="H62" s="20">
        <f t="shared" si="10"/>
        <v>1.0</v>
      </c>
      <c r="I62" s="19" t="s">
        <v>47</v>
      </c>
      <c r="J62" t="str">
        <f>IF(I62="","",_xlfn.XLOOKUP(I62,Lists!$C:$C,Lists!$D:$D))</f>
        <v>Deltamethrin</v>
      </c>
      <c r="K62" s="19" t="s">
        <v>52</v>
      </c>
      <c r="L62" s="19">
        <v>100.0</v>
      </c>
      <c r="M62" s="19">
        <v>900.0</v>
      </c>
      <c r="N62">
        <f t="shared" si="7"/>
        <v>0.9</v>
      </c>
      <c r="O62" t="str">
        <f>IF(I62="","",_xlfn.XLOOKUP(I62,Lists!$C:$C,Lists!$J:$J))</f>
        <v>L</v>
      </c>
      <c r="P62">
        <f>IF(I62="","",_xlfn.XLOOKUP(I62,Lists!$C:$C,Lists!$E:$E))</f>
        <v>10.0</v>
      </c>
      <c r="Q62" s="21">
        <f t="shared" si="8"/>
        <v>46178.0</v>
      </c>
      <c r="R62" t="str">
        <f t="shared" si="9"/>
        <v>Allow</v>
      </c>
      <c r="S62" t="str">
        <f>IF(I62="","",_xlfn.XLOOKUP(I62,Lists!$C:$C,Lists!$I:$I))</f>
        <v>Off-Label</v>
      </c>
    </row>
    <row r="63" spans="8:8">
      <c r="A63" s="18">
        <v>46167.0</v>
      </c>
      <c r="B63" s="19">
        <v>5.0</v>
      </c>
      <c r="C63">
        <f>_xlfn.XLOOKUP(B63,Lists!B:B,Lists!A:A,"")</f>
        <v>1.0</v>
      </c>
      <c r="D63" s="19" t="s">
        <v>234</v>
      </c>
      <c r="E63" s="19">
        <v>1.0</v>
      </c>
      <c r="F63" s="19">
        <v>160.0</v>
      </c>
      <c r="G63">
        <f t="shared" si="6"/>
        <v>160.0</v>
      </c>
      <c r="H63" s="20">
        <f t="shared" si="10"/>
        <v>1.0</v>
      </c>
      <c r="I63" s="19" t="s">
        <v>47</v>
      </c>
      <c r="J63" t="str">
        <f>IF(I63="","",_xlfn.XLOOKUP(I63,Lists!$C:$C,Lists!$D:$D))</f>
        <v>Deltamethrin</v>
      </c>
      <c r="K63" s="19" t="s">
        <v>52</v>
      </c>
      <c r="L63" s="19">
        <v>100.0</v>
      </c>
      <c r="M63" s="19">
        <v>900.0</v>
      </c>
      <c r="N63">
        <f t="shared" si="7"/>
        <v>0.9</v>
      </c>
      <c r="O63" t="str">
        <f>IF(I63="","",_xlfn.XLOOKUP(I63,Lists!$C:$C,Lists!$J:$J))</f>
        <v>L</v>
      </c>
      <c r="P63">
        <f>IF(I63="","",_xlfn.XLOOKUP(I63,Lists!$C:$C,Lists!$E:$E))</f>
        <v>10.0</v>
      </c>
      <c r="Q63" s="21">
        <f t="shared" si="8"/>
        <v>46178.0</v>
      </c>
      <c r="R63" t="str">
        <f t="shared" si="9"/>
        <v>Allow</v>
      </c>
      <c r="S63" t="str">
        <f>IF(I63="","",_xlfn.XLOOKUP(I63,Lists!$C:$C,Lists!$I:$I))</f>
        <v>Off-Label</v>
      </c>
    </row>
    <row r="64" spans="8:8">
      <c r="A64" s="18">
        <v>46167.0</v>
      </c>
      <c r="B64" s="19">
        <v>10.0</v>
      </c>
      <c r="C64">
        <f>_xlfn.XLOOKUP(B64,Lists!B:B,Lists!A:A,"")</f>
        <v>1.0</v>
      </c>
      <c r="D64" s="19" t="s">
        <v>234</v>
      </c>
      <c r="E64" s="19">
        <v>1.0</v>
      </c>
      <c r="F64" s="19">
        <v>160.0</v>
      </c>
      <c r="G64">
        <f t="shared" si="6"/>
        <v>160.0</v>
      </c>
      <c r="H64" s="20">
        <f t="shared" si="10"/>
        <v>1.0</v>
      </c>
      <c r="I64" s="19" t="s">
        <v>47</v>
      </c>
      <c r="J64" t="str">
        <f>IF(I64="","",_xlfn.XLOOKUP(I64,Lists!$C:$C,Lists!$D:$D))</f>
        <v>Deltamethrin</v>
      </c>
      <c r="K64" s="19" t="s">
        <v>52</v>
      </c>
      <c r="L64" s="19">
        <v>100.0</v>
      </c>
      <c r="M64" s="19">
        <v>900.0</v>
      </c>
      <c r="N64">
        <f t="shared" si="7"/>
        <v>0.9</v>
      </c>
      <c r="O64" t="str">
        <f>IF(I64="","",_xlfn.XLOOKUP(I64,Lists!$C:$C,Lists!$J:$J))</f>
        <v>L</v>
      </c>
      <c r="P64">
        <f>IF(I64="","",_xlfn.XLOOKUP(I64,Lists!$C:$C,Lists!$E:$E))</f>
        <v>10.0</v>
      </c>
      <c r="Q64" s="21">
        <f t="shared" si="8"/>
        <v>46178.0</v>
      </c>
      <c r="R64" t="str">
        <f t="shared" si="9"/>
        <v>Allow</v>
      </c>
      <c r="S64" t="str">
        <f>IF(I64="","",_xlfn.XLOOKUP(I64,Lists!$C:$C,Lists!$I:$I))</f>
        <v>Off-Label</v>
      </c>
    </row>
    <row r="65" spans="8:8">
      <c r="A65" s="18">
        <v>46167.0</v>
      </c>
      <c r="B65" s="19">
        <v>13.0</v>
      </c>
      <c r="C65">
        <f>_xlfn.XLOOKUP(B65,Lists!B:B,Lists!A:A,"")</f>
        <v>2.0</v>
      </c>
      <c r="D65" s="19" t="s">
        <v>234</v>
      </c>
      <c r="E65" s="19">
        <v>1.0</v>
      </c>
      <c r="F65" s="19">
        <v>160.0</v>
      </c>
      <c r="G65">
        <f t="shared" si="6"/>
        <v>160.0</v>
      </c>
      <c r="H65" s="20">
        <f t="shared" si="10"/>
        <v>1.0</v>
      </c>
      <c r="I65" s="19" t="s">
        <v>47</v>
      </c>
      <c r="J65" t="str">
        <f>IF(I65="","",_xlfn.XLOOKUP(I65,Lists!$C:$C,Lists!$D:$D))</f>
        <v>Deltamethrin</v>
      </c>
      <c r="K65" s="19" t="s">
        <v>52</v>
      </c>
      <c r="L65" s="19">
        <v>100.0</v>
      </c>
      <c r="M65" s="19">
        <v>900.0</v>
      </c>
      <c r="N65">
        <f t="shared" si="7"/>
        <v>0.9</v>
      </c>
      <c r="O65" t="str">
        <f>IF(I65="","",_xlfn.XLOOKUP(I65,Lists!$C:$C,Lists!$J:$J))</f>
        <v>L</v>
      </c>
      <c r="P65">
        <f>IF(I65="","",_xlfn.XLOOKUP(I65,Lists!$C:$C,Lists!$E:$E))</f>
        <v>10.0</v>
      </c>
      <c r="Q65" s="21">
        <f t="shared" si="8"/>
        <v>46178.0</v>
      </c>
      <c r="R65" t="str">
        <f t="shared" si="9"/>
        <v>Allow</v>
      </c>
      <c r="S65" t="str">
        <f>IF(I65="","",_xlfn.XLOOKUP(I65,Lists!$C:$C,Lists!$I:$I))</f>
        <v>Off-Label</v>
      </c>
    </row>
    <row r="66" spans="8:8">
      <c r="A66" s="18">
        <v>46168.0</v>
      </c>
      <c r="B66" s="19">
        <v>46.0</v>
      </c>
      <c r="C66">
        <f>_xlfn.XLOOKUP(B66,Lists!B:B,Lists!A:A,"")</f>
        <v>4.0</v>
      </c>
      <c r="D66" s="19" t="s">
        <v>234</v>
      </c>
      <c r="E66" s="19">
        <v>1.0</v>
      </c>
      <c r="F66" s="19">
        <v>160.0</v>
      </c>
      <c r="G66">
        <f t="shared" si="11" ref="G66:G90">IF(OR(E66="",F66=""),"",F66-E66+1)</f>
        <v>160.0</v>
      </c>
      <c r="H66" s="20">
        <f t="shared" si="10"/>
        <v>1.0</v>
      </c>
      <c r="I66" s="19" t="s">
        <v>63</v>
      </c>
      <c r="J66" t="str">
        <f>IF(I66="","",_xlfn.XLOOKUP(I66,Lists!$C:$C,Lists!$D:$D))</f>
        <v>Acetamiprid [20%]</v>
      </c>
      <c r="K66" s="19" t="s">
        <v>240</v>
      </c>
      <c r="L66" s="19">
        <v>3000.0</v>
      </c>
      <c r="M66" s="19">
        <v>50.0</v>
      </c>
      <c r="N66">
        <f t="shared" si="12" ref="N66:N90">IF(OR(M66="",L66=""),"",(M66*L66)/100000)</f>
        <v>1.5</v>
      </c>
      <c r="O66" t="str">
        <f>IF(I66="","",_xlfn.XLOOKUP(I66,Lists!$C:$C,Lists!$J:$J))</f>
        <v>Kg</v>
      </c>
      <c r="P66">
        <f>IF(I66="","",_xlfn.XLOOKUP(I66,Lists!$C:$C,Lists!$E:$E))</f>
        <v>5.0</v>
      </c>
      <c r="Q66" s="21">
        <f t="shared" si="13" ref="Q66:Q90">IF(OR(A66="",P66=""),"",A66+P66+1)</f>
        <v>46174.0</v>
      </c>
      <c r="R66" t="str">
        <f t="shared" si="14" ref="R66:R90">IF(Q66="","",IF(Q66&lt;=TODAY(),"Allow","Not Allow"))</f>
        <v>Allow</v>
      </c>
      <c r="S66" t="str">
        <f>IF(I66="","",_xlfn.XLOOKUP(I66,Lists!$C:$C,Lists!$I:$I))</f>
        <v>On-Label</v>
      </c>
    </row>
    <row r="67" spans="8:8">
      <c r="A67" s="18">
        <v>46168.0</v>
      </c>
      <c r="B67" s="19">
        <v>47.0</v>
      </c>
      <c r="C67">
        <f>_xlfn.XLOOKUP(B67,Lists!B:B,Lists!A:A,"")</f>
        <v>4.0</v>
      </c>
      <c r="D67" s="19" t="s">
        <v>234</v>
      </c>
      <c r="E67" s="19">
        <v>1.0</v>
      </c>
      <c r="F67" s="19">
        <v>160.0</v>
      </c>
      <c r="G67">
        <f t="shared" si="11"/>
        <v>160.0</v>
      </c>
      <c r="H67" s="20">
        <f t="shared" si="10"/>
        <v>1.0</v>
      </c>
      <c r="I67" s="19" t="s">
        <v>63</v>
      </c>
      <c r="J67" t="str">
        <f>IF(I67="","",_xlfn.XLOOKUP(I67,Lists!$C:$C,Lists!$D:$D))</f>
        <v>Acetamiprid [20%]</v>
      </c>
      <c r="K67" s="19" t="s">
        <v>240</v>
      </c>
      <c r="L67" s="19">
        <v>3000.0</v>
      </c>
      <c r="M67" s="19">
        <v>50.0</v>
      </c>
      <c r="N67">
        <f t="shared" si="12"/>
        <v>1.5</v>
      </c>
      <c r="O67" t="str">
        <f>IF(I67="","",_xlfn.XLOOKUP(I67,Lists!$C:$C,Lists!$J:$J))</f>
        <v>Kg</v>
      </c>
      <c r="P67">
        <f>IF(I67="","",_xlfn.XLOOKUP(I67,Lists!$C:$C,Lists!$E:$E))</f>
        <v>5.0</v>
      </c>
      <c r="Q67" s="21">
        <f t="shared" si="13"/>
        <v>46174.0</v>
      </c>
      <c r="R67" t="str">
        <f t="shared" si="14"/>
        <v>Allow</v>
      </c>
      <c r="S67" t="str">
        <f>IF(I67="","",_xlfn.XLOOKUP(I67,Lists!$C:$C,Lists!$I:$I))</f>
        <v>On-Label</v>
      </c>
    </row>
    <row r="68" spans="8:8">
      <c r="A68" s="18">
        <v>46168.0</v>
      </c>
      <c r="B68" s="19">
        <v>51.0</v>
      </c>
      <c r="C68">
        <f>_xlfn.XLOOKUP(B68,Lists!B:B,Lists!A:A,"")</f>
        <v>4.0</v>
      </c>
      <c r="D68" s="19" t="s">
        <v>234</v>
      </c>
      <c r="E68" s="19">
        <v>1.0</v>
      </c>
      <c r="F68" s="19">
        <v>160.0</v>
      </c>
      <c r="G68">
        <f t="shared" si="11"/>
        <v>160.0</v>
      </c>
      <c r="H68" s="20">
        <f t="shared" si="15" ref="H68:H90">IF(D68="","",IF(OR(D68="A",D68="B"),G68/80,IF(D68="A&amp;B",G68/160,"")))</f>
        <v>1.0</v>
      </c>
      <c r="I68" s="19" t="s">
        <v>63</v>
      </c>
      <c r="J68" t="str">
        <f>IF(I68="","",_xlfn.XLOOKUP(I68,Lists!$C:$C,Lists!$D:$D))</f>
        <v>Acetamiprid [20%]</v>
      </c>
      <c r="K68" s="19" t="s">
        <v>240</v>
      </c>
      <c r="L68" s="19">
        <v>3000.0</v>
      </c>
      <c r="M68" s="19">
        <v>50.0</v>
      </c>
      <c r="N68">
        <f t="shared" si="12"/>
        <v>1.5</v>
      </c>
      <c r="O68" t="str">
        <f>IF(I68="","",_xlfn.XLOOKUP(I68,Lists!$C:$C,Lists!$J:$J))</f>
        <v>Kg</v>
      </c>
      <c r="P68">
        <f>IF(I68="","",_xlfn.XLOOKUP(I68,Lists!$C:$C,Lists!$E:$E))</f>
        <v>5.0</v>
      </c>
      <c r="Q68" s="21">
        <f t="shared" si="13"/>
        <v>46174.0</v>
      </c>
      <c r="R68" t="str">
        <f t="shared" si="14"/>
        <v>Allow</v>
      </c>
      <c r="S68" t="str">
        <f>IF(I68="","",_xlfn.XLOOKUP(I68,Lists!$C:$C,Lists!$I:$I))</f>
        <v>On-Label</v>
      </c>
    </row>
    <row r="69" spans="8:8">
      <c r="A69" s="18">
        <v>46169.0</v>
      </c>
      <c r="B69" s="19">
        <v>23.0</v>
      </c>
      <c r="C69">
        <f>_xlfn.XLOOKUP(B69,Lists!B:B,Lists!A:A,"")</f>
        <v>3.0</v>
      </c>
      <c r="D69" s="19" t="s">
        <v>234</v>
      </c>
      <c r="E69" s="19">
        <v>1.0</v>
      </c>
      <c r="F69" s="19">
        <v>160.0</v>
      </c>
      <c r="G69">
        <f t="shared" si="11"/>
        <v>160.0</v>
      </c>
      <c r="H69" s="20">
        <f t="shared" si="15"/>
        <v>1.0</v>
      </c>
      <c r="I69" s="19" t="s">
        <v>47</v>
      </c>
      <c r="J69" t="str">
        <f>IF(I69="","",_xlfn.XLOOKUP(I69,Lists!$C:$C,Lists!$D:$D))</f>
        <v>Deltamethrin</v>
      </c>
      <c r="K69" s="19" t="s">
        <v>52</v>
      </c>
      <c r="L69" s="19">
        <v>100.0</v>
      </c>
      <c r="M69" s="19">
        <v>900.0</v>
      </c>
      <c r="N69">
        <f t="shared" si="12"/>
        <v>0.9</v>
      </c>
      <c r="O69" t="str">
        <f>IF(I69="","",_xlfn.XLOOKUP(I69,Lists!$C:$C,Lists!$J:$J))</f>
        <v>L</v>
      </c>
      <c r="P69">
        <f>IF(I69="","",_xlfn.XLOOKUP(I69,Lists!$C:$C,Lists!$E:$E))</f>
        <v>10.0</v>
      </c>
      <c r="Q69" s="21">
        <f t="shared" si="13"/>
        <v>46180.0</v>
      </c>
      <c r="R69" t="str">
        <f t="shared" si="14"/>
        <v>Allow</v>
      </c>
      <c r="S69" t="str">
        <f>IF(I69="","",_xlfn.XLOOKUP(I69,Lists!$C:$C,Lists!$I:$I))</f>
        <v>Off-Label</v>
      </c>
    </row>
    <row r="70" spans="8:8">
      <c r="A70" s="18">
        <v>46169.0</v>
      </c>
      <c r="B70" s="19">
        <v>32.0</v>
      </c>
      <c r="C70">
        <f>_xlfn.XLOOKUP(B70,Lists!B:B,Lists!A:A,"")</f>
        <v>5.0</v>
      </c>
      <c r="D70" s="19" t="s">
        <v>234</v>
      </c>
      <c r="E70" s="19">
        <v>1.0</v>
      </c>
      <c r="F70" s="19">
        <v>160.0</v>
      </c>
      <c r="G70">
        <f t="shared" si="11"/>
        <v>160.0</v>
      </c>
      <c r="H70" s="20">
        <f t="shared" si="15"/>
        <v>1.0</v>
      </c>
      <c r="I70" s="19" t="s">
        <v>47</v>
      </c>
      <c r="J70" t="str">
        <f>IF(I70="","",_xlfn.XLOOKUP(I70,Lists!$C:$C,Lists!$D:$D))</f>
        <v>Deltamethrin</v>
      </c>
      <c r="K70" s="19" t="s">
        <v>52</v>
      </c>
      <c r="L70" s="19">
        <v>100.0</v>
      </c>
      <c r="M70" s="19">
        <v>900.0</v>
      </c>
      <c r="N70">
        <f t="shared" si="12"/>
        <v>0.9</v>
      </c>
      <c r="O70" t="str">
        <f>IF(I70="","",_xlfn.XLOOKUP(I70,Lists!$C:$C,Lists!$J:$J))</f>
        <v>L</v>
      </c>
      <c r="P70">
        <f>IF(I70="","",_xlfn.XLOOKUP(I70,Lists!$C:$C,Lists!$E:$E))</f>
        <v>10.0</v>
      </c>
      <c r="Q70" s="21">
        <f t="shared" si="13"/>
        <v>46180.0</v>
      </c>
      <c r="R70" t="str">
        <f t="shared" si="14"/>
        <v>Allow</v>
      </c>
      <c r="S70" t="str">
        <f>IF(I70="","",_xlfn.XLOOKUP(I70,Lists!$C:$C,Lists!$I:$I))</f>
        <v>Off-Label</v>
      </c>
    </row>
    <row r="71" spans="8:8">
      <c r="A71" s="18">
        <v>46170.0</v>
      </c>
      <c r="B71" s="19">
        <v>24.0</v>
      </c>
      <c r="C71">
        <f>_xlfn.XLOOKUP(B71,Lists!B:B,Lists!A:A,"")</f>
        <v>3.0</v>
      </c>
      <c r="D71" s="19" t="s">
        <v>234</v>
      </c>
      <c r="E71" s="19">
        <v>1.0</v>
      </c>
      <c r="F71" s="19">
        <v>160.0</v>
      </c>
      <c r="G71">
        <f t="shared" si="11"/>
        <v>160.0</v>
      </c>
      <c r="H71" s="20">
        <f t="shared" si="15"/>
        <v>1.0</v>
      </c>
      <c r="I71" s="19" t="s">
        <v>63</v>
      </c>
      <c r="J71" t="str">
        <f>IF(I71="","",_xlfn.XLOOKUP(I71,Lists!$C:$C,Lists!$D:$D))</f>
        <v>Acetamiprid [20%]</v>
      </c>
      <c r="K71" s="19" t="s">
        <v>240</v>
      </c>
      <c r="L71" s="19">
        <v>3000.0</v>
      </c>
      <c r="M71" s="19">
        <v>50.0</v>
      </c>
      <c r="N71">
        <f t="shared" si="12"/>
        <v>1.5</v>
      </c>
      <c r="O71" t="str">
        <f>IF(I71="","",_xlfn.XLOOKUP(I71,Lists!$C:$C,Lists!$J:$J))</f>
        <v>Kg</v>
      </c>
      <c r="P71">
        <f>IF(I71="","",_xlfn.XLOOKUP(I71,Lists!$C:$C,Lists!$E:$E))</f>
        <v>5.0</v>
      </c>
      <c r="Q71" s="21">
        <f t="shared" si="13"/>
        <v>46176.0</v>
      </c>
      <c r="R71" t="str">
        <f t="shared" si="14"/>
        <v>Allow</v>
      </c>
      <c r="S71" t="str">
        <f>IF(I71="","",_xlfn.XLOOKUP(I71,Lists!$C:$C,Lists!$I:$I))</f>
        <v>On-Label</v>
      </c>
    </row>
    <row r="72" spans="8:8">
      <c r="A72" s="18">
        <v>46170.0</v>
      </c>
      <c r="B72" s="19">
        <v>12.0</v>
      </c>
      <c r="C72">
        <f>_xlfn.XLOOKUP(B72,Lists!B:B,Lists!A:A,"")</f>
        <v>2.0</v>
      </c>
      <c r="D72" s="19" t="s">
        <v>234</v>
      </c>
      <c r="E72" s="19">
        <v>1.0</v>
      </c>
      <c r="F72" s="19">
        <v>160.0</v>
      </c>
      <c r="G72">
        <f t="shared" si="11"/>
        <v>160.0</v>
      </c>
      <c r="H72" s="20">
        <f t="shared" si="15"/>
        <v>1.0</v>
      </c>
      <c r="I72" s="19" t="s">
        <v>47</v>
      </c>
      <c r="J72" t="str">
        <f>IF(I72="","",_xlfn.XLOOKUP(I72,Lists!$C:$C,Lists!$D:$D))</f>
        <v>Deltamethrin</v>
      </c>
      <c r="K72" s="19" t="s">
        <v>52</v>
      </c>
      <c r="L72" s="19">
        <v>100.0</v>
      </c>
      <c r="M72" s="19">
        <v>900.0</v>
      </c>
      <c r="N72">
        <f t="shared" si="12"/>
        <v>0.9</v>
      </c>
      <c r="O72" t="str">
        <f>IF(I72="","",_xlfn.XLOOKUP(I72,Lists!$C:$C,Lists!$J:$J))</f>
        <v>L</v>
      </c>
      <c r="P72">
        <f>IF(I72="","",_xlfn.XLOOKUP(I72,Lists!$C:$C,Lists!$E:$E))</f>
        <v>10.0</v>
      </c>
      <c r="Q72" s="21">
        <f t="shared" si="13"/>
        <v>46181.0</v>
      </c>
      <c r="R72" t="str">
        <f t="shared" si="14"/>
        <v>Allow</v>
      </c>
      <c r="S72" t="str">
        <f>IF(I72="","",_xlfn.XLOOKUP(I72,Lists!$C:$C,Lists!$I:$I))</f>
        <v>Off-Label</v>
      </c>
    </row>
    <row r="73" spans="8:8">
      <c r="A73" s="18">
        <v>46170.0</v>
      </c>
      <c r="B73" s="19">
        <v>51.0</v>
      </c>
      <c r="C73">
        <f>_xlfn.XLOOKUP(B73,Lists!B:B,Lists!A:A,"")</f>
        <v>4.0</v>
      </c>
      <c r="D73" s="19" t="s">
        <v>234</v>
      </c>
      <c r="E73" s="19">
        <v>1.0</v>
      </c>
      <c r="F73" s="19">
        <v>160.0</v>
      </c>
      <c r="G73">
        <f t="shared" si="11"/>
        <v>160.0</v>
      </c>
      <c r="H73" s="20">
        <f t="shared" si="15"/>
        <v>1.0</v>
      </c>
      <c r="I73" s="19" t="s">
        <v>47</v>
      </c>
      <c r="J73" t="str">
        <f>IF(I73="","",_xlfn.XLOOKUP(I73,Lists!$C:$C,Lists!$D:$D))</f>
        <v>Deltamethrin</v>
      </c>
      <c r="K73" s="19" t="s">
        <v>52</v>
      </c>
      <c r="L73" s="19">
        <v>100.0</v>
      </c>
      <c r="M73" s="19">
        <v>900.0</v>
      </c>
      <c r="N73">
        <f t="shared" si="12"/>
        <v>0.9</v>
      </c>
      <c r="O73" t="str">
        <f>IF(I73="","",_xlfn.XLOOKUP(I73,Lists!$C:$C,Lists!$J:$J))</f>
        <v>L</v>
      </c>
      <c r="P73">
        <f>IF(I73="","",_xlfn.XLOOKUP(I73,Lists!$C:$C,Lists!$E:$E))</f>
        <v>10.0</v>
      </c>
      <c r="Q73" s="21">
        <f t="shared" si="13"/>
        <v>46181.0</v>
      </c>
      <c r="R73" t="str">
        <f t="shared" si="14"/>
        <v>Allow</v>
      </c>
      <c r="S73" t="str">
        <f>IF(I73="","",_xlfn.XLOOKUP(I73,Lists!$C:$C,Lists!$I:$I))</f>
        <v>Off-Label</v>
      </c>
    </row>
    <row r="74" spans="8:8">
      <c r="A74" s="18">
        <v>46170.0</v>
      </c>
      <c r="B74" s="19">
        <v>52.0</v>
      </c>
      <c r="C74">
        <f>_xlfn.XLOOKUP(B74,Lists!B:B,Lists!A:A,"")</f>
        <v>4.0</v>
      </c>
      <c r="D74" s="19" t="s">
        <v>234</v>
      </c>
      <c r="E74" s="19">
        <v>1.0</v>
      </c>
      <c r="F74" s="19">
        <v>160.0</v>
      </c>
      <c r="G74">
        <f t="shared" si="11"/>
        <v>160.0</v>
      </c>
      <c r="H74" s="20">
        <f t="shared" si="15"/>
        <v>1.0</v>
      </c>
      <c r="I74" s="19" t="s">
        <v>47</v>
      </c>
      <c r="J74" t="str">
        <f>IF(I74="","",_xlfn.XLOOKUP(I74,Lists!$C:$C,Lists!$D:$D))</f>
        <v>Deltamethrin</v>
      </c>
      <c r="K74" s="19" t="s">
        <v>52</v>
      </c>
      <c r="L74" s="19">
        <v>100.0</v>
      </c>
      <c r="M74" s="19">
        <v>900.0</v>
      </c>
      <c r="N74">
        <f t="shared" si="12"/>
        <v>0.9</v>
      </c>
      <c r="O74" t="str">
        <f>IF(I74="","",_xlfn.XLOOKUP(I74,Lists!$C:$C,Lists!$J:$J))</f>
        <v>L</v>
      </c>
      <c r="P74">
        <f>IF(I74="","",_xlfn.XLOOKUP(I74,Lists!$C:$C,Lists!$E:$E))</f>
        <v>10.0</v>
      </c>
      <c r="Q74" s="21">
        <f t="shared" si="13"/>
        <v>46181.0</v>
      </c>
      <c r="R74" t="str">
        <f t="shared" si="14"/>
        <v>Allow</v>
      </c>
      <c r="S74" t="str">
        <f>IF(I74="","",_xlfn.XLOOKUP(I74,Lists!$C:$C,Lists!$I:$I))</f>
        <v>Off-Label</v>
      </c>
    </row>
    <row r="75" spans="8:8">
      <c r="A75" s="18">
        <v>46170.0</v>
      </c>
      <c r="B75" s="19">
        <v>14.0</v>
      </c>
      <c r="C75">
        <f>_xlfn.XLOOKUP(B75,Lists!B:B,Lists!A:A,"")</f>
        <v>2.0</v>
      </c>
      <c r="D75" s="19" t="s">
        <v>234</v>
      </c>
      <c r="E75" s="19">
        <v>1.0</v>
      </c>
      <c r="F75" s="19">
        <v>160.0</v>
      </c>
      <c r="G75">
        <f t="shared" si="11"/>
        <v>160.0</v>
      </c>
      <c r="H75" s="20">
        <f t="shared" si="15"/>
        <v>1.0</v>
      </c>
      <c r="I75" s="19" t="s">
        <v>47</v>
      </c>
      <c r="J75" t="str">
        <f>IF(I75="","",_xlfn.XLOOKUP(I75,Lists!$C:$C,Lists!$D:$D))</f>
        <v>Deltamethrin</v>
      </c>
      <c r="K75" s="19" t="s">
        <v>52</v>
      </c>
      <c r="L75" s="19">
        <v>100.0</v>
      </c>
      <c r="M75" s="19">
        <v>900.0</v>
      </c>
      <c r="N75">
        <f t="shared" si="12"/>
        <v>0.9</v>
      </c>
      <c r="O75" t="str">
        <f>IF(I75="","",_xlfn.XLOOKUP(I75,Lists!$C:$C,Lists!$J:$J))</f>
        <v>L</v>
      </c>
      <c r="P75">
        <f>IF(I75="","",_xlfn.XLOOKUP(I75,Lists!$C:$C,Lists!$E:$E))</f>
        <v>10.0</v>
      </c>
      <c r="Q75" s="21">
        <f t="shared" si="13"/>
        <v>46181.0</v>
      </c>
      <c r="R75" t="str">
        <f t="shared" si="14"/>
        <v>Allow</v>
      </c>
      <c r="S75" t="str">
        <f>IF(I75="","",_xlfn.XLOOKUP(I75,Lists!$C:$C,Lists!$I:$I))</f>
        <v>Off-Label</v>
      </c>
    </row>
    <row r="76" spans="8:8">
      <c r="A76" s="18">
        <v>46171.0</v>
      </c>
      <c r="B76" s="19">
        <v>8.0</v>
      </c>
      <c r="C76">
        <f>_xlfn.XLOOKUP(B76,Lists!B:B,Lists!A:A,"")</f>
        <v>1.0</v>
      </c>
      <c r="D76" s="19" t="s">
        <v>234</v>
      </c>
      <c r="E76" s="19">
        <v>1.0</v>
      </c>
      <c r="F76" s="19">
        <v>160.0</v>
      </c>
      <c r="G76">
        <f t="shared" si="11"/>
        <v>160.0</v>
      </c>
      <c r="H76" s="20">
        <f t="shared" si="15"/>
        <v>1.0</v>
      </c>
      <c r="I76" s="19" t="s">
        <v>63</v>
      </c>
      <c r="J76" t="str">
        <f>IF(I76="","",_xlfn.XLOOKUP(I76,Lists!$C:$C,Lists!$D:$D))</f>
        <v>Acetamiprid [20%]</v>
      </c>
      <c r="K76" s="19" t="s">
        <v>240</v>
      </c>
      <c r="L76" s="19">
        <v>3000.0</v>
      </c>
      <c r="M76" s="19">
        <v>50.0</v>
      </c>
      <c r="N76">
        <f t="shared" si="12"/>
        <v>1.5</v>
      </c>
      <c r="O76" t="str">
        <f>IF(I76="","",_xlfn.XLOOKUP(I76,Lists!$C:$C,Lists!$J:$J))</f>
        <v>Kg</v>
      </c>
      <c r="P76">
        <f>IF(I76="","",_xlfn.XLOOKUP(I76,Lists!$C:$C,Lists!$E:$E))</f>
        <v>5.0</v>
      </c>
      <c r="Q76" s="21">
        <f t="shared" si="13"/>
        <v>46177.0</v>
      </c>
      <c r="R76" t="str">
        <f t="shared" si="14"/>
        <v>Allow</v>
      </c>
      <c r="S76" t="str">
        <f>IF(I76="","",_xlfn.XLOOKUP(I76,Lists!$C:$C,Lists!$I:$I))</f>
        <v>On-Label</v>
      </c>
    </row>
    <row r="77" spans="8:8">
      <c r="A77" s="18">
        <v>46171.0</v>
      </c>
      <c r="B77" s="19">
        <v>9.0</v>
      </c>
      <c r="C77">
        <f>_xlfn.XLOOKUP(B77,Lists!B:B,Lists!A:A,"")</f>
        <v>1.0</v>
      </c>
      <c r="D77" s="19" t="s">
        <v>234</v>
      </c>
      <c r="E77" s="19">
        <v>1.0</v>
      </c>
      <c r="F77" s="19">
        <v>160.0</v>
      </c>
      <c r="G77">
        <f t="shared" si="11"/>
        <v>160.0</v>
      </c>
      <c r="H77" s="20">
        <f t="shared" si="15"/>
        <v>1.0</v>
      </c>
      <c r="I77" s="19" t="s">
        <v>63</v>
      </c>
      <c r="J77" t="str">
        <f>IF(I77="","",_xlfn.XLOOKUP(I77,Lists!$C:$C,Lists!$D:$D))</f>
        <v>Acetamiprid [20%]</v>
      </c>
      <c r="K77" s="19" t="s">
        <v>240</v>
      </c>
      <c r="L77" s="19">
        <v>3000.0</v>
      </c>
      <c r="M77" s="19">
        <v>50.0</v>
      </c>
      <c r="N77">
        <f t="shared" si="12"/>
        <v>1.5</v>
      </c>
      <c r="O77" t="str">
        <f>IF(I77="","",_xlfn.XLOOKUP(I77,Lists!$C:$C,Lists!$J:$J))</f>
        <v>Kg</v>
      </c>
      <c r="P77">
        <f>IF(I77="","",_xlfn.XLOOKUP(I77,Lists!$C:$C,Lists!$E:$E))</f>
        <v>5.0</v>
      </c>
      <c r="Q77" s="21">
        <f t="shared" si="13"/>
        <v>46177.0</v>
      </c>
      <c r="R77" t="str">
        <f t="shared" si="14"/>
        <v>Allow</v>
      </c>
      <c r="S77" t="str">
        <f>IF(I77="","",_xlfn.XLOOKUP(I77,Lists!$C:$C,Lists!$I:$I))</f>
        <v>On-Label</v>
      </c>
    </row>
    <row r="78" spans="8:8">
      <c r="A78" s="18">
        <v>46172.0</v>
      </c>
      <c r="B78" s="19">
        <v>38.0</v>
      </c>
      <c r="C78">
        <f>_xlfn.XLOOKUP(B78,Lists!B:B,Lists!A:A,"")</f>
        <v>5.0</v>
      </c>
      <c r="D78" s="19" t="s">
        <v>234</v>
      </c>
      <c r="E78" s="19">
        <v>1.0</v>
      </c>
      <c r="F78" s="19">
        <v>160.0</v>
      </c>
      <c r="G78">
        <f t="shared" si="11"/>
        <v>160.0</v>
      </c>
      <c r="H78" s="20">
        <f t="shared" si="15"/>
        <v>1.0</v>
      </c>
      <c r="I78" s="19" t="s">
        <v>47</v>
      </c>
      <c r="J78" t="str">
        <f>IF(I78="","",_xlfn.XLOOKUP(I78,Lists!$C:$C,Lists!$D:$D))</f>
        <v>Deltamethrin</v>
      </c>
      <c r="K78" s="19" t="s">
        <v>52</v>
      </c>
      <c r="L78" s="19">
        <v>100.0</v>
      </c>
      <c r="M78" s="19">
        <v>900.0</v>
      </c>
      <c r="N78">
        <f t="shared" si="12"/>
        <v>0.9</v>
      </c>
      <c r="O78" t="str">
        <f>IF(I78="","",_xlfn.XLOOKUP(I78,Lists!$C:$C,Lists!$J:$J))</f>
        <v>L</v>
      </c>
      <c r="P78">
        <f>IF(I78="","",_xlfn.XLOOKUP(I78,Lists!$C:$C,Lists!$E:$E))</f>
        <v>10.0</v>
      </c>
      <c r="Q78" s="21">
        <f t="shared" si="13"/>
        <v>46183.0</v>
      </c>
      <c r="R78" t="str">
        <f t="shared" si="14"/>
        <v>Allow</v>
      </c>
      <c r="S78" t="str">
        <f>IF(I78="","",_xlfn.XLOOKUP(I78,Lists!$C:$C,Lists!$I:$I))</f>
        <v>Off-Label</v>
      </c>
    </row>
    <row r="79" spans="8:8">
      <c r="A79" s="18">
        <v>46172.0</v>
      </c>
      <c r="B79" s="19">
        <v>24.0</v>
      </c>
      <c r="C79">
        <f>_xlfn.XLOOKUP(B79,Lists!B:B,Lists!A:A,"")</f>
        <v>3.0</v>
      </c>
      <c r="D79" s="19" t="s">
        <v>234</v>
      </c>
      <c r="E79" s="19">
        <v>1.0</v>
      </c>
      <c r="F79" s="19">
        <v>160.0</v>
      </c>
      <c r="G79">
        <f t="shared" si="11"/>
        <v>160.0</v>
      </c>
      <c r="H79" s="20">
        <f t="shared" si="15"/>
        <v>1.0</v>
      </c>
      <c r="I79" s="19" t="s">
        <v>47</v>
      </c>
      <c r="J79" t="str">
        <f>IF(I79="","",_xlfn.XLOOKUP(I79,Lists!$C:$C,Lists!$D:$D))</f>
        <v>Deltamethrin</v>
      </c>
      <c r="K79" s="19" t="s">
        <v>52</v>
      </c>
      <c r="L79" s="19">
        <v>100.0</v>
      </c>
      <c r="M79" s="19">
        <v>900.0</v>
      </c>
      <c r="N79">
        <f t="shared" si="12"/>
        <v>0.9</v>
      </c>
      <c r="O79" t="str">
        <f>IF(I79="","",_xlfn.XLOOKUP(I79,Lists!$C:$C,Lists!$J:$J))</f>
        <v>L</v>
      </c>
      <c r="P79">
        <f>IF(I79="","",_xlfn.XLOOKUP(I79,Lists!$C:$C,Lists!$E:$E))</f>
        <v>10.0</v>
      </c>
      <c r="Q79" s="21">
        <f t="shared" si="13"/>
        <v>46183.0</v>
      </c>
      <c r="R79" t="str">
        <f t="shared" si="14"/>
        <v>Allow</v>
      </c>
      <c r="S79" t="str">
        <f>IF(I79="","",_xlfn.XLOOKUP(I79,Lists!$C:$C,Lists!$I:$I))</f>
        <v>Off-Label</v>
      </c>
    </row>
    <row r="80" spans="8:8">
      <c r="A80" s="18">
        <v>46172.0</v>
      </c>
      <c r="B80" s="19">
        <v>9.0</v>
      </c>
      <c r="C80">
        <f>_xlfn.XLOOKUP(B80,Lists!B:B,Lists!A:A,"")</f>
        <v>1.0</v>
      </c>
      <c r="D80" s="19" t="s">
        <v>234</v>
      </c>
      <c r="E80" s="19">
        <v>1.0</v>
      </c>
      <c r="F80" s="19">
        <v>160.0</v>
      </c>
      <c r="G80">
        <f t="shared" si="11"/>
        <v>160.0</v>
      </c>
      <c r="H80" s="20">
        <f t="shared" si="15"/>
        <v>1.0</v>
      </c>
      <c r="I80" s="19" t="s">
        <v>47</v>
      </c>
      <c r="J80" t="str">
        <f>IF(I80="","",_xlfn.XLOOKUP(I80,Lists!$C:$C,Lists!$D:$D))</f>
        <v>Deltamethrin</v>
      </c>
      <c r="K80" s="19" t="s">
        <v>52</v>
      </c>
      <c r="L80" s="19">
        <v>100.0</v>
      </c>
      <c r="M80" s="19">
        <v>900.0</v>
      </c>
      <c r="N80">
        <f t="shared" si="12"/>
        <v>0.9</v>
      </c>
      <c r="O80" t="str">
        <f>IF(I80="","",_xlfn.XLOOKUP(I80,Lists!$C:$C,Lists!$J:$J))</f>
        <v>L</v>
      </c>
      <c r="P80">
        <f>IF(I80="","",_xlfn.XLOOKUP(I80,Lists!$C:$C,Lists!$E:$E))</f>
        <v>10.0</v>
      </c>
      <c r="Q80" s="21">
        <f t="shared" si="13"/>
        <v>46183.0</v>
      </c>
      <c r="R80" t="str">
        <f t="shared" si="14"/>
        <v>Allow</v>
      </c>
      <c r="S80" t="str">
        <f>IF(I80="","",_xlfn.XLOOKUP(I80,Lists!$C:$C,Lists!$I:$I))</f>
        <v>Off-Label</v>
      </c>
    </row>
    <row r="81" spans="8:8">
      <c r="A81" s="18">
        <v>46172.0</v>
      </c>
      <c r="B81" s="19">
        <v>52.0</v>
      </c>
      <c r="C81">
        <f>_xlfn.XLOOKUP(B81,Lists!B:B,Lists!A:A,"")</f>
        <v>4.0</v>
      </c>
      <c r="D81" s="19" t="s">
        <v>234</v>
      </c>
      <c r="E81" s="19">
        <v>1.0</v>
      </c>
      <c r="F81" s="19">
        <v>160.0</v>
      </c>
      <c r="G81">
        <f t="shared" si="11"/>
        <v>160.0</v>
      </c>
      <c r="H81" s="20">
        <f t="shared" si="15"/>
        <v>1.0</v>
      </c>
      <c r="I81" s="19" t="s">
        <v>63</v>
      </c>
      <c r="J81" t="str">
        <f>IF(I81="","",_xlfn.XLOOKUP(I81,Lists!$C:$C,Lists!$D:$D))</f>
        <v>Acetamiprid [20%]</v>
      </c>
      <c r="K81" s="19" t="s">
        <v>240</v>
      </c>
      <c r="L81" s="19">
        <v>3000.0</v>
      </c>
      <c r="M81" s="19">
        <v>50.0</v>
      </c>
      <c r="N81">
        <f t="shared" si="12"/>
        <v>1.5</v>
      </c>
      <c r="O81" t="str">
        <f>IF(I81="","",_xlfn.XLOOKUP(I81,Lists!$C:$C,Lists!$J:$J))</f>
        <v>Kg</v>
      </c>
      <c r="P81">
        <f>IF(I81="","",_xlfn.XLOOKUP(I81,Lists!$C:$C,Lists!$E:$E))</f>
        <v>5.0</v>
      </c>
      <c r="Q81" s="21">
        <f t="shared" si="13"/>
        <v>46178.0</v>
      </c>
      <c r="R81" t="str">
        <f t="shared" si="14"/>
        <v>Allow</v>
      </c>
      <c r="S81" t="str">
        <f>IF(I81="","",_xlfn.XLOOKUP(I81,Lists!$C:$C,Lists!$I:$I))</f>
        <v>On-Label</v>
      </c>
    </row>
    <row r="82" spans="8:8">
      <c r="A82" s="18">
        <v>46172.0</v>
      </c>
      <c r="B82" s="19">
        <v>25.0</v>
      </c>
      <c r="C82">
        <f>_xlfn.XLOOKUP(B82,Lists!B:B,Lists!A:A,"")</f>
        <v>3.0</v>
      </c>
      <c r="D82" s="19" t="s">
        <v>234</v>
      </c>
      <c r="E82" s="19">
        <v>1.0</v>
      </c>
      <c r="F82" s="19">
        <v>160.0</v>
      </c>
      <c r="G82">
        <f t="shared" si="11"/>
        <v>160.0</v>
      </c>
      <c r="H82" s="20">
        <f t="shared" si="15"/>
        <v>1.0</v>
      </c>
      <c r="I82" s="19" t="s">
        <v>63</v>
      </c>
      <c r="J82" t="str">
        <f>IF(I82="","",_xlfn.XLOOKUP(I82,Lists!$C:$C,Lists!$D:$D))</f>
        <v>Acetamiprid [20%]</v>
      </c>
      <c r="K82" s="19" t="s">
        <v>240</v>
      </c>
      <c r="L82" s="19">
        <v>3000.0</v>
      </c>
      <c r="M82" s="19">
        <v>50.0</v>
      </c>
      <c r="N82">
        <f t="shared" si="12"/>
        <v>1.5</v>
      </c>
      <c r="O82" t="str">
        <f>IF(I82="","",_xlfn.XLOOKUP(I82,Lists!$C:$C,Lists!$J:$J))</f>
        <v>Kg</v>
      </c>
      <c r="P82">
        <f>IF(I82="","",_xlfn.XLOOKUP(I82,Lists!$C:$C,Lists!$E:$E))</f>
        <v>5.0</v>
      </c>
      <c r="Q82" s="21">
        <f t="shared" si="13"/>
        <v>46178.0</v>
      </c>
      <c r="R82" t="str">
        <f t="shared" si="14"/>
        <v>Allow</v>
      </c>
      <c r="S82" t="str">
        <f>IF(I82="","",_xlfn.XLOOKUP(I82,Lists!$C:$C,Lists!$I:$I))</f>
        <v>On-Label</v>
      </c>
    </row>
    <row r="83" spans="8:8">
      <c r="A83" s="18">
        <v>46172.0</v>
      </c>
      <c r="B83" s="19">
        <v>14.0</v>
      </c>
      <c r="C83">
        <f>_xlfn.XLOOKUP(B83,Lists!B:B,Lists!A:A,"")</f>
        <v>2.0</v>
      </c>
      <c r="D83" s="19" t="s">
        <v>234</v>
      </c>
      <c r="E83" s="19">
        <v>1.0</v>
      </c>
      <c r="F83" s="19">
        <v>160.0</v>
      </c>
      <c r="G83">
        <f t="shared" si="11"/>
        <v>160.0</v>
      </c>
      <c r="H83" s="20">
        <f t="shared" si="15"/>
        <v>1.0</v>
      </c>
      <c r="I83" s="19" t="s">
        <v>63</v>
      </c>
      <c r="J83" t="str">
        <f>IF(I83="","",_xlfn.XLOOKUP(I83,Lists!$C:$C,Lists!$D:$D))</f>
        <v>Acetamiprid [20%]</v>
      </c>
      <c r="K83" s="19" t="s">
        <v>240</v>
      </c>
      <c r="L83" s="19">
        <v>3000.0</v>
      </c>
      <c r="M83" s="19">
        <v>50.0</v>
      </c>
      <c r="N83">
        <f t="shared" si="12"/>
        <v>1.5</v>
      </c>
      <c r="O83" t="str">
        <f>IF(I83="","",_xlfn.XLOOKUP(I83,Lists!$C:$C,Lists!$J:$J))</f>
        <v>Kg</v>
      </c>
      <c r="P83">
        <f>IF(I83="","",_xlfn.XLOOKUP(I83,Lists!$C:$C,Lists!$E:$E))</f>
        <v>5.0</v>
      </c>
      <c r="Q83" s="21">
        <f t="shared" si="13"/>
        <v>46178.0</v>
      </c>
      <c r="R83" t="str">
        <f t="shared" si="14"/>
        <v>Allow</v>
      </c>
      <c r="S83" t="str">
        <f>IF(I83="","",_xlfn.XLOOKUP(I83,Lists!$C:$C,Lists!$I:$I))</f>
        <v>On-Label</v>
      </c>
    </row>
    <row r="84" spans="8:8">
      <c r="A84" s="18">
        <v>46172.0</v>
      </c>
      <c r="B84" s="19">
        <v>20.0</v>
      </c>
      <c r="C84">
        <f>_xlfn.XLOOKUP(B84,Lists!B:B,Lists!A:A,"")</f>
        <v>2.0</v>
      </c>
      <c r="D84" s="19" t="s">
        <v>234</v>
      </c>
      <c r="E84" s="19">
        <v>1.0</v>
      </c>
      <c r="F84" s="19">
        <v>160.0</v>
      </c>
      <c r="G84">
        <f t="shared" si="11"/>
        <v>160.0</v>
      </c>
      <c r="H84" s="20">
        <f t="shared" si="15"/>
        <v>1.0</v>
      </c>
      <c r="I84" s="19" t="s">
        <v>63</v>
      </c>
      <c r="J84" t="str">
        <f>IF(I84="","",_xlfn.XLOOKUP(I84,Lists!$C:$C,Lists!$D:$D))</f>
        <v>Acetamiprid [20%]</v>
      </c>
      <c r="K84" s="19" t="s">
        <v>240</v>
      </c>
      <c r="L84" s="19">
        <v>3000.0</v>
      </c>
      <c r="M84" s="19">
        <v>50.0</v>
      </c>
      <c r="N84">
        <f t="shared" si="12"/>
        <v>1.5</v>
      </c>
      <c r="O84" t="str">
        <f>IF(I84="","",_xlfn.XLOOKUP(I84,Lists!$C:$C,Lists!$J:$J))</f>
        <v>Kg</v>
      </c>
      <c r="P84">
        <f>IF(I84="","",_xlfn.XLOOKUP(I84,Lists!$C:$C,Lists!$E:$E))</f>
        <v>5.0</v>
      </c>
      <c r="Q84" s="21">
        <f t="shared" si="13"/>
        <v>46178.0</v>
      </c>
      <c r="R84" t="str">
        <f t="shared" si="14"/>
        <v>Allow</v>
      </c>
      <c r="S84" t="str">
        <f>IF(I84="","",_xlfn.XLOOKUP(I84,Lists!$C:$C,Lists!$I:$I))</f>
        <v>On-Label</v>
      </c>
    </row>
    <row r="85" spans="8:8">
      <c r="A85" s="18">
        <v>46173.0</v>
      </c>
      <c r="B85" s="19">
        <v>30.0</v>
      </c>
      <c r="C85">
        <f>_xlfn.XLOOKUP(B85,Lists!B:B,Lists!A:A,"")</f>
        <v>3.0</v>
      </c>
      <c r="D85" s="19" t="s">
        <v>234</v>
      </c>
      <c r="E85" s="19">
        <v>1.0</v>
      </c>
      <c r="F85" s="19">
        <v>160.0</v>
      </c>
      <c r="G85">
        <f t="shared" si="11"/>
        <v>160.0</v>
      </c>
      <c r="H85" s="20">
        <f t="shared" si="15"/>
        <v>1.0</v>
      </c>
      <c r="I85" s="19" t="s">
        <v>47</v>
      </c>
      <c r="J85" t="str">
        <f>IF(I85="","",_xlfn.XLOOKUP(I85,Lists!$C:$C,Lists!$D:$D))</f>
        <v>Deltamethrin</v>
      </c>
      <c r="K85" s="19" t="s">
        <v>52</v>
      </c>
      <c r="L85" s="19">
        <v>100.0</v>
      </c>
      <c r="M85" s="19">
        <v>900.0</v>
      </c>
      <c r="N85">
        <f t="shared" si="12"/>
        <v>0.9</v>
      </c>
      <c r="O85" t="str">
        <f>IF(I85="","",_xlfn.XLOOKUP(I85,Lists!$C:$C,Lists!$J:$J))</f>
        <v>L</v>
      </c>
      <c r="P85">
        <f>IF(I85="","",_xlfn.XLOOKUP(I85,Lists!$C:$C,Lists!$E:$E))</f>
        <v>10.0</v>
      </c>
      <c r="Q85" s="21">
        <f t="shared" si="13"/>
        <v>46184.0</v>
      </c>
      <c r="R85" t="str">
        <f t="shared" si="14"/>
        <v>Allow</v>
      </c>
      <c r="S85" t="str">
        <f>IF(I85="","",_xlfn.XLOOKUP(I85,Lists!$C:$C,Lists!$I:$I))</f>
        <v>Off-Label</v>
      </c>
    </row>
    <row r="86" spans="8:8">
      <c r="A86" s="18">
        <v>46173.0</v>
      </c>
      <c r="B86" s="19">
        <v>29.0</v>
      </c>
      <c r="C86">
        <f>_xlfn.XLOOKUP(B86,Lists!B:B,Lists!A:A,"")</f>
        <v>3.0</v>
      </c>
      <c r="D86" s="19" t="s">
        <v>234</v>
      </c>
      <c r="E86" s="19">
        <v>1.0</v>
      </c>
      <c r="F86" s="19">
        <v>160.0</v>
      </c>
      <c r="G86">
        <f t="shared" si="11"/>
        <v>160.0</v>
      </c>
      <c r="H86" s="20">
        <f t="shared" si="15"/>
        <v>1.0</v>
      </c>
      <c r="I86" s="19" t="s">
        <v>47</v>
      </c>
      <c r="J86" t="str">
        <f>IF(I86="","",_xlfn.XLOOKUP(I86,Lists!$C:$C,Lists!$D:$D))</f>
        <v>Deltamethrin</v>
      </c>
      <c r="K86" s="19" t="s">
        <v>52</v>
      </c>
      <c r="L86" s="19">
        <v>100.0</v>
      </c>
      <c r="M86" s="19">
        <v>900.0</v>
      </c>
      <c r="N86">
        <f t="shared" si="12"/>
        <v>0.9</v>
      </c>
      <c r="O86" t="str">
        <f>IF(I86="","",_xlfn.XLOOKUP(I86,Lists!$C:$C,Lists!$J:$J))</f>
        <v>L</v>
      </c>
      <c r="P86">
        <f>IF(I86="","",_xlfn.XLOOKUP(I86,Lists!$C:$C,Lists!$E:$E))</f>
        <v>10.0</v>
      </c>
      <c r="Q86" s="21">
        <f t="shared" si="13"/>
        <v>46184.0</v>
      </c>
      <c r="R86" t="str">
        <f t="shared" si="14"/>
        <v>Allow</v>
      </c>
      <c r="S86" t="str">
        <f>IF(I86="","",_xlfn.XLOOKUP(I86,Lists!$C:$C,Lists!$I:$I))</f>
        <v>Off-Label</v>
      </c>
    </row>
    <row r="87" spans="8:8">
      <c r="A87" s="18">
        <v>46173.0</v>
      </c>
      <c r="B87" s="19">
        <v>26.0</v>
      </c>
      <c r="C87">
        <f>_xlfn.XLOOKUP(B87,Lists!B:B,Lists!A:A,"")</f>
        <v>3.0</v>
      </c>
      <c r="D87" s="19" t="s">
        <v>234</v>
      </c>
      <c r="E87" s="19">
        <v>1.0</v>
      </c>
      <c r="F87" s="19">
        <v>160.0</v>
      </c>
      <c r="G87">
        <f t="shared" si="11"/>
        <v>160.0</v>
      </c>
      <c r="H87" s="20">
        <f t="shared" si="15"/>
        <v>1.0</v>
      </c>
      <c r="I87" s="19" t="s">
        <v>47</v>
      </c>
      <c r="J87" t="str">
        <f>IF(I87="","",_xlfn.XLOOKUP(I87,Lists!$C:$C,Lists!$D:$D))</f>
        <v>Deltamethrin</v>
      </c>
      <c r="K87" s="19" t="s">
        <v>52</v>
      </c>
      <c r="L87" s="19">
        <v>100.0</v>
      </c>
      <c r="M87" s="19">
        <v>900.0</v>
      </c>
      <c r="N87">
        <f t="shared" si="12"/>
        <v>0.9</v>
      </c>
      <c r="O87" t="str">
        <f>IF(I87="","",_xlfn.XLOOKUP(I87,Lists!$C:$C,Lists!$J:$J))</f>
        <v>L</v>
      </c>
      <c r="P87">
        <f>IF(I87="","",_xlfn.XLOOKUP(I87,Lists!$C:$C,Lists!$E:$E))</f>
        <v>10.0</v>
      </c>
      <c r="Q87" s="21">
        <f t="shared" si="13"/>
        <v>46184.0</v>
      </c>
      <c r="R87" t="str">
        <f t="shared" si="14"/>
        <v>Allow</v>
      </c>
      <c r="S87" t="str">
        <f>IF(I87="","",_xlfn.XLOOKUP(I87,Lists!$C:$C,Lists!$I:$I))</f>
        <v>Off-Label</v>
      </c>
    </row>
    <row r="88" spans="8:8">
      <c r="A88" s="18">
        <v>46173.0</v>
      </c>
      <c r="B88" s="19">
        <v>56.0</v>
      </c>
      <c r="C88">
        <f>_xlfn.XLOOKUP(B88,Lists!B:B,Lists!A:A,"")</f>
        <v>4.0</v>
      </c>
      <c r="D88" s="19" t="s">
        <v>234</v>
      </c>
      <c r="E88" s="19">
        <v>1.0</v>
      </c>
      <c r="F88" s="19">
        <v>160.0</v>
      </c>
      <c r="G88">
        <f t="shared" si="11"/>
        <v>160.0</v>
      </c>
      <c r="H88" s="20">
        <f t="shared" si="15"/>
        <v>1.0</v>
      </c>
      <c r="I88" s="19" t="s">
        <v>47</v>
      </c>
      <c r="J88" t="str">
        <f>IF(I88="","",_xlfn.XLOOKUP(I88,Lists!$C:$C,Lists!$D:$D))</f>
        <v>Deltamethrin</v>
      </c>
      <c r="K88" s="19" t="s">
        <v>52</v>
      </c>
      <c r="L88" s="19">
        <v>100.0</v>
      </c>
      <c r="M88" s="19">
        <v>900.0</v>
      </c>
      <c r="N88">
        <f t="shared" si="12"/>
        <v>0.9</v>
      </c>
      <c r="O88" t="str">
        <f>IF(I88="","",_xlfn.XLOOKUP(I88,Lists!$C:$C,Lists!$J:$J))</f>
        <v>L</v>
      </c>
      <c r="P88">
        <f>IF(I88="","",_xlfn.XLOOKUP(I88,Lists!$C:$C,Lists!$E:$E))</f>
        <v>10.0</v>
      </c>
      <c r="Q88" s="21">
        <f t="shared" si="13"/>
        <v>46184.0</v>
      </c>
      <c r="R88" t="str">
        <f t="shared" si="14"/>
        <v>Allow</v>
      </c>
      <c r="S88" t="str">
        <f>IF(I88="","",_xlfn.XLOOKUP(I88,Lists!$C:$C,Lists!$I:$I))</f>
        <v>Off-Label</v>
      </c>
    </row>
    <row r="89" spans="8:8">
      <c r="A89" s="18">
        <v>46173.0</v>
      </c>
      <c r="B89" s="19">
        <v>57.0</v>
      </c>
      <c r="C89">
        <f>_xlfn.XLOOKUP(B89,Lists!B:B,Lists!A:A,"")</f>
        <v>4.0</v>
      </c>
      <c r="D89" s="19" t="s">
        <v>234</v>
      </c>
      <c r="E89" s="19">
        <v>1.0</v>
      </c>
      <c r="F89" s="19">
        <v>160.0</v>
      </c>
      <c r="G89">
        <f t="shared" si="11"/>
        <v>160.0</v>
      </c>
      <c r="H89" s="20">
        <f t="shared" si="15"/>
        <v>1.0</v>
      </c>
      <c r="I89" s="19" t="s">
        <v>47</v>
      </c>
      <c r="J89" t="str">
        <f>IF(I89="","",_xlfn.XLOOKUP(I89,Lists!$C:$C,Lists!$D:$D))</f>
        <v>Deltamethrin</v>
      </c>
      <c r="K89" s="19" t="s">
        <v>52</v>
      </c>
      <c r="L89" s="19">
        <v>100.0</v>
      </c>
      <c r="M89" s="19">
        <v>900.0</v>
      </c>
      <c r="N89">
        <f t="shared" si="12"/>
        <v>0.9</v>
      </c>
      <c r="O89" t="str">
        <f>IF(I89="","",_xlfn.XLOOKUP(I89,Lists!$C:$C,Lists!$J:$J))</f>
        <v>L</v>
      </c>
      <c r="P89">
        <f>IF(I89="","",_xlfn.XLOOKUP(I89,Lists!$C:$C,Lists!$E:$E))</f>
        <v>10.0</v>
      </c>
      <c r="Q89" s="21">
        <f t="shared" si="13"/>
        <v>46184.0</v>
      </c>
      <c r="R89" t="str">
        <f t="shared" si="14"/>
        <v>Allow</v>
      </c>
      <c r="S89" t="str">
        <f>IF(I89="","",_xlfn.XLOOKUP(I89,Lists!$C:$C,Lists!$I:$I))</f>
        <v>Off-Label</v>
      </c>
    </row>
    <row r="90" spans="8:8">
      <c r="A90" s="18">
        <v>46173.0</v>
      </c>
      <c r="B90" s="19">
        <v>58.0</v>
      </c>
      <c r="C90">
        <f>_xlfn.XLOOKUP(B90,Lists!B:B,Lists!A:A,"")</f>
        <v>4.0</v>
      </c>
      <c r="D90" s="19" t="s">
        <v>234</v>
      </c>
      <c r="E90" s="19">
        <v>1.0</v>
      </c>
      <c r="F90" s="19">
        <v>160.0</v>
      </c>
      <c r="G90">
        <f t="shared" si="11"/>
        <v>160.0</v>
      </c>
      <c r="H90" s="20">
        <f t="shared" si="15"/>
        <v>1.0</v>
      </c>
      <c r="I90" s="19" t="s">
        <v>47</v>
      </c>
      <c r="J90" t="str">
        <f>IF(I90="","",_xlfn.XLOOKUP(I90,Lists!$C:$C,Lists!$D:$D))</f>
        <v>Deltamethrin</v>
      </c>
      <c r="K90" s="19" t="s">
        <v>52</v>
      </c>
      <c r="L90" s="19">
        <v>100.0</v>
      </c>
      <c r="M90" s="19">
        <v>900.0</v>
      </c>
      <c r="N90">
        <f t="shared" si="12"/>
        <v>0.9</v>
      </c>
      <c r="O90" t="str">
        <f>IF(I90="","",_xlfn.XLOOKUP(I90,Lists!$C:$C,Lists!$J:$J))</f>
        <v>L</v>
      </c>
      <c r="P90">
        <f>IF(I90="","",_xlfn.XLOOKUP(I90,Lists!$C:$C,Lists!$E:$E))</f>
        <v>10.0</v>
      </c>
      <c r="Q90" s="21">
        <f t="shared" si="13"/>
        <v>46184.0</v>
      </c>
      <c r="R90" t="str">
        <f t="shared" si="14"/>
        <v>Allow</v>
      </c>
      <c r="S90" t="str">
        <f>IF(I90="","",_xlfn.XLOOKUP(I90,Lists!$C:$C,Lists!$I:$I))</f>
        <v>Off-Label</v>
      </c>
    </row>
    <row r="91" spans="8:8">
      <c r="A91" s="18">
        <v>46174.0</v>
      </c>
      <c r="B91" s="19">
        <v>6.0</v>
      </c>
      <c r="C91">
        <f>_xlfn.XLOOKUP(B91,Lists!B:B,Lists!A:A,"")</f>
        <v>1.0</v>
      </c>
      <c r="D91" s="19" t="s">
        <v>234</v>
      </c>
      <c r="E91" s="19">
        <v>1.0</v>
      </c>
      <c r="F91" s="19">
        <v>160.0</v>
      </c>
      <c r="G91">
        <f t="shared" si="16" ref="G91:G154">IF(OR(E91="",F91=""),"",F91-E91+1)</f>
        <v>160.0</v>
      </c>
      <c r="H91" s="20">
        <f t="shared" si="17" ref="H91:H154">IF(D91="","",IF(OR(D91="A",D91="B"),G91/80,IF(D91="A&amp;B",G91/160,"")))</f>
        <v>1.0</v>
      </c>
      <c r="I91" s="19" t="s">
        <v>47</v>
      </c>
      <c r="J91" t="str">
        <f>IF(I91="","",_xlfn.XLOOKUP(I91,Lists!$C:$C,Lists!$D:$D))</f>
        <v>Deltamethrin</v>
      </c>
      <c r="K91" s="19" t="s">
        <v>52</v>
      </c>
      <c r="L91" s="19">
        <v>100.0</v>
      </c>
      <c r="M91" s="19">
        <v>900.0</v>
      </c>
      <c r="N91">
        <f>IF(OR(M91="",L91=""),"",(M91*L91)/100000)</f>
        <v>0.9</v>
      </c>
      <c r="O91" t="str">
        <f>IF(I91="","",_xlfn.XLOOKUP(I91,Lists!$C:$C,Lists!$J:$J))</f>
        <v>L</v>
      </c>
      <c r="P91">
        <f>IF(I91="","",_xlfn.XLOOKUP(I91,Lists!$C:$C,Lists!$E:$E))</f>
        <v>10.0</v>
      </c>
      <c r="Q91" s="21">
        <f t="shared" si="18" ref="Q91:Q154">IF(OR(A91="",P91=""),"",A91+P91+1)</f>
        <v>46185.0</v>
      </c>
      <c r="R91" t="str">
        <f t="shared" si="19" ref="R91:R154">IF(Q91="","",IF(Q91&lt;=TODAY(),"Allow","Not Allow"))</f>
        <v>Allow</v>
      </c>
      <c r="S91" t="str">
        <f>IF(I91="","",_xlfn.XLOOKUP(I91,Lists!$C:$C,Lists!$I:$I))</f>
        <v>Off-Label</v>
      </c>
    </row>
    <row r="92" spans="8:8">
      <c r="A92" s="18">
        <v>46174.0</v>
      </c>
      <c r="B92" s="19">
        <v>7.0</v>
      </c>
      <c r="C92">
        <f>_xlfn.XLOOKUP(B92,Lists!B:B,Lists!A:A,"")</f>
        <v>1.0</v>
      </c>
      <c r="D92" s="19" t="s">
        <v>234</v>
      </c>
      <c r="E92" s="19">
        <v>1.0</v>
      </c>
      <c r="F92" s="19">
        <v>160.0</v>
      </c>
      <c r="G92">
        <f t="shared" si="16"/>
        <v>160.0</v>
      </c>
      <c r="H92" s="20">
        <f t="shared" si="17"/>
        <v>1.0</v>
      </c>
      <c r="I92" s="19" t="s">
        <v>47</v>
      </c>
      <c r="J92" t="str">
        <f>IF(I92="","",_xlfn.XLOOKUP(I92,Lists!$C:$C,Lists!$D:$D))</f>
        <v>Deltamethrin</v>
      </c>
      <c r="K92" s="19" t="s">
        <v>52</v>
      </c>
      <c r="L92" s="19">
        <v>100.0</v>
      </c>
      <c r="M92" s="19">
        <v>900.0</v>
      </c>
      <c r="N92">
        <f>IF(OR(M92="",L92=""),"",(M92*L92)/100000)</f>
        <v>0.9</v>
      </c>
      <c r="O92" t="str">
        <f>IF(I92="","",_xlfn.XLOOKUP(I92,Lists!$C:$C,Lists!$J:$J))</f>
        <v>L</v>
      </c>
      <c r="P92">
        <f>IF(I92="","",_xlfn.XLOOKUP(I92,Lists!$C:$C,Lists!$E:$E))</f>
        <v>10.0</v>
      </c>
      <c r="Q92" s="21">
        <f t="shared" si="18"/>
        <v>46185.0</v>
      </c>
      <c r="R92" t="str">
        <f t="shared" si="19"/>
        <v>Allow</v>
      </c>
      <c r="S92" t="str">
        <f>IF(I92="","",_xlfn.XLOOKUP(I92,Lists!$C:$C,Lists!$I:$I))</f>
        <v>Off-Label</v>
      </c>
    </row>
    <row r="93" spans="8:8">
      <c r="A93" s="18">
        <v>46174.0</v>
      </c>
      <c r="B93" s="19">
        <v>8.0</v>
      </c>
      <c r="C93">
        <f>_xlfn.XLOOKUP(B93,Lists!B:B,Lists!A:A,"")</f>
        <v>1.0</v>
      </c>
      <c r="D93" s="19" t="s">
        <v>234</v>
      </c>
      <c r="E93" s="19">
        <v>1.0</v>
      </c>
      <c r="F93" s="19">
        <v>160.0</v>
      </c>
      <c r="G93">
        <f t="shared" si="16"/>
        <v>160.0</v>
      </c>
      <c r="H93" s="20">
        <f t="shared" si="17"/>
        <v>1.0</v>
      </c>
      <c r="I93" s="19" t="s">
        <v>47</v>
      </c>
      <c r="J93" t="str">
        <f>IF(I93="","",_xlfn.XLOOKUP(I93,Lists!$C:$C,Lists!$D:$D))</f>
        <v>Deltamethrin</v>
      </c>
      <c r="K93" s="19" t="s">
        <v>52</v>
      </c>
      <c r="L93" s="19">
        <v>100.0</v>
      </c>
      <c r="M93" s="19">
        <v>900.0</v>
      </c>
      <c r="N93">
        <f>IF(OR(M93="",L93=""),"",(M93*L93)/100000)</f>
        <v>0.9</v>
      </c>
      <c r="O93" t="str">
        <f>IF(I93="","",_xlfn.XLOOKUP(I93,Lists!$C:$C,Lists!$J:$J))</f>
        <v>L</v>
      </c>
      <c r="P93">
        <f>IF(I93="","",_xlfn.XLOOKUP(I93,Lists!$C:$C,Lists!$E:$E))</f>
        <v>10.0</v>
      </c>
      <c r="Q93" s="21">
        <f t="shared" si="18"/>
        <v>46185.0</v>
      </c>
      <c r="R93" t="str">
        <f t="shared" si="19"/>
        <v>Allow</v>
      </c>
      <c r="S93" t="str">
        <f>IF(I93="","",_xlfn.XLOOKUP(I93,Lists!$C:$C,Lists!$I:$I))</f>
        <v>Off-Label</v>
      </c>
    </row>
    <row r="94" spans="8:8">
      <c r="A94" s="18">
        <v>46174.0</v>
      </c>
      <c r="B94" s="19">
        <v>18.0</v>
      </c>
      <c r="C94">
        <f>_xlfn.XLOOKUP(B94,Lists!B:B,Lists!A:A,"")</f>
        <v>2.0</v>
      </c>
      <c r="D94" s="19" t="s">
        <v>234</v>
      </c>
      <c r="E94" s="19">
        <v>1.0</v>
      </c>
      <c r="F94" s="19">
        <v>160.0</v>
      </c>
      <c r="G94">
        <f t="shared" si="16"/>
        <v>160.0</v>
      </c>
      <c r="H94" s="20">
        <f t="shared" si="17"/>
        <v>1.0</v>
      </c>
      <c r="I94" s="19" t="s">
        <v>47</v>
      </c>
      <c r="J94" t="str">
        <f>IF(I94="","",_xlfn.XLOOKUP(I94,Lists!$C:$C,Lists!$D:$D))</f>
        <v>Deltamethrin</v>
      </c>
      <c r="K94" s="19" t="s">
        <v>52</v>
      </c>
      <c r="L94" s="19">
        <v>100.0</v>
      </c>
      <c r="M94" s="19">
        <v>900.0</v>
      </c>
      <c r="N94">
        <f>IF(OR(M94="",L94=""),"",(M94*L94)/100000)</f>
        <v>0.9</v>
      </c>
      <c r="O94" t="str">
        <f>IF(I94="","",_xlfn.XLOOKUP(I94,Lists!$C:$C,Lists!$J:$J))</f>
        <v>L</v>
      </c>
      <c r="P94">
        <f>IF(I94="","",_xlfn.XLOOKUP(I94,Lists!$C:$C,Lists!$E:$E))</f>
        <v>10.0</v>
      </c>
      <c r="Q94" s="21">
        <f t="shared" si="18"/>
        <v>46185.0</v>
      </c>
      <c r="R94" t="str">
        <f t="shared" si="19"/>
        <v>Allow</v>
      </c>
      <c r="S94" t="str">
        <f>IF(I94="","",_xlfn.XLOOKUP(I94,Lists!$C:$C,Lists!$I:$I))</f>
        <v>Off-Label</v>
      </c>
    </row>
    <row r="95" spans="8:8">
      <c r="A95" s="18">
        <v>46174.0</v>
      </c>
      <c r="B95" s="19">
        <v>19.0</v>
      </c>
      <c r="C95">
        <f>_xlfn.XLOOKUP(B95,Lists!B:B,Lists!A:A,"")</f>
        <v>2.0</v>
      </c>
      <c r="D95" s="19" t="s">
        <v>234</v>
      </c>
      <c r="E95" s="19">
        <v>1.0</v>
      </c>
      <c r="F95" s="19">
        <v>160.0</v>
      </c>
      <c r="G95">
        <f t="shared" si="16"/>
        <v>160.0</v>
      </c>
      <c r="H95" s="20">
        <f t="shared" si="17"/>
        <v>1.0</v>
      </c>
      <c r="I95" s="19" t="s">
        <v>47</v>
      </c>
      <c r="J95" t="str">
        <f>IF(I95="","",_xlfn.XLOOKUP(I95,Lists!$C:$C,Lists!$D:$D))</f>
        <v>Deltamethrin</v>
      </c>
      <c r="K95" s="19" t="s">
        <v>52</v>
      </c>
      <c r="L95" s="19">
        <v>100.0</v>
      </c>
      <c r="M95" s="19">
        <v>900.0</v>
      </c>
      <c r="N95">
        <f>IF(OR(M95="",L95=""),"",(M95*L95)/100000)</f>
        <v>0.9</v>
      </c>
      <c r="O95" t="str">
        <f>IF(I95="","",_xlfn.XLOOKUP(I95,Lists!$C:$C,Lists!$J:$J))</f>
        <v>L</v>
      </c>
      <c r="P95">
        <f>IF(I95="","",_xlfn.XLOOKUP(I95,Lists!$C:$C,Lists!$E:$E))</f>
        <v>10.0</v>
      </c>
      <c r="Q95" s="21">
        <f t="shared" si="18"/>
        <v>46185.0</v>
      </c>
      <c r="R95" t="str">
        <f t="shared" si="19"/>
        <v>Allow</v>
      </c>
      <c r="S95" t="str">
        <f>IF(I95="","",_xlfn.XLOOKUP(I95,Lists!$C:$C,Lists!$I:$I))</f>
        <v>Off-Label</v>
      </c>
    </row>
    <row r="96" spans="8:8">
      <c r="A96" s="18">
        <v>46174.0</v>
      </c>
      <c r="B96" s="19">
        <v>20.0</v>
      </c>
      <c r="C96">
        <f>_xlfn.XLOOKUP(B96,Lists!B:B,Lists!A:A,"")</f>
        <v>2.0</v>
      </c>
      <c r="D96" s="19" t="s">
        <v>234</v>
      </c>
      <c r="E96" s="19">
        <v>1.0</v>
      </c>
      <c r="F96" s="19">
        <v>160.0</v>
      </c>
      <c r="G96">
        <f t="shared" si="16"/>
        <v>160.0</v>
      </c>
      <c r="H96" s="20">
        <f t="shared" si="17"/>
        <v>1.0</v>
      </c>
      <c r="I96" s="19" t="s">
        <v>47</v>
      </c>
      <c r="J96" t="str">
        <f>IF(I96="","",_xlfn.XLOOKUP(I96,Lists!$C:$C,Lists!$D:$D))</f>
        <v>Deltamethrin</v>
      </c>
      <c r="K96" s="19" t="s">
        <v>52</v>
      </c>
      <c r="L96" s="19">
        <v>100.0</v>
      </c>
      <c r="M96" s="19">
        <v>900.0</v>
      </c>
      <c r="N96">
        <f>IF(OR(M96="",L96=""),"",(M96*L96)/100000)</f>
        <v>0.9</v>
      </c>
      <c r="O96" t="str">
        <f>IF(I96="","",_xlfn.XLOOKUP(I96,Lists!$C:$C,Lists!$J:$J))</f>
        <v>L</v>
      </c>
      <c r="P96">
        <f>IF(I96="","",_xlfn.XLOOKUP(I96,Lists!$C:$C,Lists!$E:$E))</f>
        <v>10.0</v>
      </c>
      <c r="Q96" s="21">
        <f t="shared" si="18"/>
        <v>46185.0</v>
      </c>
      <c r="R96" t="str">
        <f t="shared" si="19"/>
        <v>Allow</v>
      </c>
      <c r="S96" t="str">
        <f>IF(I96="","",_xlfn.XLOOKUP(I96,Lists!$C:$C,Lists!$I:$I))</f>
        <v>Off-Label</v>
      </c>
    </row>
    <row r="97" spans="8:8">
      <c r="A97" s="18">
        <v>46175.0</v>
      </c>
      <c r="B97" s="19">
        <v>17.0</v>
      </c>
      <c r="C97">
        <f>_xlfn.XLOOKUP(B97,Lists!B:B,Lists!A:A,"")</f>
        <v>2.0</v>
      </c>
      <c r="D97" s="19" t="s">
        <v>234</v>
      </c>
      <c r="E97" s="19">
        <v>1.0</v>
      </c>
      <c r="F97" s="19">
        <v>160.0</v>
      </c>
      <c r="G97">
        <f t="shared" si="16"/>
        <v>160.0</v>
      </c>
      <c r="H97" s="20">
        <f t="shared" si="17"/>
        <v>1.0</v>
      </c>
      <c r="I97" s="19" t="s">
        <v>47</v>
      </c>
      <c r="J97" t="str">
        <f>IF(I97="","",_xlfn.XLOOKUP(I97,Lists!$C:$C,Lists!$D:$D))</f>
        <v>Deltamethrin</v>
      </c>
      <c r="K97" s="19" t="s">
        <v>52</v>
      </c>
      <c r="L97" s="19">
        <v>100.0</v>
      </c>
      <c r="M97" s="19">
        <v>900.0</v>
      </c>
      <c r="N97">
        <f>IF(OR(M97="",L97=""),"",(M97*L97)/100000)</f>
        <v>0.9</v>
      </c>
      <c r="O97" t="str">
        <f>IF(I97="","",_xlfn.XLOOKUP(I97,Lists!$C:$C,Lists!$J:$J))</f>
        <v>L</v>
      </c>
      <c r="P97">
        <f>IF(I97="","",_xlfn.XLOOKUP(I97,Lists!$C:$C,Lists!$E:$E))</f>
        <v>10.0</v>
      </c>
      <c r="Q97" s="21">
        <f t="shared" si="18"/>
        <v>46186.0</v>
      </c>
      <c r="R97" t="str">
        <f t="shared" si="19"/>
        <v>Allow</v>
      </c>
      <c r="S97" t="str">
        <f>IF(I97="","",_xlfn.XLOOKUP(I97,Lists!$C:$C,Lists!$I:$I))</f>
        <v>Off-Label</v>
      </c>
    </row>
    <row r="98" spans="8:8">
      <c r="A98" s="18">
        <v>46175.0</v>
      </c>
      <c r="B98" s="19">
        <v>38.0</v>
      </c>
      <c r="C98">
        <f>_xlfn.XLOOKUP(B98,Lists!B:B,Lists!A:A,"")</f>
        <v>5.0</v>
      </c>
      <c r="D98" s="19" t="s">
        <v>234</v>
      </c>
      <c r="E98" s="19">
        <v>1.0</v>
      </c>
      <c r="F98" s="19">
        <v>160.0</v>
      </c>
      <c r="G98">
        <f t="shared" si="16"/>
        <v>160.0</v>
      </c>
      <c r="H98" s="20">
        <f t="shared" si="17"/>
        <v>1.0</v>
      </c>
      <c r="I98" s="19" t="s">
        <v>47</v>
      </c>
      <c r="J98" t="str">
        <f>IF(I98="","",_xlfn.XLOOKUP(I98,Lists!$C:$C,Lists!$D:$D))</f>
        <v>Deltamethrin</v>
      </c>
      <c r="K98" s="19" t="s">
        <v>52</v>
      </c>
      <c r="L98" s="19">
        <v>100.0</v>
      </c>
      <c r="M98" s="19">
        <v>900.0</v>
      </c>
      <c r="N98">
        <f>IF(OR(M98="",L98=""),"",(M98*L98)/100000)</f>
        <v>0.9</v>
      </c>
      <c r="O98" t="str">
        <f>IF(I98="","",_xlfn.XLOOKUP(I98,Lists!$C:$C,Lists!$J:$J))</f>
        <v>L</v>
      </c>
      <c r="P98">
        <f>IF(I98="","",_xlfn.XLOOKUP(I98,Lists!$C:$C,Lists!$E:$E))</f>
        <v>10.0</v>
      </c>
      <c r="Q98" s="21">
        <f t="shared" si="18"/>
        <v>46186.0</v>
      </c>
      <c r="R98" t="str">
        <f t="shared" si="19"/>
        <v>Allow</v>
      </c>
      <c r="S98" t="str">
        <f>IF(I98="","",_xlfn.XLOOKUP(I98,Lists!$C:$C,Lists!$I:$I))</f>
        <v>Off-Label</v>
      </c>
    </row>
    <row r="99" spans="8:8">
      <c r="A99" s="18">
        <v>46175.0</v>
      </c>
      <c r="B99" s="19">
        <v>39.0</v>
      </c>
      <c r="C99">
        <f>_xlfn.XLOOKUP(B99,Lists!B:B,Lists!A:A,"")</f>
        <v>5.0</v>
      </c>
      <c r="D99" s="19" t="s">
        <v>234</v>
      </c>
      <c r="E99" s="19">
        <v>1.0</v>
      </c>
      <c r="F99" s="19">
        <v>160.0</v>
      </c>
      <c r="G99">
        <f t="shared" si="16"/>
        <v>160.0</v>
      </c>
      <c r="H99" s="20">
        <f t="shared" si="17"/>
        <v>1.0</v>
      </c>
      <c r="I99" s="19" t="s">
        <v>47</v>
      </c>
      <c r="J99" t="str">
        <f>IF(I99="","",_xlfn.XLOOKUP(I99,Lists!$C:$C,Lists!$D:$D))</f>
        <v>Deltamethrin</v>
      </c>
      <c r="K99" s="19" t="s">
        <v>52</v>
      </c>
      <c r="L99" s="19">
        <v>100.0</v>
      </c>
      <c r="M99" s="19">
        <v>900.0</v>
      </c>
      <c r="N99">
        <f>IF(OR(M99="",L99=""),"",(M99*L99)/100000)</f>
        <v>0.9</v>
      </c>
      <c r="O99" t="str">
        <f>IF(I99="","",_xlfn.XLOOKUP(I99,Lists!$C:$C,Lists!$J:$J))</f>
        <v>L</v>
      </c>
      <c r="P99">
        <f>IF(I99="","",_xlfn.XLOOKUP(I99,Lists!$C:$C,Lists!$E:$E))</f>
        <v>10.0</v>
      </c>
      <c r="Q99" s="21">
        <f t="shared" si="18"/>
        <v>46186.0</v>
      </c>
      <c r="R99" t="str">
        <f t="shared" si="19"/>
        <v>Allow</v>
      </c>
      <c r="S99" t="str">
        <f>IF(I99="","",_xlfn.XLOOKUP(I99,Lists!$C:$C,Lists!$I:$I))</f>
        <v>Off-Label</v>
      </c>
    </row>
    <row r="100" spans="8:8">
      <c r="A100" s="18">
        <v>46175.0</v>
      </c>
      <c r="B100" s="19">
        <v>59.0</v>
      </c>
      <c r="C100">
        <f>_xlfn.XLOOKUP(B100,Lists!B:B,Lists!A:A,"")</f>
        <v>4.0</v>
      </c>
      <c r="D100" s="19" t="s">
        <v>234</v>
      </c>
      <c r="E100" s="19">
        <v>1.0</v>
      </c>
      <c r="F100" s="19">
        <v>160.0</v>
      </c>
      <c r="G100">
        <f t="shared" si="16"/>
        <v>160.0</v>
      </c>
      <c r="H100" s="20">
        <f t="shared" si="17"/>
        <v>1.0</v>
      </c>
      <c r="I100" s="19" t="s">
        <v>47</v>
      </c>
      <c r="J100" t="str">
        <f>IF(I100="","",_xlfn.XLOOKUP(I100,Lists!$C:$C,Lists!$D:$D))</f>
        <v>Deltamethrin</v>
      </c>
      <c r="K100" s="19" t="s">
        <v>52</v>
      </c>
      <c r="L100" s="19">
        <v>100.0</v>
      </c>
      <c r="M100" s="19">
        <v>900.0</v>
      </c>
      <c r="N100">
        <f>IF(OR(M100="",L100=""),"",(M100*L100)/100000)</f>
        <v>0.9</v>
      </c>
      <c r="O100" t="str">
        <f>IF(I100="","",_xlfn.XLOOKUP(I100,Lists!$C:$C,Lists!$J:$J))</f>
        <v>L</v>
      </c>
      <c r="P100">
        <f>IF(I100="","",_xlfn.XLOOKUP(I100,Lists!$C:$C,Lists!$E:$E))</f>
        <v>10.0</v>
      </c>
      <c r="Q100" s="21">
        <f t="shared" si="18"/>
        <v>46186.0</v>
      </c>
      <c r="R100" t="str">
        <f t="shared" si="19"/>
        <v>Allow</v>
      </c>
      <c r="S100" t="str">
        <f>IF(I100="","",_xlfn.XLOOKUP(I100,Lists!$C:$C,Lists!$I:$I))</f>
        <v>Off-Label</v>
      </c>
    </row>
    <row r="101" spans="8:8">
      <c r="A101" s="18">
        <v>46175.0</v>
      </c>
      <c r="B101" s="19">
        <v>64.0</v>
      </c>
      <c r="C101">
        <f>_xlfn.XLOOKUP(B101,Lists!B:B,Lists!A:A,"")</f>
        <v>4.0</v>
      </c>
      <c r="D101" s="19" t="s">
        <v>234</v>
      </c>
      <c r="E101" s="19">
        <v>1.0</v>
      </c>
      <c r="F101" s="19">
        <v>160.0</v>
      </c>
      <c r="G101">
        <f t="shared" si="16"/>
        <v>160.0</v>
      </c>
      <c r="H101" s="20">
        <f t="shared" si="17"/>
        <v>1.0</v>
      </c>
      <c r="I101" s="19" t="s">
        <v>47</v>
      </c>
      <c r="J101" t="str">
        <f>IF(I101="","",_xlfn.XLOOKUP(I101,Lists!$C:$C,Lists!$D:$D))</f>
        <v>Deltamethrin</v>
      </c>
      <c r="K101" s="19" t="s">
        <v>52</v>
      </c>
      <c r="L101" s="19">
        <v>100.0</v>
      </c>
      <c r="M101" s="19">
        <v>900.0</v>
      </c>
      <c r="N101">
        <f>IF(OR(M101="",L101=""),"",(M101*L101)/100000)</f>
        <v>0.9</v>
      </c>
      <c r="O101" t="str">
        <f>IF(I101="","",_xlfn.XLOOKUP(I101,Lists!$C:$C,Lists!$J:$J))</f>
        <v>L</v>
      </c>
      <c r="P101">
        <f>IF(I101="","",_xlfn.XLOOKUP(I101,Lists!$C:$C,Lists!$E:$E))</f>
        <v>10.0</v>
      </c>
      <c r="Q101" s="21">
        <f t="shared" si="18"/>
        <v>46186.0</v>
      </c>
      <c r="R101" t="str">
        <f t="shared" si="19"/>
        <v>Allow</v>
      </c>
      <c r="S101" t="str">
        <f>IF(I101="","",_xlfn.XLOOKUP(I101,Lists!$C:$C,Lists!$I:$I))</f>
        <v>Off-Label</v>
      </c>
    </row>
    <row r="102" spans="8:8" ht="17.45">
      <c r="A102" s="18">
        <v>46176.0</v>
      </c>
      <c r="B102" s="19">
        <v>4.0</v>
      </c>
      <c r="C102">
        <f>_xlfn.XLOOKUP(B102,Lists!B:B,Lists!A:A,"")</f>
        <v>1.0</v>
      </c>
      <c r="D102" s="19" t="s">
        <v>234</v>
      </c>
      <c r="E102" s="19">
        <v>1.0</v>
      </c>
      <c r="F102" s="19">
        <v>160.0</v>
      </c>
      <c r="G102">
        <f t="shared" si="16"/>
        <v>160.0</v>
      </c>
      <c r="H102" s="20">
        <f t="shared" si="17"/>
        <v>1.0</v>
      </c>
      <c r="I102" s="19" t="s">
        <v>26</v>
      </c>
      <c r="J102" t="str">
        <f>IF(I102="","",_xlfn.XLOOKUP(I102,Lists!$C:$C,Lists!$D:$D))</f>
        <v>Pyridalyl [50%]</v>
      </c>
      <c r="K102" s="19" t="s">
        <v>52</v>
      </c>
      <c r="L102" s="19">
        <v>50.0</v>
      </c>
      <c r="M102" s="19">
        <v>900.0</v>
      </c>
      <c r="N102">
        <f>IF(OR(M102="",L102=""),"",(M102*L102)/100000)</f>
        <v>0.45</v>
      </c>
      <c r="O102">
        <f>IF(I102="","",_xlfn.XLOOKUP(I102,Lists!$C:$C,Lists!$J:$J))</f>
        <v>0.0</v>
      </c>
      <c r="P102">
        <f>IF(I102="","",_xlfn.XLOOKUP(I102,Lists!$C:$C,Lists!$E:$E))</f>
        <v>0.0</v>
      </c>
      <c r="Q102" s="21">
        <f t="shared" si="18"/>
        <v>46177.0</v>
      </c>
      <c r="R102" t="str">
        <f t="shared" si="19"/>
        <v>Allow</v>
      </c>
      <c r="S102" t="str">
        <f>IF(I102="","",_xlfn.XLOOKUP(I102,Lists!$C:$C,Lists!$I:$I))</f>
        <v>On-Label</v>
      </c>
    </row>
    <row r="103" spans="8:8" ht="17.45">
      <c r="A103" s="18">
        <v>46176.0</v>
      </c>
      <c r="B103" s="19">
        <v>5.0</v>
      </c>
      <c r="C103">
        <f>_xlfn.XLOOKUP(B103,Lists!B:B,Lists!A:A,"")</f>
        <v>1.0</v>
      </c>
      <c r="D103" s="19" t="s">
        <v>234</v>
      </c>
      <c r="E103" s="19">
        <v>1.0</v>
      </c>
      <c r="F103" s="19">
        <v>160.0</v>
      </c>
      <c r="G103">
        <f t="shared" si="16"/>
        <v>160.0</v>
      </c>
      <c r="H103" s="20">
        <f t="shared" si="17"/>
        <v>1.0</v>
      </c>
      <c r="I103" s="19" t="s">
        <v>26</v>
      </c>
      <c r="J103" t="str">
        <f>IF(I103="","",_xlfn.XLOOKUP(I103,Lists!$C:$C,Lists!$D:$D))</f>
        <v>Pyridalyl [50%]</v>
      </c>
      <c r="K103" s="19" t="s">
        <v>52</v>
      </c>
      <c r="L103" s="19">
        <v>50.0</v>
      </c>
      <c r="M103" s="19">
        <v>900.0</v>
      </c>
      <c r="N103">
        <f>IF(OR(M103="",L103=""),"",(M103*L103)/100000)</f>
        <v>0.45</v>
      </c>
      <c r="O103">
        <f>IF(I103="","",_xlfn.XLOOKUP(I103,Lists!$C:$C,Lists!$J:$J))</f>
        <v>0.0</v>
      </c>
      <c r="P103">
        <f>IF(I103="","",_xlfn.XLOOKUP(I103,Lists!$C:$C,Lists!$E:$E))</f>
        <v>0.0</v>
      </c>
      <c r="Q103" s="21">
        <f t="shared" si="18"/>
        <v>46177.0</v>
      </c>
      <c r="R103" t="str">
        <f t="shared" si="19"/>
        <v>Allow</v>
      </c>
      <c r="S103" t="str">
        <f>IF(I103="","",_xlfn.XLOOKUP(I103,Lists!$C:$C,Lists!$I:$I))</f>
        <v>On-Label</v>
      </c>
    </row>
    <row r="104" spans="8:8" ht="17.45">
      <c r="A104" s="18">
        <v>46176.0</v>
      </c>
      <c r="B104" s="19">
        <v>14.0</v>
      </c>
      <c r="C104">
        <f>_xlfn.XLOOKUP(B104,Lists!B:B,Lists!A:A,"")</f>
        <v>2.0</v>
      </c>
      <c r="D104" s="19" t="s">
        <v>234</v>
      </c>
      <c r="E104" s="19">
        <v>1.0</v>
      </c>
      <c r="F104" s="19">
        <v>160.0</v>
      </c>
      <c r="G104">
        <f t="shared" si="16"/>
        <v>160.0</v>
      </c>
      <c r="H104" s="20">
        <f t="shared" si="17"/>
        <v>1.0</v>
      </c>
      <c r="I104" s="19" t="s">
        <v>26</v>
      </c>
      <c r="J104" t="str">
        <f>IF(I104="","",_xlfn.XLOOKUP(I104,Lists!$C:$C,Lists!$D:$D))</f>
        <v>Pyridalyl [50%]</v>
      </c>
      <c r="K104" s="19" t="s">
        <v>52</v>
      </c>
      <c r="L104" s="19">
        <v>50.0</v>
      </c>
      <c r="M104" s="19">
        <v>900.0</v>
      </c>
      <c r="N104">
        <f>IF(OR(M104="",L104=""),"",(M104*L104)/100000)</f>
        <v>0.45</v>
      </c>
      <c r="O104">
        <f>IF(I104="","",_xlfn.XLOOKUP(I104,Lists!$C:$C,Lists!$J:$J))</f>
        <v>0.0</v>
      </c>
      <c r="P104">
        <f>IF(I104="","",_xlfn.XLOOKUP(I104,Lists!$C:$C,Lists!$E:$E))</f>
        <v>0.0</v>
      </c>
      <c r="Q104" s="21">
        <f t="shared" si="18"/>
        <v>46177.0</v>
      </c>
      <c r="R104" t="str">
        <f t="shared" si="19"/>
        <v>Allow</v>
      </c>
      <c r="S104" t="str">
        <f>IF(I104="","",_xlfn.XLOOKUP(I104,Lists!$C:$C,Lists!$I:$I))</f>
        <v>On-Label</v>
      </c>
    </row>
    <row r="105" spans="8:8">
      <c r="A105" s="18">
        <v>46176.0</v>
      </c>
      <c r="B105" s="19">
        <v>24.0</v>
      </c>
      <c r="C105">
        <f>_xlfn.XLOOKUP(B105,Lists!B:B,Lists!A:A,"")</f>
        <v>3.0</v>
      </c>
      <c r="D105" s="19" t="s">
        <v>234</v>
      </c>
      <c r="E105" s="19">
        <v>1.0</v>
      </c>
      <c r="F105" s="19">
        <v>160.0</v>
      </c>
      <c r="G105">
        <f t="shared" si="16"/>
        <v>160.0</v>
      </c>
      <c r="H105" s="20">
        <f t="shared" si="17"/>
        <v>1.0</v>
      </c>
      <c r="I105" s="19" t="s">
        <v>179</v>
      </c>
      <c r="J105" t="str">
        <f>IF(I105="","",_xlfn.XLOOKUP(I105,Lists!$C:$C,Lists!$D:$D))</f>
        <v>Spinetoram [12%]</v>
      </c>
      <c r="K105" s="19" t="s">
        <v>52</v>
      </c>
      <c r="L105" s="19">
        <v>40.0</v>
      </c>
      <c r="M105" s="19">
        <v>900.0</v>
      </c>
      <c r="N105">
        <f>IF(OR(M105="",L105=""),"",(M105*L105)/100000)</f>
        <v>0.36</v>
      </c>
      <c r="O105" t="str">
        <f>IF(I105="","",_xlfn.XLOOKUP(I105,Lists!$C:$C,Lists!$J:$J))</f>
        <v>L</v>
      </c>
      <c r="P105">
        <f>IF(I105="","",_xlfn.XLOOKUP(I105,Lists!$C:$C,Lists!$E:$E))</f>
        <v>5.0</v>
      </c>
      <c r="Q105" s="21">
        <f t="shared" si="18"/>
        <v>46182.0</v>
      </c>
      <c r="R105" t="str">
        <f t="shared" si="19"/>
        <v>Allow</v>
      </c>
      <c r="S105" t="str">
        <f>IF(I105="","",_xlfn.XLOOKUP(I105,Lists!$C:$C,Lists!$I:$I))</f>
        <v>On-Label</v>
      </c>
    </row>
    <row r="106" spans="8:8">
      <c r="A106" s="18">
        <v>46176.0</v>
      </c>
      <c r="B106" s="19">
        <v>34.0</v>
      </c>
      <c r="C106">
        <f>_xlfn.XLOOKUP(B106,Lists!B:B,Lists!A:A,"")</f>
        <v>5.0</v>
      </c>
      <c r="D106" s="19" t="s">
        <v>234</v>
      </c>
      <c r="E106" s="19">
        <v>1.0</v>
      </c>
      <c r="F106" s="19">
        <v>160.0</v>
      </c>
      <c r="G106">
        <f t="shared" si="16"/>
        <v>160.0</v>
      </c>
      <c r="H106" s="20">
        <f t="shared" si="17"/>
        <v>1.0</v>
      </c>
      <c r="I106" s="19" t="s">
        <v>47</v>
      </c>
      <c r="J106" t="str">
        <f>IF(I106="","",_xlfn.XLOOKUP(I106,Lists!$C:$C,Lists!$D:$D))</f>
        <v>Deltamethrin</v>
      </c>
      <c r="K106" s="19" t="s">
        <v>52</v>
      </c>
      <c r="L106" s="19">
        <v>100.0</v>
      </c>
      <c r="M106" s="19">
        <v>900.0</v>
      </c>
      <c r="N106">
        <f>IF(OR(M106="",L106=""),"",(M106*L106)/100000)</f>
        <v>0.9</v>
      </c>
      <c r="O106" t="str">
        <f>IF(I106="","",_xlfn.XLOOKUP(I106,Lists!$C:$C,Lists!$J:$J))</f>
        <v>L</v>
      </c>
      <c r="P106">
        <f>IF(I106="","",_xlfn.XLOOKUP(I106,Lists!$C:$C,Lists!$E:$E))</f>
        <v>10.0</v>
      </c>
      <c r="Q106" s="21">
        <f t="shared" si="18"/>
        <v>46187.0</v>
      </c>
      <c r="R106" t="str">
        <f t="shared" si="19"/>
        <v>Allow</v>
      </c>
      <c r="S106" t="str">
        <f>IF(I106="","",_xlfn.XLOOKUP(I106,Lists!$C:$C,Lists!$I:$I))</f>
        <v>Off-Label</v>
      </c>
    </row>
    <row r="107" spans="8:8">
      <c r="A107" s="18">
        <v>46176.0</v>
      </c>
      <c r="B107" s="19">
        <v>61.0</v>
      </c>
      <c r="C107">
        <f>_xlfn.XLOOKUP(B107,Lists!B:B,Lists!A:A,"")</f>
        <v>4.0</v>
      </c>
      <c r="D107" s="19" t="s">
        <v>234</v>
      </c>
      <c r="E107" s="19">
        <v>1.0</v>
      </c>
      <c r="F107" s="19">
        <v>160.0</v>
      </c>
      <c r="G107">
        <f t="shared" si="16"/>
        <v>160.0</v>
      </c>
      <c r="H107" s="20">
        <f t="shared" si="17"/>
        <v>1.0</v>
      </c>
      <c r="I107" s="19" t="s">
        <v>47</v>
      </c>
      <c r="J107" t="str">
        <f>IF(I107="","",_xlfn.XLOOKUP(I107,Lists!$C:$C,Lists!$D:$D))</f>
        <v>Deltamethrin</v>
      </c>
      <c r="K107" s="19" t="s">
        <v>52</v>
      </c>
      <c r="L107" s="19">
        <v>100.0</v>
      </c>
      <c r="M107" s="19">
        <v>900.0</v>
      </c>
      <c r="N107">
        <f>IF(OR(M107="",L107=""),"",(M107*L107)/100000)</f>
        <v>0.9</v>
      </c>
      <c r="O107" t="str">
        <f>IF(I107="","",_xlfn.XLOOKUP(I107,Lists!$C:$C,Lists!$J:$J))</f>
        <v>L</v>
      </c>
      <c r="P107">
        <f>IF(I107="","",_xlfn.XLOOKUP(I107,Lists!$C:$C,Lists!$E:$E))</f>
        <v>10.0</v>
      </c>
      <c r="Q107" s="21">
        <f t="shared" si="18"/>
        <v>46187.0</v>
      </c>
      <c r="R107" t="str">
        <f t="shared" si="19"/>
        <v>Allow</v>
      </c>
      <c r="S107" t="str">
        <f>IF(I107="","",_xlfn.XLOOKUP(I107,Lists!$C:$C,Lists!$I:$I))</f>
        <v>Off-Label</v>
      </c>
    </row>
    <row r="108" spans="8:8" ht="17.45">
      <c r="A108" s="18">
        <v>46177.0</v>
      </c>
      <c r="B108" s="19">
        <v>8.0</v>
      </c>
      <c r="C108">
        <f>_xlfn.XLOOKUP(B108,Lists!B:B,Lists!A:A,"")</f>
        <v>1.0</v>
      </c>
      <c r="D108" s="19" t="s">
        <v>234</v>
      </c>
      <c r="E108" s="19">
        <v>1.0</v>
      </c>
      <c r="F108" s="19">
        <v>160.0</v>
      </c>
      <c r="G108">
        <f t="shared" si="16"/>
        <v>160.0</v>
      </c>
      <c r="H108" s="20">
        <f t="shared" si="17"/>
        <v>1.0</v>
      </c>
      <c r="I108" s="19" t="s">
        <v>26</v>
      </c>
      <c r="J108" t="str">
        <f>IF(I108="","",_xlfn.XLOOKUP(I108,Lists!$C:$C,Lists!$D:$D))</f>
        <v>Pyridalyl [50%]</v>
      </c>
      <c r="K108" s="19" t="s">
        <v>52</v>
      </c>
      <c r="L108" s="19">
        <v>50.0</v>
      </c>
      <c r="M108" s="19">
        <v>900.0</v>
      </c>
      <c r="N108">
        <f>IF(OR(M108="",L108=""),"",(M108*L108)/100000)</f>
        <v>0.45</v>
      </c>
      <c r="O108">
        <f>IF(I108="","",_xlfn.XLOOKUP(I108,Lists!$C:$C,Lists!$J:$J))</f>
        <v>0.0</v>
      </c>
      <c r="P108">
        <f>IF(I108="","",_xlfn.XLOOKUP(I108,Lists!$C:$C,Lists!$E:$E))</f>
        <v>0.0</v>
      </c>
      <c r="Q108" s="21">
        <f t="shared" si="18"/>
        <v>46178.0</v>
      </c>
      <c r="R108" t="str">
        <f t="shared" si="19"/>
        <v>Allow</v>
      </c>
      <c r="S108" t="str">
        <f>IF(I108="","",_xlfn.XLOOKUP(I108,Lists!$C:$C,Lists!$I:$I))</f>
        <v>On-Label</v>
      </c>
    </row>
    <row r="109" spans="8:8" ht="17.45">
      <c r="A109" s="18">
        <v>46177.0</v>
      </c>
      <c r="B109" s="19">
        <v>12.0</v>
      </c>
      <c r="C109">
        <f>_xlfn.XLOOKUP(B109,Lists!B:B,Lists!A:A,"")</f>
        <v>2.0</v>
      </c>
      <c r="D109" s="19" t="s">
        <v>234</v>
      </c>
      <c r="E109" s="19">
        <v>1.0</v>
      </c>
      <c r="F109" s="19">
        <v>160.0</v>
      </c>
      <c r="G109">
        <f t="shared" si="16"/>
        <v>160.0</v>
      </c>
      <c r="H109" s="20">
        <f t="shared" si="17"/>
        <v>1.0</v>
      </c>
      <c r="I109" s="19" t="s">
        <v>26</v>
      </c>
      <c r="J109" t="str">
        <f>IF(I109="","",_xlfn.XLOOKUP(I109,Lists!$C:$C,Lists!$D:$D))</f>
        <v>Pyridalyl [50%]</v>
      </c>
      <c r="K109" s="19" t="s">
        <v>52</v>
      </c>
      <c r="L109" s="19">
        <v>50.0</v>
      </c>
      <c r="M109" s="19">
        <v>900.0</v>
      </c>
      <c r="N109">
        <f>IF(OR(M109="",L109=""),"",(M109*L109)/100000)</f>
        <v>0.45</v>
      </c>
      <c r="O109">
        <f>IF(I109="","",_xlfn.XLOOKUP(I109,Lists!$C:$C,Lists!$J:$J))</f>
        <v>0.0</v>
      </c>
      <c r="P109">
        <f>IF(I109="","",_xlfn.XLOOKUP(I109,Lists!$C:$C,Lists!$E:$E))</f>
        <v>0.0</v>
      </c>
      <c r="Q109" s="21">
        <f t="shared" si="18"/>
        <v>46178.0</v>
      </c>
      <c r="R109" t="str">
        <f t="shared" si="19"/>
        <v>Allow</v>
      </c>
      <c r="S109" t="str">
        <f>IF(I109="","",_xlfn.XLOOKUP(I109,Lists!$C:$C,Lists!$I:$I))</f>
        <v>On-Label</v>
      </c>
    </row>
    <row r="110" spans="8:8" ht="17.45">
      <c r="A110" s="18">
        <v>46177.0</v>
      </c>
      <c r="B110" s="19">
        <v>13.0</v>
      </c>
      <c r="C110">
        <f>_xlfn.XLOOKUP(B110,Lists!B:B,Lists!A:A,"")</f>
        <v>2.0</v>
      </c>
      <c r="D110" s="19" t="s">
        <v>234</v>
      </c>
      <c r="E110" s="19">
        <v>1.0</v>
      </c>
      <c r="F110" s="19">
        <v>160.0</v>
      </c>
      <c r="G110">
        <f t="shared" si="16"/>
        <v>160.0</v>
      </c>
      <c r="H110" s="20">
        <f t="shared" si="17"/>
        <v>1.0</v>
      </c>
      <c r="I110" s="19" t="s">
        <v>26</v>
      </c>
      <c r="J110" t="str">
        <f>IF(I110="","",_xlfn.XLOOKUP(I110,Lists!$C:$C,Lists!$D:$D))</f>
        <v>Pyridalyl [50%]</v>
      </c>
      <c r="K110" s="19" t="s">
        <v>52</v>
      </c>
      <c r="L110" s="19">
        <v>50.0</v>
      </c>
      <c r="M110" s="19">
        <v>900.0</v>
      </c>
      <c r="N110">
        <f>IF(OR(M110="",L110=""),"",(M110*L110)/100000)</f>
        <v>0.45</v>
      </c>
      <c r="O110">
        <f>IF(I110="","",_xlfn.XLOOKUP(I110,Lists!$C:$C,Lists!$J:$J))</f>
        <v>0.0</v>
      </c>
      <c r="P110">
        <f>IF(I110="","",_xlfn.XLOOKUP(I110,Lists!$C:$C,Lists!$E:$E))</f>
        <v>0.0</v>
      </c>
      <c r="Q110" s="21">
        <f t="shared" si="18"/>
        <v>46178.0</v>
      </c>
      <c r="R110" t="str">
        <f t="shared" si="19"/>
        <v>Allow</v>
      </c>
      <c r="S110" t="str">
        <f>IF(I110="","",_xlfn.XLOOKUP(I110,Lists!$C:$C,Lists!$I:$I))</f>
        <v>On-Label</v>
      </c>
    </row>
    <row r="111" spans="8:8">
      <c r="A111" s="18">
        <v>46177.0</v>
      </c>
      <c r="B111" s="19">
        <v>27.0</v>
      </c>
      <c r="C111">
        <f>_xlfn.XLOOKUP(B111,Lists!B:B,Lists!A:A,"")</f>
        <v>3.0</v>
      </c>
      <c r="D111" s="19" t="s">
        <v>234</v>
      </c>
      <c r="E111" s="19">
        <v>1.0</v>
      </c>
      <c r="F111" s="19">
        <v>160.0</v>
      </c>
      <c r="G111">
        <f t="shared" si="16"/>
        <v>160.0</v>
      </c>
      <c r="H111" s="20">
        <f t="shared" si="17"/>
        <v>1.0</v>
      </c>
      <c r="I111" s="19" t="s">
        <v>47</v>
      </c>
      <c r="J111" t="str">
        <f>IF(I111="","",_xlfn.XLOOKUP(I111,Lists!$C:$C,Lists!$D:$D))</f>
        <v>Deltamethrin</v>
      </c>
      <c r="K111" s="19" t="s">
        <v>52</v>
      </c>
      <c r="L111" s="19">
        <v>100.0</v>
      </c>
      <c r="M111" s="19">
        <v>900.0</v>
      </c>
      <c r="N111">
        <f>IF(OR(M111="",L111=""),"",(M111*L111)/100000)</f>
        <v>0.9</v>
      </c>
      <c r="O111" t="str">
        <f>IF(I111="","",_xlfn.XLOOKUP(I111,Lists!$C:$C,Lists!$J:$J))</f>
        <v>L</v>
      </c>
      <c r="P111">
        <f>IF(I111="","",_xlfn.XLOOKUP(I111,Lists!$C:$C,Lists!$E:$E))</f>
        <v>10.0</v>
      </c>
      <c r="Q111" s="21">
        <f t="shared" si="18"/>
        <v>46188.0</v>
      </c>
      <c r="R111" t="str">
        <f t="shared" si="19"/>
        <v>Allow</v>
      </c>
      <c r="S111" t="str">
        <f>IF(I111="","",_xlfn.XLOOKUP(I111,Lists!$C:$C,Lists!$I:$I))</f>
        <v>Off-Label</v>
      </c>
    </row>
    <row r="112" spans="8:8">
      <c r="A112" s="18">
        <v>46177.0</v>
      </c>
      <c r="B112" s="19">
        <v>62.0</v>
      </c>
      <c r="C112">
        <f>_xlfn.XLOOKUP(B112,Lists!B:B,Lists!A:A,"")</f>
        <v>4.0</v>
      </c>
      <c r="D112" s="19" t="s">
        <v>234</v>
      </c>
      <c r="E112" s="19">
        <v>1.0</v>
      </c>
      <c r="F112" s="19">
        <v>160.0</v>
      </c>
      <c r="G112">
        <f t="shared" si="16"/>
        <v>160.0</v>
      </c>
      <c r="H112" s="20">
        <f t="shared" si="17"/>
        <v>1.0</v>
      </c>
      <c r="I112" s="19" t="s">
        <v>47</v>
      </c>
      <c r="J112" t="str">
        <f>IF(I112="","",_xlfn.XLOOKUP(I112,Lists!$C:$C,Lists!$D:$D))</f>
        <v>Deltamethrin</v>
      </c>
      <c r="K112" s="19" t="s">
        <v>52</v>
      </c>
      <c r="L112" s="19">
        <v>100.0</v>
      </c>
      <c r="M112" s="19">
        <v>900.0</v>
      </c>
      <c r="N112">
        <f>IF(OR(M112="",L112=""),"",(M112*L112)/100000)</f>
        <v>0.9</v>
      </c>
      <c r="O112" t="str">
        <f>IF(I112="","",_xlfn.XLOOKUP(I112,Lists!$C:$C,Lists!$J:$J))</f>
        <v>L</v>
      </c>
      <c r="P112">
        <f>IF(I112="","",_xlfn.XLOOKUP(I112,Lists!$C:$C,Lists!$E:$E))</f>
        <v>10.0</v>
      </c>
      <c r="Q112" s="21">
        <f t="shared" si="18"/>
        <v>46188.0</v>
      </c>
      <c r="R112" t="str">
        <f t="shared" si="19"/>
        <v>Allow</v>
      </c>
      <c r="S112" t="str">
        <f>IF(I112="","",_xlfn.XLOOKUP(I112,Lists!$C:$C,Lists!$I:$I))</f>
        <v>Off-Label</v>
      </c>
    </row>
    <row r="113" spans="8:8" ht="17.45">
      <c r="A113" s="18">
        <v>46178.0</v>
      </c>
      <c r="B113" s="19">
        <v>1.0</v>
      </c>
      <c r="C113">
        <f>_xlfn.XLOOKUP(B113,Lists!B:B,Lists!A:A,"")</f>
        <v>1.0</v>
      </c>
      <c r="D113" s="19" t="s">
        <v>234</v>
      </c>
      <c r="E113" s="19">
        <v>1.0</v>
      </c>
      <c r="F113" s="19">
        <v>160.0</v>
      </c>
      <c r="G113">
        <f t="shared" si="16"/>
        <v>160.0</v>
      </c>
      <c r="H113" s="20">
        <f t="shared" si="17"/>
        <v>1.0</v>
      </c>
      <c r="I113" s="19" t="s">
        <v>26</v>
      </c>
      <c r="J113" t="str">
        <f>IF(I113="","",_xlfn.XLOOKUP(I113,Lists!$C:$C,Lists!$D:$D))</f>
        <v>Pyridalyl [50%]</v>
      </c>
      <c r="K113" s="19" t="s">
        <v>52</v>
      </c>
      <c r="L113" s="19">
        <v>50.0</v>
      </c>
      <c r="M113" s="19">
        <v>900.0</v>
      </c>
      <c r="N113">
        <f>IF(OR(M113="",L113=""),"",(M113*L113)/100000)</f>
        <v>0.45</v>
      </c>
      <c r="O113">
        <f>IF(I113="","",_xlfn.XLOOKUP(I113,Lists!$C:$C,Lists!$J:$J))</f>
        <v>0.0</v>
      </c>
      <c r="P113">
        <f>IF(I113="","",_xlfn.XLOOKUP(I113,Lists!$C:$C,Lists!$E:$E))</f>
        <v>0.0</v>
      </c>
      <c r="Q113" s="21">
        <f t="shared" si="18"/>
        <v>46179.0</v>
      </c>
      <c r="R113" t="str">
        <f t="shared" si="19"/>
        <v>Allow</v>
      </c>
      <c r="S113" t="str">
        <f>IF(I113="","",_xlfn.XLOOKUP(I113,Lists!$C:$C,Lists!$I:$I))</f>
        <v>On-Label</v>
      </c>
    </row>
    <row r="114" spans="8:8" ht="17.45">
      <c r="A114" s="18">
        <v>46178.0</v>
      </c>
      <c r="B114" s="19">
        <v>6.0</v>
      </c>
      <c r="C114">
        <f>_xlfn.XLOOKUP(B114,Lists!B:B,Lists!A:A,"")</f>
        <v>1.0</v>
      </c>
      <c r="D114" s="19" t="s">
        <v>234</v>
      </c>
      <c r="E114" s="19">
        <v>1.0</v>
      </c>
      <c r="F114" s="19">
        <v>160.0</v>
      </c>
      <c r="G114">
        <f t="shared" si="16"/>
        <v>160.0</v>
      </c>
      <c r="H114" s="20">
        <f t="shared" si="17"/>
        <v>1.0</v>
      </c>
      <c r="I114" s="19" t="s">
        <v>26</v>
      </c>
      <c r="J114" t="str">
        <f>IF(I114="","",_xlfn.XLOOKUP(I114,Lists!$C:$C,Lists!$D:$D))</f>
        <v>Pyridalyl [50%]</v>
      </c>
      <c r="K114" s="19" t="s">
        <v>52</v>
      </c>
      <c r="L114" s="19">
        <v>50.0</v>
      </c>
      <c r="M114" s="19">
        <v>900.0</v>
      </c>
      <c r="N114">
        <f>IF(OR(M114="",L114=""),"",(M114*L114)/100000)</f>
        <v>0.45</v>
      </c>
      <c r="O114">
        <f>IF(I114="","",_xlfn.XLOOKUP(I114,Lists!$C:$C,Lists!$J:$J))</f>
        <v>0.0</v>
      </c>
      <c r="P114">
        <f>IF(I114="","",_xlfn.XLOOKUP(I114,Lists!$C:$C,Lists!$E:$E))</f>
        <v>0.0</v>
      </c>
      <c r="Q114" s="21">
        <f t="shared" si="18"/>
        <v>46179.0</v>
      </c>
      <c r="R114" t="str">
        <f t="shared" si="19"/>
        <v>Allow</v>
      </c>
      <c r="S114" t="str">
        <f>IF(I114="","",_xlfn.XLOOKUP(I114,Lists!$C:$C,Lists!$I:$I))</f>
        <v>On-Label</v>
      </c>
    </row>
    <row r="115" spans="8:8" ht="17.45">
      <c r="A115" s="18">
        <v>46178.0</v>
      </c>
      <c r="B115" s="19">
        <v>7.0</v>
      </c>
      <c r="C115">
        <f>_xlfn.XLOOKUP(B115,Lists!B:B,Lists!A:A,"")</f>
        <v>1.0</v>
      </c>
      <c r="D115" s="19" t="s">
        <v>234</v>
      </c>
      <c r="E115" s="19">
        <v>1.0</v>
      </c>
      <c r="F115" s="19">
        <v>160.0</v>
      </c>
      <c r="G115">
        <f t="shared" si="16"/>
        <v>160.0</v>
      </c>
      <c r="H115" s="20">
        <f t="shared" si="17"/>
        <v>1.0</v>
      </c>
      <c r="I115" s="19" t="s">
        <v>26</v>
      </c>
      <c r="J115" t="str">
        <f>IF(I115="","",_xlfn.XLOOKUP(I115,Lists!$C:$C,Lists!$D:$D))</f>
        <v>Pyridalyl [50%]</v>
      </c>
      <c r="K115" s="19" t="s">
        <v>52</v>
      </c>
      <c r="L115" s="19">
        <v>50.0</v>
      </c>
      <c r="M115" s="19">
        <v>900.0</v>
      </c>
      <c r="N115">
        <f>IF(OR(M115="",L115=""),"",(M115*L115)/100000)</f>
        <v>0.45</v>
      </c>
      <c r="O115">
        <f>IF(I115="","",_xlfn.XLOOKUP(I115,Lists!$C:$C,Lists!$J:$J))</f>
        <v>0.0</v>
      </c>
      <c r="P115">
        <f>IF(I115="","",_xlfn.XLOOKUP(I115,Lists!$C:$C,Lists!$E:$E))</f>
        <v>0.0</v>
      </c>
      <c r="Q115" s="21">
        <f t="shared" si="18"/>
        <v>46179.0</v>
      </c>
      <c r="R115" t="str">
        <f t="shared" si="19"/>
        <v>Allow</v>
      </c>
      <c r="S115" t="str">
        <f>IF(I115="","",_xlfn.XLOOKUP(I115,Lists!$C:$C,Lists!$I:$I))</f>
        <v>On-Label</v>
      </c>
    </row>
    <row r="116" spans="8:8" ht="17.45">
      <c r="A116" s="18">
        <v>46178.0</v>
      </c>
      <c r="B116" s="19">
        <v>11.0</v>
      </c>
      <c r="C116">
        <f>_xlfn.XLOOKUP(B116,Lists!B:B,Lists!A:A,"")</f>
        <v>2.0</v>
      </c>
      <c r="D116" s="19" t="s">
        <v>234</v>
      </c>
      <c r="E116" s="19">
        <v>1.0</v>
      </c>
      <c r="F116" s="19">
        <v>160.0</v>
      </c>
      <c r="G116">
        <f t="shared" si="16"/>
        <v>160.0</v>
      </c>
      <c r="H116" s="20">
        <f t="shared" si="17"/>
        <v>1.0</v>
      </c>
      <c r="I116" s="19" t="s">
        <v>26</v>
      </c>
      <c r="J116" t="str">
        <f>IF(I116="","",_xlfn.XLOOKUP(I116,Lists!$C:$C,Lists!$D:$D))</f>
        <v>Pyridalyl [50%]</v>
      </c>
      <c r="K116" s="19" t="s">
        <v>52</v>
      </c>
      <c r="L116" s="19">
        <v>50.0</v>
      </c>
      <c r="M116" s="19">
        <v>900.0</v>
      </c>
      <c r="N116">
        <f>IF(OR(M116="",L116=""),"",(M116*L116)/100000)</f>
        <v>0.45</v>
      </c>
      <c r="O116">
        <f>IF(I116="","",_xlfn.XLOOKUP(I116,Lists!$C:$C,Lists!$J:$J))</f>
        <v>0.0</v>
      </c>
      <c r="P116">
        <f>IF(I116="","",_xlfn.XLOOKUP(I116,Lists!$C:$C,Lists!$E:$E))</f>
        <v>0.0</v>
      </c>
      <c r="Q116" s="21">
        <f t="shared" si="18"/>
        <v>46179.0</v>
      </c>
      <c r="R116" t="str">
        <f t="shared" si="19"/>
        <v>Allow</v>
      </c>
      <c r="S116" t="str">
        <f>IF(I116="","",_xlfn.XLOOKUP(I116,Lists!$C:$C,Lists!$I:$I))</f>
        <v>On-Label</v>
      </c>
    </row>
    <row r="117" spans="8:8">
      <c r="A117" s="18">
        <v>46178.0</v>
      </c>
      <c r="B117" s="19">
        <v>26.0</v>
      </c>
      <c r="C117">
        <f>_xlfn.XLOOKUP(B117,Lists!B:B,Lists!A:A,"")</f>
        <v>3.0</v>
      </c>
      <c r="D117" s="19" t="s">
        <v>234</v>
      </c>
      <c r="E117" s="19">
        <v>1.0</v>
      </c>
      <c r="F117" s="19">
        <v>160.0</v>
      </c>
      <c r="G117">
        <f t="shared" si="16"/>
        <v>160.0</v>
      </c>
      <c r="H117" s="20">
        <f t="shared" si="17"/>
        <v>1.0</v>
      </c>
      <c r="I117" s="19" t="s">
        <v>179</v>
      </c>
      <c r="J117" t="str">
        <f>IF(I117="","",_xlfn.XLOOKUP(I117,Lists!$C:$C,Lists!$D:$D))</f>
        <v>Spinetoram [12%]</v>
      </c>
      <c r="K117" s="19" t="s">
        <v>52</v>
      </c>
      <c r="L117" s="19">
        <v>40.0</v>
      </c>
      <c r="M117" s="19">
        <v>900.0</v>
      </c>
      <c r="N117">
        <f>IF(OR(M117="",L117=""),"",(M117*L117)/100000)</f>
        <v>0.36</v>
      </c>
      <c r="O117" t="str">
        <f>IF(I117="","",_xlfn.XLOOKUP(I117,Lists!$C:$C,Lists!$J:$J))</f>
        <v>L</v>
      </c>
      <c r="P117">
        <f>IF(I117="","",_xlfn.XLOOKUP(I117,Lists!$C:$C,Lists!$E:$E))</f>
        <v>5.0</v>
      </c>
      <c r="Q117" s="21">
        <f t="shared" si="18"/>
        <v>46184.0</v>
      </c>
      <c r="R117" t="str">
        <f t="shared" si="19"/>
        <v>Allow</v>
      </c>
      <c r="S117" t="str">
        <f>IF(I117="","",_xlfn.XLOOKUP(I117,Lists!$C:$C,Lists!$I:$I))</f>
        <v>On-Label</v>
      </c>
    </row>
    <row r="118" spans="8:8">
      <c r="A118" s="18">
        <v>46178.0</v>
      </c>
      <c r="B118" s="19">
        <v>43.0</v>
      </c>
      <c r="C118">
        <f>_xlfn.XLOOKUP(B118,Lists!B:B,Lists!A:A,"")</f>
        <v>5.0</v>
      </c>
      <c r="D118" s="19" t="s">
        <v>234</v>
      </c>
      <c r="E118" s="19">
        <v>1.0</v>
      </c>
      <c r="F118" s="19">
        <v>160.0</v>
      </c>
      <c r="G118">
        <f t="shared" si="16"/>
        <v>160.0</v>
      </c>
      <c r="H118" s="20">
        <f t="shared" si="17"/>
        <v>1.0</v>
      </c>
      <c r="I118" s="19" t="s">
        <v>47</v>
      </c>
      <c r="J118" t="str">
        <f>IF(I118="","",_xlfn.XLOOKUP(I118,Lists!$C:$C,Lists!$D:$D))</f>
        <v>Deltamethrin</v>
      </c>
      <c r="K118" s="19" t="s">
        <v>52</v>
      </c>
      <c r="L118" s="19">
        <v>100.0</v>
      </c>
      <c r="M118" s="19">
        <v>900.0</v>
      </c>
      <c r="N118">
        <f>IF(OR(M118="",L118=""),"",(M118*L118)/100000)</f>
        <v>0.9</v>
      </c>
      <c r="O118" t="str">
        <f>IF(I118="","",_xlfn.XLOOKUP(I118,Lists!$C:$C,Lists!$J:$J))</f>
        <v>L</v>
      </c>
      <c r="P118">
        <f>IF(I118="","",_xlfn.XLOOKUP(I118,Lists!$C:$C,Lists!$E:$E))</f>
        <v>10.0</v>
      </c>
      <c r="Q118" s="21">
        <f t="shared" si="18"/>
        <v>46189.0</v>
      </c>
      <c r="R118" t="str">
        <f t="shared" si="19"/>
        <v>Allow</v>
      </c>
      <c r="S118" t="str">
        <f>IF(I118="","",_xlfn.XLOOKUP(I118,Lists!$C:$C,Lists!$I:$I))</f>
        <v>Off-Label</v>
      </c>
    </row>
    <row r="119" spans="8:8" ht="17.45">
      <c r="A119" s="18">
        <v>46179.0</v>
      </c>
      <c r="B119" s="19">
        <v>2.0</v>
      </c>
      <c r="C119">
        <f>_xlfn.XLOOKUP(B119,Lists!B:B,Lists!A:A,"")</f>
        <v>1.0</v>
      </c>
      <c r="D119" s="19" t="s">
        <v>234</v>
      </c>
      <c r="E119" s="19">
        <v>1.0</v>
      </c>
      <c r="F119" s="19">
        <v>160.0</v>
      </c>
      <c r="G119">
        <f t="shared" si="16"/>
        <v>160.0</v>
      </c>
      <c r="H119" s="20">
        <f t="shared" si="17"/>
        <v>1.0</v>
      </c>
      <c r="I119" s="19" t="s">
        <v>26</v>
      </c>
      <c r="J119" t="str">
        <f>IF(I119="","",_xlfn.XLOOKUP(I119,Lists!$C:$C,Lists!$D:$D))</f>
        <v>Pyridalyl [50%]</v>
      </c>
      <c r="K119" s="19" t="s">
        <v>52</v>
      </c>
      <c r="L119" s="19">
        <v>50.0</v>
      </c>
      <c r="M119" s="19">
        <v>900.0</v>
      </c>
      <c r="N119">
        <f>IF(OR(M119="",L119=""),"",(M119*L119)/100000)</f>
        <v>0.45</v>
      </c>
      <c r="O119">
        <f>IF(I119="","",_xlfn.XLOOKUP(I119,Lists!$C:$C,Lists!$J:$J))</f>
        <v>0.0</v>
      </c>
      <c r="P119">
        <f>IF(I119="","",_xlfn.XLOOKUP(I119,Lists!$C:$C,Lists!$E:$E))</f>
        <v>0.0</v>
      </c>
      <c r="Q119" s="21">
        <f t="shared" si="18"/>
        <v>46180.0</v>
      </c>
      <c r="R119" t="str">
        <f t="shared" si="19"/>
        <v>Allow</v>
      </c>
      <c r="S119" t="str">
        <f>IF(I119="","",_xlfn.XLOOKUP(I119,Lists!$C:$C,Lists!$I:$I))</f>
        <v>On-Label</v>
      </c>
    </row>
    <row r="120" spans="8:8" ht="17.45">
      <c r="A120" s="18">
        <v>46179.0</v>
      </c>
      <c r="B120" s="19">
        <v>3.0</v>
      </c>
      <c r="C120">
        <f>_xlfn.XLOOKUP(B120,Lists!B:B,Lists!A:A,"")</f>
        <v>1.0</v>
      </c>
      <c r="D120" s="19" t="s">
        <v>234</v>
      </c>
      <c r="E120" s="19">
        <v>1.0</v>
      </c>
      <c r="F120" s="19">
        <v>160.0</v>
      </c>
      <c r="G120">
        <f t="shared" si="16"/>
        <v>160.0</v>
      </c>
      <c r="H120" s="20">
        <f t="shared" si="17"/>
        <v>1.0</v>
      </c>
      <c r="I120" s="19" t="s">
        <v>26</v>
      </c>
      <c r="J120" t="str">
        <f>IF(I120="","",_xlfn.XLOOKUP(I120,Lists!$C:$C,Lists!$D:$D))</f>
        <v>Pyridalyl [50%]</v>
      </c>
      <c r="K120" s="19" t="s">
        <v>52</v>
      </c>
      <c r="L120" s="19">
        <v>50.0</v>
      </c>
      <c r="M120" s="19">
        <v>900.0</v>
      </c>
      <c r="N120">
        <f>IF(OR(M120="",L120=""),"",(M120*L120)/100000)</f>
        <v>0.45</v>
      </c>
      <c r="O120">
        <f>IF(I120="","",_xlfn.XLOOKUP(I120,Lists!$C:$C,Lists!$J:$J))</f>
        <v>0.0</v>
      </c>
      <c r="P120">
        <f>IF(I120="","",_xlfn.XLOOKUP(I120,Lists!$C:$C,Lists!$E:$E))</f>
        <v>0.0</v>
      </c>
      <c r="Q120" s="21">
        <f t="shared" si="18"/>
        <v>46180.0</v>
      </c>
      <c r="R120" t="str">
        <f t="shared" si="19"/>
        <v>Allow</v>
      </c>
      <c r="S120" t="str">
        <f>IF(I120="","",_xlfn.XLOOKUP(I120,Lists!$C:$C,Lists!$I:$I))</f>
        <v>On-Label</v>
      </c>
    </row>
    <row r="121" spans="8:8" ht="17.45">
      <c r="A121" s="18">
        <v>46179.0</v>
      </c>
      <c r="B121" s="19">
        <v>9.0</v>
      </c>
      <c r="C121">
        <f>_xlfn.XLOOKUP(B121,Lists!B:B,Lists!A:A,"")</f>
        <v>1.0</v>
      </c>
      <c r="D121" s="19" t="s">
        <v>234</v>
      </c>
      <c r="E121" s="19">
        <v>1.0</v>
      </c>
      <c r="F121" s="19">
        <v>160.0</v>
      </c>
      <c r="G121">
        <f t="shared" si="16"/>
        <v>160.0</v>
      </c>
      <c r="H121" s="20">
        <f t="shared" si="17"/>
        <v>1.0</v>
      </c>
      <c r="I121" s="19" t="s">
        <v>26</v>
      </c>
      <c r="J121" t="str">
        <f>IF(I121="","",_xlfn.XLOOKUP(I121,Lists!$C:$C,Lists!$D:$D))</f>
        <v>Pyridalyl [50%]</v>
      </c>
      <c r="K121" s="19" t="s">
        <v>52</v>
      </c>
      <c r="L121" s="19">
        <v>50.0</v>
      </c>
      <c r="M121" s="19">
        <v>900.0</v>
      </c>
      <c r="N121">
        <f>IF(OR(M121="",L121=""),"",(M121*L121)/100000)</f>
        <v>0.45</v>
      </c>
      <c r="O121">
        <f>IF(I121="","",_xlfn.XLOOKUP(I121,Lists!$C:$C,Lists!$J:$J))</f>
        <v>0.0</v>
      </c>
      <c r="P121">
        <f>IF(I121="","",_xlfn.XLOOKUP(I121,Lists!$C:$C,Lists!$E:$E))</f>
        <v>0.0</v>
      </c>
      <c r="Q121" s="21">
        <f t="shared" si="18"/>
        <v>46180.0</v>
      </c>
      <c r="R121" t="str">
        <f t="shared" si="19"/>
        <v>Allow</v>
      </c>
      <c r="S121" t="str">
        <f>IF(I121="","",_xlfn.XLOOKUP(I121,Lists!$C:$C,Lists!$I:$I))</f>
        <v>On-Label</v>
      </c>
    </row>
    <row r="122" spans="8:8" ht="17.45">
      <c r="A122" s="18">
        <v>46179.0</v>
      </c>
      <c r="B122" s="19">
        <v>10.0</v>
      </c>
      <c r="C122">
        <f>_xlfn.XLOOKUP(B122,Lists!B:B,Lists!A:A,"")</f>
        <v>1.0</v>
      </c>
      <c r="D122" s="19" t="s">
        <v>234</v>
      </c>
      <c r="E122" s="19">
        <v>1.0</v>
      </c>
      <c r="F122" s="19">
        <v>160.0</v>
      </c>
      <c r="G122">
        <f t="shared" si="16"/>
        <v>160.0</v>
      </c>
      <c r="H122" s="20">
        <f t="shared" si="17"/>
        <v>1.0</v>
      </c>
      <c r="I122" s="19" t="s">
        <v>26</v>
      </c>
      <c r="J122" t="str">
        <f>IF(I122="","",_xlfn.XLOOKUP(I122,Lists!$C:$C,Lists!$D:$D))</f>
        <v>Pyridalyl [50%]</v>
      </c>
      <c r="K122" s="19" t="s">
        <v>52</v>
      </c>
      <c r="L122" s="19">
        <v>50.0</v>
      </c>
      <c r="M122" s="19">
        <v>900.0</v>
      </c>
      <c r="N122">
        <f>IF(OR(M122="",L122=""),"",(M122*L122)/100000)</f>
        <v>0.45</v>
      </c>
      <c r="O122">
        <f>IF(I122="","",_xlfn.XLOOKUP(I122,Lists!$C:$C,Lists!$J:$J))</f>
        <v>0.0</v>
      </c>
      <c r="P122">
        <f>IF(I122="","",_xlfn.XLOOKUP(I122,Lists!$C:$C,Lists!$E:$E))</f>
        <v>0.0</v>
      </c>
      <c r="Q122" s="21">
        <f t="shared" si="18"/>
        <v>46180.0</v>
      </c>
      <c r="R122" t="str">
        <f t="shared" si="19"/>
        <v>Allow</v>
      </c>
      <c r="S122" t="str">
        <f>IF(I122="","",_xlfn.XLOOKUP(I122,Lists!$C:$C,Lists!$I:$I))</f>
        <v>On-Label</v>
      </c>
    </row>
    <row r="123" spans="8:8">
      <c r="A123" s="18">
        <v>46179.0</v>
      </c>
      <c r="B123" s="19">
        <v>16.0</v>
      </c>
      <c r="C123">
        <f>_xlfn.XLOOKUP(B123,Lists!B:B,Lists!A:A,"")</f>
        <v>2.0</v>
      </c>
      <c r="D123" s="19" t="s">
        <v>234</v>
      </c>
      <c r="E123" s="19">
        <v>1.0</v>
      </c>
      <c r="F123" s="19">
        <v>160.0</v>
      </c>
      <c r="G123">
        <f t="shared" si="16"/>
        <v>160.0</v>
      </c>
      <c r="H123" s="20">
        <f t="shared" si="17"/>
        <v>1.0</v>
      </c>
      <c r="I123" s="19" t="s">
        <v>30</v>
      </c>
      <c r="J123" t="str">
        <f>IF(I123="","",_xlfn.XLOOKUP(I123,Lists!$C:$C,Lists!$D:$D))</f>
        <v>Buprofezin</v>
      </c>
      <c r="K123" s="19" t="s">
        <v>52</v>
      </c>
      <c r="L123" s="19">
        <v>100.0</v>
      </c>
      <c r="M123" s="19">
        <v>900.0</v>
      </c>
      <c r="N123">
        <f>IF(OR(M123="",L123=""),"",(M123*L123)/100000)</f>
        <v>0.9</v>
      </c>
      <c r="O123">
        <f>IF(I123="","",_xlfn.XLOOKUP(I123,Lists!$C:$C,Lists!$J:$J))</f>
        <v>0.0</v>
      </c>
      <c r="P123">
        <f>IF(I123="","",_xlfn.XLOOKUP(I123,Lists!$C:$C,Lists!$E:$E))</f>
        <v>0.0</v>
      </c>
      <c r="Q123" s="21">
        <f t="shared" si="18"/>
        <v>46180.0</v>
      </c>
      <c r="R123" t="str">
        <f t="shared" si="19"/>
        <v>Allow</v>
      </c>
      <c r="S123" t="str">
        <f>IF(I123="","",_xlfn.XLOOKUP(I123,Lists!$C:$C,Lists!$I:$I))</f>
        <v>Off-Label</v>
      </c>
    </row>
    <row r="124" spans="8:8">
      <c r="A124" s="18">
        <v>46179.0</v>
      </c>
      <c r="B124" s="19">
        <v>18.0</v>
      </c>
      <c r="C124">
        <f>_xlfn.XLOOKUP(B124,Lists!B:B,Lists!A:A,"")</f>
        <v>2.0</v>
      </c>
      <c r="D124" s="19" t="s">
        <v>234</v>
      </c>
      <c r="E124" s="19">
        <v>1.0</v>
      </c>
      <c r="F124" s="19">
        <v>160.0</v>
      </c>
      <c r="G124">
        <f t="shared" si="16"/>
        <v>160.0</v>
      </c>
      <c r="H124" s="20">
        <f t="shared" si="17"/>
        <v>1.0</v>
      </c>
      <c r="I124" s="19" t="s">
        <v>26</v>
      </c>
      <c r="J124" t="str">
        <f>IF(I124="","",_xlfn.XLOOKUP(I124,Lists!$C:$C,Lists!$D:$D))</f>
        <v>Pyridalyl [50%]</v>
      </c>
      <c r="K124" s="19" t="s">
        <v>52</v>
      </c>
      <c r="L124" s="19">
        <v>100.0</v>
      </c>
      <c r="M124" s="19">
        <v>900.0</v>
      </c>
      <c r="N124">
        <f>IF(OR(M124="",L124=""),"",(M124*L124)/100000)</f>
        <v>0.9</v>
      </c>
      <c r="O124">
        <f>IF(I124="","",_xlfn.XLOOKUP(I124,Lists!$C:$C,Lists!$J:$J))</f>
        <v>0.0</v>
      </c>
      <c r="P124">
        <f>IF(I124="","",_xlfn.XLOOKUP(I124,Lists!$C:$C,Lists!$E:$E))</f>
        <v>0.0</v>
      </c>
      <c r="Q124" s="21">
        <f t="shared" si="18"/>
        <v>46180.0</v>
      </c>
      <c r="R124" t="str">
        <f t="shared" si="19"/>
        <v>Allow</v>
      </c>
      <c r="S124" t="str">
        <f>IF(I124="","",_xlfn.XLOOKUP(I124,Lists!$C:$C,Lists!$I:$I))</f>
        <v>On-Label</v>
      </c>
    </row>
    <row r="125" spans="8:8">
      <c r="A125" s="18">
        <v>46179.0</v>
      </c>
      <c r="B125" s="19">
        <v>19.0</v>
      </c>
      <c r="C125">
        <f>_xlfn.XLOOKUP(B125,Lists!B:B,Lists!A:A,"")</f>
        <v>2.0</v>
      </c>
      <c r="D125" s="19" t="s">
        <v>234</v>
      </c>
      <c r="E125" s="19">
        <v>1.0</v>
      </c>
      <c r="F125" s="19">
        <v>160.0</v>
      </c>
      <c r="G125">
        <f t="shared" si="16"/>
        <v>160.0</v>
      </c>
      <c r="H125" s="20">
        <f t="shared" si="17"/>
        <v>1.0</v>
      </c>
      <c r="I125" s="19" t="s">
        <v>176</v>
      </c>
      <c r="J125" t="str">
        <f>IF(I125="","",_xlfn.XLOOKUP(I125,Lists!$C:$C,Lists!$D:$D))</f>
        <v>Spinosad (p) [24%]</v>
      </c>
      <c r="K125" s="19" t="s">
        <v>52</v>
      </c>
      <c r="L125" s="19">
        <v>40.0</v>
      </c>
      <c r="M125" s="19">
        <v>900.0</v>
      </c>
      <c r="N125">
        <f>IF(OR(M125="",L125=""),"",(M125*L125)/100000)</f>
        <v>0.36</v>
      </c>
      <c r="O125">
        <f>IF(I125="","",_xlfn.XLOOKUP(I125,Lists!$C:$C,Lists!$J:$J))</f>
        <v>0.0</v>
      </c>
      <c r="P125">
        <f>IF(I125="","",_xlfn.XLOOKUP(I125,Lists!$C:$C,Lists!$E:$E))</f>
        <v>4.0</v>
      </c>
      <c r="Q125" s="21">
        <f t="shared" si="18"/>
        <v>46184.0</v>
      </c>
      <c r="R125" t="str">
        <f t="shared" si="19"/>
        <v>Allow</v>
      </c>
      <c r="S125" t="str">
        <f>IF(I125="","",_xlfn.XLOOKUP(I125,Lists!$C:$C,Lists!$I:$I))</f>
        <v>On-Label</v>
      </c>
    </row>
    <row r="126" spans="8:8" ht="17.45">
      <c r="A126" s="18">
        <v>46179.0</v>
      </c>
      <c r="B126" s="19">
        <v>28.0</v>
      </c>
      <c r="C126">
        <f>_xlfn.XLOOKUP(B126,Lists!B:B,Lists!A:A,"")</f>
        <v>3.0</v>
      </c>
      <c r="D126" s="19" t="s">
        <v>234</v>
      </c>
      <c r="E126" s="19">
        <v>1.0</v>
      </c>
      <c r="F126" s="19">
        <v>160.0</v>
      </c>
      <c r="G126">
        <f t="shared" si="16"/>
        <v>160.0</v>
      </c>
      <c r="H126" s="20">
        <f t="shared" si="17"/>
        <v>1.0</v>
      </c>
      <c r="I126" s="19" t="s">
        <v>26</v>
      </c>
      <c r="J126" t="str">
        <f>IF(I126="","",_xlfn.XLOOKUP(I126,Lists!$C:$C,Lists!$D:$D))</f>
        <v>Pyridalyl [50%]</v>
      </c>
      <c r="K126" s="19" t="s">
        <v>52</v>
      </c>
      <c r="L126" s="19">
        <v>50.0</v>
      </c>
      <c r="M126" s="19">
        <v>900.0</v>
      </c>
      <c r="N126">
        <f>IF(OR(M126="",L126=""),"",(M126*L126)/100000)</f>
        <v>0.45</v>
      </c>
      <c r="O126">
        <f>IF(I126="","",_xlfn.XLOOKUP(I126,Lists!$C:$C,Lists!$J:$J))</f>
        <v>0.0</v>
      </c>
      <c r="P126">
        <f>IF(I126="","",_xlfn.XLOOKUP(I126,Lists!$C:$C,Lists!$E:$E))</f>
        <v>0.0</v>
      </c>
      <c r="Q126" s="21">
        <f t="shared" si="18"/>
        <v>46180.0</v>
      </c>
      <c r="R126" t="str">
        <f t="shared" si="19"/>
        <v>Allow</v>
      </c>
      <c r="S126" t="str">
        <f>IF(I126="","",_xlfn.XLOOKUP(I126,Lists!$C:$C,Lists!$I:$I))</f>
        <v>On-Label</v>
      </c>
    </row>
    <row r="127" spans="8:8" ht="17.45">
      <c r="A127" s="18">
        <v>46179.0</v>
      </c>
      <c r="B127" s="19">
        <v>51.0</v>
      </c>
      <c r="C127">
        <f>_xlfn.XLOOKUP(B127,Lists!B:B,Lists!A:A,"")</f>
        <v>4.0</v>
      </c>
      <c r="D127" s="19" t="s">
        <v>234</v>
      </c>
      <c r="E127" s="19">
        <v>1.0</v>
      </c>
      <c r="F127" s="19">
        <v>160.0</v>
      </c>
      <c r="G127">
        <f t="shared" si="16"/>
        <v>160.0</v>
      </c>
      <c r="H127" s="20">
        <f t="shared" si="17"/>
        <v>1.0</v>
      </c>
      <c r="I127" s="19" t="s">
        <v>26</v>
      </c>
      <c r="J127" t="str">
        <f>IF(I127="","",_xlfn.XLOOKUP(I127,Lists!$C:$C,Lists!$D:$D))</f>
        <v>Pyridalyl [50%]</v>
      </c>
      <c r="K127" s="19" t="s">
        <v>52</v>
      </c>
      <c r="L127" s="19">
        <v>50.0</v>
      </c>
      <c r="M127" s="19">
        <v>900.0</v>
      </c>
      <c r="N127">
        <f>IF(OR(M127="",L127=""),"",(M127*L127)/100000)</f>
        <v>0.45</v>
      </c>
      <c r="O127">
        <f>IF(I127="","",_xlfn.XLOOKUP(I127,Lists!$C:$C,Lists!$J:$J))</f>
        <v>0.0</v>
      </c>
      <c r="P127">
        <f>IF(I127="","",_xlfn.XLOOKUP(I127,Lists!$C:$C,Lists!$E:$E))</f>
        <v>0.0</v>
      </c>
      <c r="Q127" s="21">
        <f t="shared" si="18"/>
        <v>46180.0</v>
      </c>
      <c r="R127" t="str">
        <f t="shared" si="19"/>
        <v>Allow</v>
      </c>
      <c r="S127" t="str">
        <f>IF(I127="","",_xlfn.XLOOKUP(I127,Lists!$C:$C,Lists!$I:$I))</f>
        <v>On-Label</v>
      </c>
    </row>
    <row r="128" spans="8:8">
      <c r="A128" s="18">
        <v>46180.0</v>
      </c>
      <c r="B128" s="19">
        <v>4.0</v>
      </c>
      <c r="C128">
        <f>_xlfn.XLOOKUP(B128,Lists!B:B,Lists!A:A,"")</f>
        <v>1.0</v>
      </c>
      <c r="D128" s="19" t="s">
        <v>234</v>
      </c>
      <c r="E128" s="19">
        <v>1.0</v>
      </c>
      <c r="F128" s="19">
        <v>160.0</v>
      </c>
      <c r="G128">
        <f t="shared" si="16"/>
        <v>160.0</v>
      </c>
      <c r="H128" s="20">
        <f t="shared" si="17"/>
        <v>1.0</v>
      </c>
      <c r="I128" s="19" t="s">
        <v>179</v>
      </c>
      <c r="J128" t="str">
        <f>IF(I128="","",_xlfn.XLOOKUP(I128,Lists!$C:$C,Lists!$D:$D))</f>
        <v>Spinetoram [12%]</v>
      </c>
      <c r="K128" s="19" t="s">
        <v>52</v>
      </c>
      <c r="L128" s="19">
        <v>40.0</v>
      </c>
      <c r="M128" s="19">
        <v>900.0</v>
      </c>
      <c r="N128">
        <f>IF(OR(M128="",L128=""),"",(M128*L128)/100000)</f>
        <v>0.36</v>
      </c>
      <c r="O128" t="str">
        <f>IF(I128="","",_xlfn.XLOOKUP(I128,Lists!$C:$C,Lists!$J:$J))</f>
        <v>L</v>
      </c>
      <c r="P128">
        <f>IF(I128="","",_xlfn.XLOOKUP(I128,Lists!$C:$C,Lists!$E:$E))</f>
        <v>5.0</v>
      </c>
      <c r="Q128" s="21">
        <f t="shared" si="18"/>
        <v>46186.0</v>
      </c>
      <c r="R128" t="str">
        <f t="shared" si="19"/>
        <v>Allow</v>
      </c>
      <c r="S128" t="str">
        <f>IF(I128="","",_xlfn.XLOOKUP(I128,Lists!$C:$C,Lists!$I:$I))</f>
        <v>On-Label</v>
      </c>
    </row>
    <row r="129" spans="8:8" ht="17.45">
      <c r="A129" s="18">
        <v>46180.0</v>
      </c>
      <c r="B129" s="19">
        <v>20.0</v>
      </c>
      <c r="C129">
        <f>_xlfn.XLOOKUP(B129,Lists!B:B,Lists!A:A,"")</f>
        <v>2.0</v>
      </c>
      <c r="D129" s="19" t="s">
        <v>234</v>
      </c>
      <c r="E129" s="19">
        <v>1.0</v>
      </c>
      <c r="F129" s="19">
        <v>160.0</v>
      </c>
      <c r="G129">
        <f t="shared" si="16"/>
        <v>160.0</v>
      </c>
      <c r="H129" s="20">
        <f t="shared" si="17"/>
        <v>1.0</v>
      </c>
      <c r="I129" s="19" t="s">
        <v>26</v>
      </c>
      <c r="J129" t="str">
        <f>IF(I129="","",_xlfn.XLOOKUP(I129,Lists!$C:$C,Lists!$D:$D))</f>
        <v>Pyridalyl [50%]</v>
      </c>
      <c r="K129" s="19" t="s">
        <v>52</v>
      </c>
      <c r="L129" s="19">
        <v>50.0</v>
      </c>
      <c r="M129" s="19">
        <v>900.0</v>
      </c>
      <c r="N129">
        <f>IF(OR(M129="",L129=""),"",(M129*L129)/100000)</f>
        <v>0.45</v>
      </c>
      <c r="O129">
        <f>IF(I129="","",_xlfn.XLOOKUP(I129,Lists!$C:$C,Lists!$J:$J))</f>
        <v>0.0</v>
      </c>
      <c r="P129">
        <f>IF(I129="","",_xlfn.XLOOKUP(I129,Lists!$C:$C,Lists!$E:$E))</f>
        <v>0.0</v>
      </c>
      <c r="Q129" s="21">
        <f t="shared" si="18"/>
        <v>46181.0</v>
      </c>
      <c r="R129" t="str">
        <f t="shared" si="19"/>
        <v>Allow</v>
      </c>
      <c r="S129" t="str">
        <f>IF(I129="","",_xlfn.XLOOKUP(I129,Lists!$C:$C,Lists!$I:$I))</f>
        <v>On-Label</v>
      </c>
    </row>
    <row r="130" spans="8:8" ht="17.45">
      <c r="A130" s="18">
        <v>46180.0</v>
      </c>
      <c r="B130" s="19">
        <v>23.0</v>
      </c>
      <c r="C130">
        <f>_xlfn.XLOOKUP(B130,Lists!B:B,Lists!A:A,"")</f>
        <v>3.0</v>
      </c>
      <c r="D130" s="19" t="s">
        <v>234</v>
      </c>
      <c r="E130" s="19">
        <v>1.0</v>
      </c>
      <c r="F130" s="19">
        <v>160.0</v>
      </c>
      <c r="G130">
        <f t="shared" si="16"/>
        <v>160.0</v>
      </c>
      <c r="H130" s="20">
        <f t="shared" si="17"/>
        <v>1.0</v>
      </c>
      <c r="I130" s="19" t="s">
        <v>26</v>
      </c>
      <c r="J130" t="str">
        <f>IF(I130="","",_xlfn.XLOOKUP(I130,Lists!$C:$C,Lists!$D:$D))</f>
        <v>Pyridalyl [50%]</v>
      </c>
      <c r="K130" s="19" t="s">
        <v>52</v>
      </c>
      <c r="L130" s="19">
        <v>50.0</v>
      </c>
      <c r="M130" s="19">
        <v>900.0</v>
      </c>
      <c r="N130">
        <f>IF(OR(M130="",L130=""),"",(M130*L130)/100000)</f>
        <v>0.45</v>
      </c>
      <c r="O130">
        <f>IF(I130="","",_xlfn.XLOOKUP(I130,Lists!$C:$C,Lists!$J:$J))</f>
        <v>0.0</v>
      </c>
      <c r="P130">
        <f>IF(I130="","",_xlfn.XLOOKUP(I130,Lists!$C:$C,Lists!$E:$E))</f>
        <v>0.0</v>
      </c>
      <c r="Q130" s="21">
        <f t="shared" si="18"/>
        <v>46181.0</v>
      </c>
      <c r="R130" t="str">
        <f t="shared" si="19"/>
        <v>Allow</v>
      </c>
      <c r="S130" t="str">
        <f>IF(I130="","",_xlfn.XLOOKUP(I130,Lists!$C:$C,Lists!$I:$I))</f>
        <v>On-Label</v>
      </c>
    </row>
    <row r="131" spans="8:8">
      <c r="A131" s="18">
        <v>46180.0</v>
      </c>
      <c r="B131" s="19">
        <v>30.0</v>
      </c>
      <c r="C131">
        <f>_xlfn.XLOOKUP(B131,Lists!B:B,Lists!A:A,"")</f>
        <v>3.0</v>
      </c>
      <c r="D131" s="19" t="s">
        <v>234</v>
      </c>
      <c r="E131" s="19">
        <v>1.0</v>
      </c>
      <c r="F131" s="19">
        <v>160.0</v>
      </c>
      <c r="G131">
        <f t="shared" si="16"/>
        <v>160.0</v>
      </c>
      <c r="H131" s="20">
        <f t="shared" si="17"/>
        <v>1.0</v>
      </c>
      <c r="I131" s="19" t="s">
        <v>179</v>
      </c>
      <c r="J131" t="str">
        <f>IF(I131="","",_xlfn.XLOOKUP(I131,Lists!$C:$C,Lists!$D:$D))</f>
        <v>Spinetoram [12%]</v>
      </c>
      <c r="K131" s="19" t="s">
        <v>52</v>
      </c>
      <c r="L131" s="19">
        <v>40.0</v>
      </c>
      <c r="M131" s="19">
        <v>900.0</v>
      </c>
      <c r="N131">
        <f>IF(OR(M131="",L131=""),"",(M131*L131)/100000)</f>
        <v>0.36</v>
      </c>
      <c r="O131" t="str">
        <f>IF(I131="","",_xlfn.XLOOKUP(I131,Lists!$C:$C,Lists!$J:$J))</f>
        <v>L</v>
      </c>
      <c r="P131">
        <f>IF(I131="","",_xlfn.XLOOKUP(I131,Lists!$C:$C,Lists!$E:$E))</f>
        <v>5.0</v>
      </c>
      <c r="Q131" s="21">
        <f t="shared" si="18"/>
        <v>46186.0</v>
      </c>
      <c r="R131" t="str">
        <f t="shared" si="19"/>
        <v>Allow</v>
      </c>
      <c r="S131" t="str">
        <f>IF(I131="","",_xlfn.XLOOKUP(I131,Lists!$C:$C,Lists!$I:$I))</f>
        <v>On-Label</v>
      </c>
    </row>
    <row r="132" spans="8:8" ht="17.45">
      <c r="A132" s="18">
        <v>46180.0</v>
      </c>
      <c r="B132" s="19">
        <v>37.0</v>
      </c>
      <c r="C132">
        <f>_xlfn.XLOOKUP(B132,Lists!B:B,Lists!A:A,"")</f>
        <v>5.0</v>
      </c>
      <c r="D132" s="19" t="s">
        <v>234</v>
      </c>
      <c r="E132" s="19">
        <v>1.0</v>
      </c>
      <c r="F132" s="19">
        <v>160.0</v>
      </c>
      <c r="G132">
        <f t="shared" si="16"/>
        <v>160.0</v>
      </c>
      <c r="H132" s="20">
        <f t="shared" si="17"/>
        <v>1.0</v>
      </c>
      <c r="I132" s="19" t="s">
        <v>26</v>
      </c>
      <c r="J132" t="str">
        <f>IF(I132="","",_xlfn.XLOOKUP(I132,Lists!$C:$C,Lists!$D:$D))</f>
        <v>Pyridalyl [50%]</v>
      </c>
      <c r="K132" s="19" t="s">
        <v>52</v>
      </c>
      <c r="L132" s="19">
        <v>50.0</v>
      </c>
      <c r="M132" s="19">
        <v>900.0</v>
      </c>
      <c r="N132">
        <f>IF(OR(M132="",L132=""),"",(M132*L132)/100000)</f>
        <v>0.45</v>
      </c>
      <c r="O132">
        <f>IF(I132="","",_xlfn.XLOOKUP(I132,Lists!$C:$C,Lists!$J:$J))</f>
        <v>0.0</v>
      </c>
      <c r="P132">
        <f>IF(I132="","",_xlfn.XLOOKUP(I132,Lists!$C:$C,Lists!$E:$E))</f>
        <v>0.0</v>
      </c>
      <c r="Q132" s="21">
        <f t="shared" si="18"/>
        <v>46181.0</v>
      </c>
      <c r="R132" t="str">
        <f t="shared" si="19"/>
        <v>Allow</v>
      </c>
      <c r="S132" t="str">
        <f>IF(I132="","",_xlfn.XLOOKUP(I132,Lists!$C:$C,Lists!$I:$I))</f>
        <v>On-Label</v>
      </c>
    </row>
    <row r="133" spans="8:8" ht="17.45">
      <c r="A133" s="18">
        <v>46180.0</v>
      </c>
      <c r="B133" s="19">
        <v>63.0</v>
      </c>
      <c r="C133">
        <f>_xlfn.XLOOKUP(B133,Lists!B:B,Lists!A:A,"")</f>
        <v>4.0</v>
      </c>
      <c r="D133" s="19" t="s">
        <v>234</v>
      </c>
      <c r="E133" s="19">
        <v>1.0</v>
      </c>
      <c r="F133" s="19">
        <v>160.0</v>
      </c>
      <c r="G133">
        <f t="shared" si="16"/>
        <v>160.0</v>
      </c>
      <c r="H133" s="20">
        <f t="shared" si="17"/>
        <v>1.0</v>
      </c>
      <c r="I133" s="19" t="s">
        <v>26</v>
      </c>
      <c r="J133" t="str">
        <f>IF(I133="","",_xlfn.XLOOKUP(I133,Lists!$C:$C,Lists!$D:$D))</f>
        <v>Pyridalyl [50%]</v>
      </c>
      <c r="K133" s="19" t="s">
        <v>52</v>
      </c>
      <c r="L133" s="19">
        <v>50.0</v>
      </c>
      <c r="M133" s="19">
        <v>900.0</v>
      </c>
      <c r="N133">
        <f>IF(OR(M133="",L133=""),"",(M133*L133)/100000)</f>
        <v>0.45</v>
      </c>
      <c r="O133">
        <f>IF(I133="","",_xlfn.XLOOKUP(I133,Lists!$C:$C,Lists!$J:$J))</f>
        <v>0.0</v>
      </c>
      <c r="P133">
        <f>IF(I133="","",_xlfn.XLOOKUP(I133,Lists!$C:$C,Lists!$E:$E))</f>
        <v>0.0</v>
      </c>
      <c r="Q133" s="21">
        <f t="shared" si="18"/>
        <v>46181.0</v>
      </c>
      <c r="R133" t="str">
        <f t="shared" si="19"/>
        <v>Allow</v>
      </c>
      <c r="S133" t="str">
        <f>IF(I133="","",_xlfn.XLOOKUP(I133,Lists!$C:$C,Lists!$I:$I))</f>
        <v>On-Label</v>
      </c>
    </row>
    <row r="134" spans="8:8">
      <c r="A134" s="18">
        <v>46181.0</v>
      </c>
      <c r="B134" s="19">
        <v>17.0</v>
      </c>
      <c r="C134">
        <f>_xlfn.XLOOKUP(B134,Lists!B:B,Lists!A:A,"")</f>
        <v>2.0</v>
      </c>
      <c r="D134" s="19" t="s">
        <v>234</v>
      </c>
      <c r="E134" s="19">
        <v>1.0</v>
      </c>
      <c r="F134" s="19">
        <v>160.0</v>
      </c>
      <c r="G134">
        <f t="shared" si="16"/>
        <v>160.0</v>
      </c>
      <c r="H134" s="20">
        <f t="shared" si="17"/>
        <v>1.0</v>
      </c>
      <c r="I134" s="19" t="s">
        <v>170</v>
      </c>
      <c r="J134" t="str">
        <f>IF(I134="","",_xlfn.XLOOKUP(I134,Lists!$C:$C,Lists!$D:$D))</f>
        <v>Spirotetramat (p) [10%]</v>
      </c>
      <c r="K134" s="19" t="s">
        <v>52</v>
      </c>
      <c r="L134" s="19">
        <v>80.0</v>
      </c>
      <c r="M134" s="19">
        <v>900.0</v>
      </c>
      <c r="N134">
        <f>IF(OR(M134="",L134=""),"",(M134*L134)/100000)</f>
        <v>0.72</v>
      </c>
      <c r="O134">
        <f>IF(I134="","",_xlfn.XLOOKUP(I134,Lists!$C:$C,Lists!$J:$J))</f>
        <v>0.0</v>
      </c>
      <c r="P134">
        <f>IF(I134="","",_xlfn.XLOOKUP(I134,Lists!$C:$C,Lists!$E:$E))</f>
        <v>10.0</v>
      </c>
      <c r="Q134" s="21">
        <f t="shared" si="18"/>
        <v>46192.0</v>
      </c>
      <c r="R134" t="str">
        <f t="shared" si="19"/>
        <v>Allow</v>
      </c>
      <c r="S134" t="str">
        <f>IF(I134="","",_xlfn.XLOOKUP(I134,Lists!$C:$C,Lists!$I:$I))</f>
        <v>On-Label</v>
      </c>
    </row>
    <row r="135" spans="8:8">
      <c r="A135" s="18">
        <v>46181.0</v>
      </c>
      <c r="B135" s="19">
        <v>17.0</v>
      </c>
      <c r="C135">
        <f>_xlfn.XLOOKUP(B135,Lists!B:B,Lists!A:A,"")</f>
        <v>2.0</v>
      </c>
      <c r="D135" s="19" t="s">
        <v>234</v>
      </c>
      <c r="E135" s="19">
        <v>1.0</v>
      </c>
      <c r="F135" s="19">
        <v>160.0</v>
      </c>
      <c r="G135">
        <f t="shared" si="16"/>
        <v>160.0</v>
      </c>
      <c r="H135" s="20">
        <f t="shared" si="17"/>
        <v>1.0</v>
      </c>
      <c r="I135" s="19" t="s">
        <v>30</v>
      </c>
      <c r="J135" t="str">
        <f>IF(I135="","",_xlfn.XLOOKUP(I135,Lists!$C:$C,Lists!$D:$D))</f>
        <v>Buprofezin</v>
      </c>
      <c r="K135" s="19" t="s">
        <v>52</v>
      </c>
      <c r="L135" s="19">
        <v>100.0</v>
      </c>
      <c r="M135" s="19">
        <v>900.0</v>
      </c>
      <c r="N135">
        <f>IF(OR(M135="",L135=""),"",(M135*L135)/100000)</f>
        <v>0.9</v>
      </c>
      <c r="O135">
        <f>IF(I135="","",_xlfn.XLOOKUP(I135,Lists!$C:$C,Lists!$J:$J))</f>
        <v>0.0</v>
      </c>
      <c r="P135">
        <f>IF(I135="","",_xlfn.XLOOKUP(I135,Lists!$C:$C,Lists!$E:$E))</f>
        <v>0.0</v>
      </c>
      <c r="Q135" s="21">
        <f t="shared" si="18"/>
        <v>46182.0</v>
      </c>
      <c r="R135" t="str">
        <f t="shared" si="19"/>
        <v>Allow</v>
      </c>
      <c r="S135" t="str">
        <f>IF(I135="","",_xlfn.XLOOKUP(I135,Lists!$C:$C,Lists!$I:$I))</f>
        <v>Off-Label</v>
      </c>
    </row>
    <row r="136" spans="8:8" ht="17.45">
      <c r="A136" s="18">
        <v>46181.0</v>
      </c>
      <c r="B136" s="19">
        <v>25.0</v>
      </c>
      <c r="C136">
        <f>_xlfn.XLOOKUP(B136,Lists!B:B,Lists!A:A,"")</f>
        <v>3.0</v>
      </c>
      <c r="D136" s="19" t="s">
        <v>234</v>
      </c>
      <c r="E136" s="19">
        <v>1.0</v>
      </c>
      <c r="F136" s="19">
        <v>160.0</v>
      </c>
      <c r="G136">
        <f t="shared" si="16"/>
        <v>160.0</v>
      </c>
      <c r="H136" s="20">
        <f t="shared" si="17"/>
        <v>1.0</v>
      </c>
      <c r="I136" s="19" t="s">
        <v>26</v>
      </c>
      <c r="J136" t="str">
        <f>IF(I136="","",_xlfn.XLOOKUP(I136,Lists!$C:$C,Lists!$D:$D))</f>
        <v>Pyridalyl [50%]</v>
      </c>
      <c r="K136" s="19" t="s">
        <v>52</v>
      </c>
      <c r="L136" s="19">
        <v>50.0</v>
      </c>
      <c r="M136" s="19">
        <v>900.0</v>
      </c>
      <c r="N136">
        <f>IF(OR(M136="",L136=""),"",(M136*L136)/100000)</f>
        <v>0.45</v>
      </c>
      <c r="O136">
        <f>IF(I136="","",_xlfn.XLOOKUP(I136,Lists!$C:$C,Lists!$J:$J))</f>
        <v>0.0</v>
      </c>
      <c r="P136">
        <f>IF(I136="","",_xlfn.XLOOKUP(I136,Lists!$C:$C,Lists!$E:$E))</f>
        <v>0.0</v>
      </c>
      <c r="Q136" s="21">
        <f t="shared" si="18"/>
        <v>46182.0</v>
      </c>
      <c r="R136" t="str">
        <f t="shared" si="19"/>
        <v>Allow</v>
      </c>
      <c r="S136" t="str">
        <f>IF(I136="","",_xlfn.XLOOKUP(I136,Lists!$C:$C,Lists!$I:$I))</f>
        <v>On-Label</v>
      </c>
    </row>
    <row r="137" spans="8:8">
      <c r="A137" s="18">
        <v>46181.0</v>
      </c>
      <c r="B137" s="19">
        <v>32.0</v>
      </c>
      <c r="C137">
        <f>_xlfn.XLOOKUP(B137,Lists!B:B,Lists!A:A,"")</f>
        <v>5.0</v>
      </c>
      <c r="D137" s="19" t="s">
        <v>234</v>
      </c>
      <c r="E137" s="19">
        <v>1.0</v>
      </c>
      <c r="F137" s="19">
        <v>160.0</v>
      </c>
      <c r="G137">
        <f t="shared" si="16"/>
        <v>160.0</v>
      </c>
      <c r="H137" s="20">
        <f t="shared" si="17"/>
        <v>1.0</v>
      </c>
      <c r="I137" s="19" t="s">
        <v>179</v>
      </c>
      <c r="J137" t="str">
        <f>IF(I137="","",_xlfn.XLOOKUP(I137,Lists!$C:$C,Lists!$D:$D))</f>
        <v>Spinetoram [12%]</v>
      </c>
      <c r="K137" s="19" t="s">
        <v>52</v>
      </c>
      <c r="L137" s="19">
        <v>40.0</v>
      </c>
      <c r="M137" s="19">
        <v>1200.0</v>
      </c>
      <c r="N137">
        <f>IF(OR(M137="",L137=""),"",(M137*L137)/100000)</f>
        <v>0.48</v>
      </c>
      <c r="O137" t="str">
        <f>IF(I137="","",_xlfn.XLOOKUP(I137,Lists!$C:$C,Lists!$J:$J))</f>
        <v>L</v>
      </c>
      <c r="P137">
        <f>IF(I137="","",_xlfn.XLOOKUP(I137,Lists!$C:$C,Lists!$E:$E))</f>
        <v>5.0</v>
      </c>
      <c r="Q137" s="21">
        <f t="shared" si="18"/>
        <v>46187.0</v>
      </c>
      <c r="R137" t="str">
        <f t="shared" si="19"/>
        <v>Allow</v>
      </c>
      <c r="S137" t="str">
        <f>IF(I137="","",_xlfn.XLOOKUP(I137,Lists!$C:$C,Lists!$I:$I))</f>
        <v>On-Label</v>
      </c>
    </row>
    <row r="138" spans="8:8" ht="17.45">
      <c r="A138" s="18">
        <v>46181.0</v>
      </c>
      <c r="B138" s="19">
        <v>38.0</v>
      </c>
      <c r="C138">
        <f>_xlfn.XLOOKUP(B138,Lists!B:B,Lists!A:A,"")</f>
        <v>5.0</v>
      </c>
      <c r="D138" s="19" t="s">
        <v>234</v>
      </c>
      <c r="E138" s="19">
        <v>1.0</v>
      </c>
      <c r="F138" s="19">
        <v>160.0</v>
      </c>
      <c r="G138">
        <f t="shared" si="16"/>
        <v>160.0</v>
      </c>
      <c r="H138" s="20">
        <f t="shared" si="17"/>
        <v>1.0</v>
      </c>
      <c r="I138" s="19" t="s">
        <v>26</v>
      </c>
      <c r="J138" t="str">
        <f>IF(I138="","",_xlfn.XLOOKUP(I138,Lists!$C:$C,Lists!$D:$D))</f>
        <v>Pyridalyl [50%]</v>
      </c>
      <c r="K138" s="19" t="s">
        <v>52</v>
      </c>
      <c r="L138" s="19">
        <v>50.0</v>
      </c>
      <c r="M138" s="19">
        <v>900.0</v>
      </c>
      <c r="N138">
        <f>IF(OR(M138="",L138=""),"",(M138*L138)/100000)</f>
        <v>0.45</v>
      </c>
      <c r="O138">
        <f>IF(I138="","",_xlfn.XLOOKUP(I138,Lists!$C:$C,Lists!$J:$J))</f>
        <v>0.0</v>
      </c>
      <c r="P138">
        <f>IF(I138="","",_xlfn.XLOOKUP(I138,Lists!$C:$C,Lists!$E:$E))</f>
        <v>0.0</v>
      </c>
      <c r="Q138" s="21">
        <f t="shared" si="18"/>
        <v>46182.0</v>
      </c>
      <c r="R138" t="str">
        <f t="shared" si="19"/>
        <v>Allow</v>
      </c>
      <c r="S138" t="str">
        <f>IF(I138="","",_xlfn.XLOOKUP(I138,Lists!$C:$C,Lists!$I:$I))</f>
        <v>On-Label</v>
      </c>
    </row>
    <row r="139" spans="8:8">
      <c r="A139" s="18">
        <v>46181.0</v>
      </c>
      <c r="B139" s="19">
        <v>53.0</v>
      </c>
      <c r="C139">
        <f>_xlfn.XLOOKUP(B139,Lists!B:B,Lists!A:A,"")</f>
        <v>4.0</v>
      </c>
      <c r="D139" s="19" t="s">
        <v>234</v>
      </c>
      <c r="E139" s="19">
        <v>1.0</v>
      </c>
      <c r="F139" s="19">
        <v>160.0</v>
      </c>
      <c r="G139">
        <f t="shared" si="16"/>
        <v>160.0</v>
      </c>
      <c r="H139" s="20">
        <f t="shared" si="17"/>
        <v>1.0</v>
      </c>
      <c r="I139" s="19" t="s">
        <v>47</v>
      </c>
      <c r="J139" t="str">
        <f>IF(I139="","",_xlfn.XLOOKUP(I139,Lists!$C:$C,Lists!$D:$D))</f>
        <v>Deltamethrin</v>
      </c>
      <c r="K139" s="19" t="s">
        <v>52</v>
      </c>
      <c r="L139" s="19">
        <v>100.0</v>
      </c>
      <c r="M139" s="19">
        <v>900.0</v>
      </c>
      <c r="N139">
        <f>IF(OR(M139="",L139=""),"",(M139*L139)/100000)</f>
        <v>0.9</v>
      </c>
      <c r="O139" t="str">
        <f>IF(I139="","",_xlfn.XLOOKUP(I139,Lists!$C:$C,Lists!$J:$J))</f>
        <v>L</v>
      </c>
      <c r="P139">
        <f>IF(I139="","",_xlfn.XLOOKUP(I139,Lists!$C:$C,Lists!$E:$E))</f>
        <v>10.0</v>
      </c>
      <c r="Q139" s="21">
        <f t="shared" si="18"/>
        <v>46192.0</v>
      </c>
      <c r="R139" t="str">
        <f t="shared" si="19"/>
        <v>Allow</v>
      </c>
      <c r="S139" t="str">
        <f>IF(I139="","",_xlfn.XLOOKUP(I139,Lists!$C:$C,Lists!$I:$I))</f>
        <v>Off-Label</v>
      </c>
    </row>
    <row r="140" spans="8:8">
      <c r="A140" s="18">
        <v>46181.0</v>
      </c>
      <c r="B140" s="19">
        <v>59.0</v>
      </c>
      <c r="C140">
        <f>_xlfn.XLOOKUP(B140,Lists!B:B,Lists!A:A,"")</f>
        <v>4.0</v>
      </c>
      <c r="D140" s="19" t="s">
        <v>234</v>
      </c>
      <c r="E140" s="19">
        <v>1.0</v>
      </c>
      <c r="F140" s="19">
        <v>160.0</v>
      </c>
      <c r="G140">
        <f t="shared" si="16"/>
        <v>160.0</v>
      </c>
      <c r="H140" s="20">
        <f t="shared" si="17"/>
        <v>1.0</v>
      </c>
      <c r="I140" s="19" t="s">
        <v>179</v>
      </c>
      <c r="J140" t="str">
        <f>IF(I140="","",_xlfn.XLOOKUP(I140,Lists!$C:$C,Lists!$D:$D))</f>
        <v>Spinetoram [12%]</v>
      </c>
      <c r="K140" s="19" t="s">
        <v>52</v>
      </c>
      <c r="L140" s="19">
        <v>40.0</v>
      </c>
      <c r="M140" s="19">
        <v>1200.0</v>
      </c>
      <c r="N140">
        <f>IF(OR(M140="",L140=""),"",(M140*L140)/100000)</f>
        <v>0.48</v>
      </c>
      <c r="O140" t="str">
        <f>IF(I140="","",_xlfn.XLOOKUP(I140,Lists!$C:$C,Lists!$J:$J))</f>
        <v>L</v>
      </c>
      <c r="P140">
        <f>IF(I140="","",_xlfn.XLOOKUP(I140,Lists!$C:$C,Lists!$E:$E))</f>
        <v>5.0</v>
      </c>
      <c r="Q140" s="21">
        <f t="shared" si="18"/>
        <v>46187.0</v>
      </c>
      <c r="R140" t="str">
        <f t="shared" si="19"/>
        <v>Allow</v>
      </c>
      <c r="S140" t="str">
        <f>IF(I140="","",_xlfn.XLOOKUP(I140,Lists!$C:$C,Lists!$I:$I))</f>
        <v>On-Label</v>
      </c>
    </row>
    <row r="141" spans="8:8">
      <c r="A141" s="18">
        <v>46182.0</v>
      </c>
      <c r="B141" s="19">
        <v>8.0</v>
      </c>
      <c r="C141">
        <f>_xlfn.XLOOKUP(B141,Lists!B:B,Lists!A:A,"")</f>
        <v>1.0</v>
      </c>
      <c r="D141" s="19" t="s">
        <v>234</v>
      </c>
      <c r="E141" s="19">
        <v>1.0</v>
      </c>
      <c r="F141" s="19">
        <v>160.0</v>
      </c>
      <c r="G141">
        <f t="shared" si="16"/>
        <v>160.0</v>
      </c>
      <c r="H141" s="20">
        <f t="shared" si="17"/>
        <v>1.0</v>
      </c>
      <c r="I141" s="19" t="s">
        <v>170</v>
      </c>
      <c r="J141" t="str">
        <f>IF(I141="","",_xlfn.XLOOKUP(I141,Lists!$C:$C,Lists!$D:$D))</f>
        <v>Spirotetramat (p) [10%]</v>
      </c>
      <c r="K141" s="19" t="s">
        <v>52</v>
      </c>
      <c r="L141" s="19">
        <v>80.0</v>
      </c>
      <c r="M141" s="19">
        <v>900.0</v>
      </c>
      <c r="N141">
        <f>IF(OR(M141="",L141=""),"",(M141*L141)/100000)</f>
        <v>0.72</v>
      </c>
      <c r="O141">
        <f>IF(I141="","",_xlfn.XLOOKUP(I141,Lists!$C:$C,Lists!$J:$J))</f>
        <v>0.0</v>
      </c>
      <c r="P141">
        <f>IF(I141="","",_xlfn.XLOOKUP(I141,Lists!$C:$C,Lists!$E:$E))</f>
        <v>10.0</v>
      </c>
      <c r="Q141" s="21">
        <f t="shared" si="18"/>
        <v>46193.0</v>
      </c>
      <c r="R141" t="str">
        <f t="shared" si="19"/>
        <v>Allow</v>
      </c>
      <c r="S141" t="str">
        <f>IF(I141="","",_xlfn.XLOOKUP(I141,Lists!$C:$C,Lists!$I:$I))</f>
        <v>On-Label</v>
      </c>
    </row>
    <row r="142" spans="8:8">
      <c r="A142" s="18">
        <v>46182.0</v>
      </c>
      <c r="B142" s="19">
        <v>8.0</v>
      </c>
      <c r="C142">
        <f>_xlfn.XLOOKUP(B142,Lists!B:B,Lists!A:A,"")</f>
        <v>1.0</v>
      </c>
      <c r="D142" s="19" t="s">
        <v>234</v>
      </c>
      <c r="E142" s="19">
        <v>1.0</v>
      </c>
      <c r="F142" s="19">
        <v>160.0</v>
      </c>
      <c r="G142">
        <f t="shared" si="16"/>
        <v>160.0</v>
      </c>
      <c r="H142" s="20">
        <f t="shared" si="17"/>
        <v>1.0</v>
      </c>
      <c r="I142" s="19" t="s">
        <v>30</v>
      </c>
      <c r="J142" t="str">
        <f>IF(I142="","",_xlfn.XLOOKUP(I142,Lists!$C:$C,Lists!$D:$D))</f>
        <v>Buprofezin</v>
      </c>
      <c r="K142" s="19" t="s">
        <v>52</v>
      </c>
      <c r="L142" s="19">
        <v>100.0</v>
      </c>
      <c r="M142" s="19">
        <v>900.0</v>
      </c>
      <c r="N142">
        <f>IF(OR(M142="",L142=""),"",(M142*L142)/100000)</f>
        <v>0.9</v>
      </c>
      <c r="O142">
        <f>IF(I142="","",_xlfn.XLOOKUP(I142,Lists!$C:$C,Lists!$J:$J))</f>
        <v>0.0</v>
      </c>
      <c r="P142">
        <f>IF(I142="","",_xlfn.XLOOKUP(I142,Lists!$C:$C,Lists!$E:$E))</f>
        <v>0.0</v>
      </c>
      <c r="Q142" s="21">
        <f t="shared" si="18"/>
        <v>46183.0</v>
      </c>
      <c r="R142" t="str">
        <f t="shared" si="19"/>
        <v>Allow</v>
      </c>
      <c r="S142" t="str">
        <f>IF(I142="","",_xlfn.XLOOKUP(I142,Lists!$C:$C,Lists!$I:$I))</f>
        <v>Off-Label</v>
      </c>
    </row>
    <row r="143" spans="8:8">
      <c r="A143" s="18">
        <v>46182.0</v>
      </c>
      <c r="B143" s="19">
        <v>9.0</v>
      </c>
      <c r="C143">
        <f>_xlfn.XLOOKUP(B143,Lists!B:B,Lists!A:A,"")</f>
        <v>1.0</v>
      </c>
      <c r="D143" s="19" t="s">
        <v>234</v>
      </c>
      <c r="E143" s="19">
        <v>1.0</v>
      </c>
      <c r="F143" s="19">
        <v>160.0</v>
      </c>
      <c r="G143">
        <f t="shared" si="16"/>
        <v>160.0</v>
      </c>
      <c r="H143" s="20">
        <f t="shared" si="17"/>
        <v>1.0</v>
      </c>
      <c r="I143" s="19" t="s">
        <v>170</v>
      </c>
      <c r="J143" t="str">
        <f>IF(I143="","",_xlfn.XLOOKUP(I143,Lists!$C:$C,Lists!$D:$D))</f>
        <v>Spirotetramat (p) [10%]</v>
      </c>
      <c r="K143" s="19" t="s">
        <v>52</v>
      </c>
      <c r="L143" s="19">
        <v>80.0</v>
      </c>
      <c r="M143" s="19">
        <v>900.0</v>
      </c>
      <c r="N143">
        <f>IF(OR(M143="",L143=""),"",(M143*L143)/100000)</f>
        <v>0.72</v>
      </c>
      <c r="O143">
        <f>IF(I143="","",_xlfn.XLOOKUP(I143,Lists!$C:$C,Lists!$J:$J))</f>
        <v>0.0</v>
      </c>
      <c r="P143">
        <f>IF(I143="","",_xlfn.XLOOKUP(I143,Lists!$C:$C,Lists!$E:$E))</f>
        <v>10.0</v>
      </c>
      <c r="Q143" s="21">
        <f t="shared" si="18"/>
        <v>46193.0</v>
      </c>
      <c r="R143" t="str">
        <f t="shared" si="19"/>
        <v>Allow</v>
      </c>
      <c r="S143" t="str">
        <f>IF(I143="","",_xlfn.XLOOKUP(I143,Lists!$C:$C,Lists!$I:$I))</f>
        <v>On-Label</v>
      </c>
    </row>
    <row r="144" spans="8:8">
      <c r="A144" s="18">
        <v>46182.0</v>
      </c>
      <c r="B144" s="19">
        <v>9.0</v>
      </c>
      <c r="C144">
        <f>_xlfn.XLOOKUP(B144,Lists!B:B,Lists!A:A,"")</f>
        <v>1.0</v>
      </c>
      <c r="D144" s="19" t="s">
        <v>234</v>
      </c>
      <c r="E144" s="19">
        <v>1.0</v>
      </c>
      <c r="F144" s="19">
        <v>160.0</v>
      </c>
      <c r="G144">
        <f t="shared" si="16"/>
        <v>160.0</v>
      </c>
      <c r="H144" s="20">
        <f t="shared" si="17"/>
        <v>1.0</v>
      </c>
      <c r="I144" s="19" t="s">
        <v>30</v>
      </c>
      <c r="J144" t="str">
        <f>IF(I144="","",_xlfn.XLOOKUP(I144,Lists!$C:$C,Lists!$D:$D))</f>
        <v>Buprofezin</v>
      </c>
      <c r="K144" s="19" t="s">
        <v>52</v>
      </c>
      <c r="L144" s="19">
        <v>100.0</v>
      </c>
      <c r="M144" s="19">
        <v>900.0</v>
      </c>
      <c r="N144">
        <f>IF(OR(M144="",L144=""),"",(M144*L144)/100000)</f>
        <v>0.9</v>
      </c>
      <c r="O144">
        <f>IF(I144="","",_xlfn.XLOOKUP(I144,Lists!$C:$C,Lists!$J:$J))</f>
        <v>0.0</v>
      </c>
      <c r="P144">
        <f>IF(I144="","",_xlfn.XLOOKUP(I144,Lists!$C:$C,Lists!$E:$E))</f>
        <v>0.0</v>
      </c>
      <c r="Q144" s="21">
        <f t="shared" si="18"/>
        <v>46183.0</v>
      </c>
      <c r="R144" t="str">
        <f t="shared" si="19"/>
        <v>Allow</v>
      </c>
      <c r="S144" t="str">
        <f>IF(I144="","",_xlfn.XLOOKUP(I144,Lists!$C:$C,Lists!$I:$I))</f>
        <v>Off-Label</v>
      </c>
    </row>
    <row r="145" spans="8:8">
      <c r="A145" s="18">
        <v>46182.0</v>
      </c>
      <c r="B145" s="19">
        <v>11.0</v>
      </c>
      <c r="C145">
        <f>_xlfn.XLOOKUP(B145,Lists!B:B,Lists!A:A,"")</f>
        <v>2.0</v>
      </c>
      <c r="D145" s="19" t="s">
        <v>234</v>
      </c>
      <c r="E145" s="19">
        <v>1.0</v>
      </c>
      <c r="F145" s="19">
        <v>160.0</v>
      </c>
      <c r="G145">
        <f t="shared" si="16"/>
        <v>160.0</v>
      </c>
      <c r="H145" s="20">
        <f t="shared" si="17"/>
        <v>1.0</v>
      </c>
      <c r="I145" s="19" t="s">
        <v>170</v>
      </c>
      <c r="J145" t="str">
        <f>IF(I145="","",_xlfn.XLOOKUP(I145,Lists!$C:$C,Lists!$D:$D))</f>
        <v>Spirotetramat (p) [10%]</v>
      </c>
      <c r="K145" s="19" t="s">
        <v>52</v>
      </c>
      <c r="L145" s="19">
        <v>80.0</v>
      </c>
      <c r="M145" s="19">
        <v>900.0</v>
      </c>
      <c r="N145">
        <f>IF(OR(M145="",L145=""),"",(M145*L145)/100000)</f>
        <v>0.72</v>
      </c>
      <c r="O145">
        <f>IF(I145="","",_xlfn.XLOOKUP(I145,Lists!$C:$C,Lists!$J:$J))</f>
        <v>0.0</v>
      </c>
      <c r="P145">
        <f>IF(I145="","",_xlfn.XLOOKUP(I145,Lists!$C:$C,Lists!$E:$E))</f>
        <v>10.0</v>
      </c>
      <c r="Q145" s="21">
        <f t="shared" si="18"/>
        <v>46193.0</v>
      </c>
      <c r="R145" t="str">
        <f t="shared" si="19"/>
        <v>Allow</v>
      </c>
      <c r="S145" t="str">
        <f>IF(I145="","",_xlfn.XLOOKUP(I145,Lists!$C:$C,Lists!$I:$I))</f>
        <v>On-Label</v>
      </c>
    </row>
    <row r="146" spans="8:8">
      <c r="A146" s="18">
        <v>46182.0</v>
      </c>
      <c r="B146" s="19">
        <v>11.0</v>
      </c>
      <c r="C146">
        <f>_xlfn.XLOOKUP(B146,Lists!B:B,Lists!A:A,"")</f>
        <v>2.0</v>
      </c>
      <c r="D146" s="19" t="s">
        <v>234</v>
      </c>
      <c r="E146" s="19">
        <v>1.0</v>
      </c>
      <c r="F146" s="19">
        <v>160.0</v>
      </c>
      <c r="G146">
        <f t="shared" si="16"/>
        <v>160.0</v>
      </c>
      <c r="H146" s="20">
        <f t="shared" si="17"/>
        <v>1.0</v>
      </c>
      <c r="I146" s="19" t="s">
        <v>30</v>
      </c>
      <c r="J146" t="str">
        <f>IF(I146="","",_xlfn.XLOOKUP(I146,Lists!$C:$C,Lists!$D:$D))</f>
        <v>Buprofezin</v>
      </c>
      <c r="K146" s="19" t="s">
        <v>52</v>
      </c>
      <c r="L146" s="19">
        <v>100.0</v>
      </c>
      <c r="M146" s="19">
        <v>900.0</v>
      </c>
      <c r="N146">
        <f>IF(OR(M146="",L146=""),"",(M146*L146)/100000)</f>
        <v>0.9</v>
      </c>
      <c r="O146">
        <f>IF(I146="","",_xlfn.XLOOKUP(I146,Lists!$C:$C,Lists!$J:$J))</f>
        <v>0.0</v>
      </c>
      <c r="P146">
        <f>IF(I146="","",_xlfn.XLOOKUP(I146,Lists!$C:$C,Lists!$E:$E))</f>
        <v>0.0</v>
      </c>
      <c r="Q146" s="21">
        <f t="shared" si="18"/>
        <v>46183.0</v>
      </c>
      <c r="R146" t="str">
        <f t="shared" si="19"/>
        <v>Allow</v>
      </c>
      <c r="S146" t="str">
        <f>IF(I146="","",_xlfn.XLOOKUP(I146,Lists!$C:$C,Lists!$I:$I))</f>
        <v>Off-Label</v>
      </c>
    </row>
    <row r="147" spans="8:8" ht="17.45">
      <c r="A147" s="18">
        <v>46183.0</v>
      </c>
      <c r="B147" s="19">
        <v>27.0</v>
      </c>
      <c r="C147">
        <f>_xlfn.XLOOKUP(B147,Lists!B:B,Lists!A:A,"")</f>
        <v>3.0</v>
      </c>
      <c r="D147" s="19" t="s">
        <v>234</v>
      </c>
      <c r="E147" s="19">
        <v>1.0</v>
      </c>
      <c r="F147" s="19">
        <v>160.0</v>
      </c>
      <c r="G147">
        <f t="shared" si="16"/>
        <v>160.0</v>
      </c>
      <c r="H147" s="20">
        <f t="shared" si="17"/>
        <v>1.0</v>
      </c>
      <c r="I147" s="19" t="s">
        <v>26</v>
      </c>
      <c r="J147" t="str">
        <f>IF(I147="","",_xlfn.XLOOKUP(I147,Lists!$C:$C,Lists!$D:$D))</f>
        <v>Pyridalyl [50%]</v>
      </c>
      <c r="K147" s="19" t="s">
        <v>52</v>
      </c>
      <c r="L147" s="19">
        <v>50.0</v>
      </c>
      <c r="M147" s="19">
        <v>900.0</v>
      </c>
      <c r="N147">
        <f>IF(OR(M147="",L147=""),"",(M147*L147)/100000)</f>
        <v>0.45</v>
      </c>
      <c r="O147">
        <f>IF(I147="","",_xlfn.XLOOKUP(I147,Lists!$C:$C,Lists!$J:$J))</f>
        <v>0.0</v>
      </c>
      <c r="P147">
        <f>IF(I147="","",_xlfn.XLOOKUP(I147,Lists!$C:$C,Lists!$E:$E))</f>
        <v>0.0</v>
      </c>
      <c r="Q147" s="21">
        <f t="shared" si="18"/>
        <v>46184.0</v>
      </c>
      <c r="R147" t="str">
        <f t="shared" si="19"/>
        <v>Allow</v>
      </c>
      <c r="S147" t="str">
        <f>IF(I147="","",_xlfn.XLOOKUP(I147,Lists!$C:$C,Lists!$I:$I))</f>
        <v>On-Label</v>
      </c>
    </row>
    <row r="148" spans="8:8" ht="17.45">
      <c r="A148" s="18">
        <v>46183.0</v>
      </c>
      <c r="B148" s="19">
        <v>29.0</v>
      </c>
      <c r="C148">
        <f>_xlfn.XLOOKUP(B148,Lists!B:B,Lists!A:A,"")</f>
        <v>3.0</v>
      </c>
      <c r="D148" s="19" t="s">
        <v>234</v>
      </c>
      <c r="E148" s="19">
        <v>1.0</v>
      </c>
      <c r="F148" s="19">
        <v>160.0</v>
      </c>
      <c r="G148">
        <f t="shared" si="16"/>
        <v>160.0</v>
      </c>
      <c r="H148" s="20">
        <f t="shared" si="17"/>
        <v>1.0</v>
      </c>
      <c r="I148" s="19" t="s">
        <v>26</v>
      </c>
      <c r="J148" t="str">
        <f>IF(I148="","",_xlfn.XLOOKUP(I148,Lists!$C:$C,Lists!$D:$D))</f>
        <v>Pyridalyl [50%]</v>
      </c>
      <c r="K148" s="19" t="s">
        <v>52</v>
      </c>
      <c r="L148" s="19">
        <v>50.0</v>
      </c>
      <c r="M148" s="19">
        <v>900.0</v>
      </c>
      <c r="N148">
        <f>IF(OR(M148="",L148=""),"",(M148*L148)/100000)</f>
        <v>0.45</v>
      </c>
      <c r="O148">
        <f>IF(I148="","",_xlfn.XLOOKUP(I148,Lists!$C:$C,Lists!$J:$J))</f>
        <v>0.0</v>
      </c>
      <c r="P148">
        <f>IF(I148="","",_xlfn.XLOOKUP(I148,Lists!$C:$C,Lists!$E:$E))</f>
        <v>0.0</v>
      </c>
      <c r="Q148" s="21">
        <f t="shared" si="18"/>
        <v>46184.0</v>
      </c>
      <c r="R148" t="str">
        <f t="shared" si="19"/>
        <v>Allow</v>
      </c>
      <c r="S148" t="str">
        <f>IF(I148="","",_xlfn.XLOOKUP(I148,Lists!$C:$C,Lists!$I:$I))</f>
        <v>On-Label</v>
      </c>
    </row>
    <row r="149" spans="8:8" ht="17.45">
      <c r="A149" s="18">
        <v>46183.0</v>
      </c>
      <c r="B149" s="19">
        <v>34.0</v>
      </c>
      <c r="C149">
        <f>_xlfn.XLOOKUP(B149,Lists!B:B,Lists!A:A,"")</f>
        <v>5.0</v>
      </c>
      <c r="D149" s="19" t="s">
        <v>234</v>
      </c>
      <c r="E149" s="19">
        <v>1.0</v>
      </c>
      <c r="F149" s="19">
        <v>160.0</v>
      </c>
      <c r="G149">
        <f t="shared" si="16"/>
        <v>160.0</v>
      </c>
      <c r="H149" s="20">
        <f t="shared" si="17"/>
        <v>1.0</v>
      </c>
      <c r="I149" s="19" t="s">
        <v>26</v>
      </c>
      <c r="J149" t="str">
        <f>IF(I149="","",_xlfn.XLOOKUP(I149,Lists!$C:$C,Lists!$D:$D))</f>
        <v>Pyridalyl [50%]</v>
      </c>
      <c r="K149" s="19" t="s">
        <v>52</v>
      </c>
      <c r="L149" s="19">
        <v>50.0</v>
      </c>
      <c r="M149" s="19">
        <v>900.0</v>
      </c>
      <c r="N149">
        <f>IF(OR(M149="",L149=""),"",(M149*L149)/100000)</f>
        <v>0.45</v>
      </c>
      <c r="O149">
        <f>IF(I149="","",_xlfn.XLOOKUP(I149,Lists!$C:$C,Lists!$J:$J))</f>
        <v>0.0</v>
      </c>
      <c r="P149">
        <f>IF(I149="","",_xlfn.XLOOKUP(I149,Lists!$C:$C,Lists!$E:$E))</f>
        <v>0.0</v>
      </c>
      <c r="Q149" s="21">
        <f t="shared" si="18"/>
        <v>46184.0</v>
      </c>
      <c r="R149" t="str">
        <f t="shared" si="19"/>
        <v>Allow</v>
      </c>
      <c r="S149" t="str">
        <f>IF(I149="","",_xlfn.XLOOKUP(I149,Lists!$C:$C,Lists!$I:$I))</f>
        <v>On-Label</v>
      </c>
    </row>
    <row r="150" spans="8:8" ht="17.45">
      <c r="A150" s="18">
        <v>46183.0</v>
      </c>
      <c r="B150" s="19">
        <v>42.0</v>
      </c>
      <c r="C150">
        <f>_xlfn.XLOOKUP(B150,Lists!B:B,Lists!A:A,"")</f>
        <v>5.0</v>
      </c>
      <c r="D150" s="19" t="s">
        <v>234</v>
      </c>
      <c r="E150" s="19">
        <v>1.0</v>
      </c>
      <c r="F150" s="19">
        <v>160.0</v>
      </c>
      <c r="G150">
        <f t="shared" si="16"/>
        <v>160.0</v>
      </c>
      <c r="H150" s="20">
        <f t="shared" si="17"/>
        <v>1.0</v>
      </c>
      <c r="I150" s="19" t="s">
        <v>26</v>
      </c>
      <c r="J150" t="str">
        <f>IF(I150="","",_xlfn.XLOOKUP(I150,Lists!$C:$C,Lists!$D:$D))</f>
        <v>Pyridalyl [50%]</v>
      </c>
      <c r="K150" s="19" t="s">
        <v>52</v>
      </c>
      <c r="L150" s="19">
        <v>50.0</v>
      </c>
      <c r="M150" s="19">
        <v>900.0</v>
      </c>
      <c r="N150">
        <f>IF(OR(M150="",L150=""),"",(M150*L150)/100000)</f>
        <v>0.45</v>
      </c>
      <c r="O150">
        <f>IF(I150="","",_xlfn.XLOOKUP(I150,Lists!$C:$C,Lists!$J:$J))</f>
        <v>0.0</v>
      </c>
      <c r="P150">
        <f>IF(I150="","",_xlfn.XLOOKUP(I150,Lists!$C:$C,Lists!$E:$E))</f>
        <v>0.0</v>
      </c>
      <c r="Q150" s="21">
        <f t="shared" si="18"/>
        <v>46184.0</v>
      </c>
      <c r="R150" t="str">
        <f t="shared" si="19"/>
        <v>Allow</v>
      </c>
      <c r="S150" t="str">
        <f>IF(I150="","",_xlfn.XLOOKUP(I150,Lists!$C:$C,Lists!$I:$I))</f>
        <v>On-Label</v>
      </c>
    </row>
    <row r="151" spans="8:8" ht="17.45">
      <c r="A151" s="18">
        <v>46183.0</v>
      </c>
      <c r="B151" s="19">
        <v>43.0</v>
      </c>
      <c r="C151">
        <f>_xlfn.XLOOKUP(B151,Lists!B:B,Lists!A:A,"")</f>
        <v>5.0</v>
      </c>
      <c r="D151" s="19" t="s">
        <v>234</v>
      </c>
      <c r="E151" s="19">
        <v>1.0</v>
      </c>
      <c r="F151" s="19">
        <v>160.0</v>
      </c>
      <c r="G151">
        <f t="shared" si="16"/>
        <v>160.0</v>
      </c>
      <c r="H151" s="20">
        <f t="shared" si="17"/>
        <v>1.0</v>
      </c>
      <c r="I151" s="19" t="s">
        <v>26</v>
      </c>
      <c r="J151" t="str">
        <f>IF(I151="","",_xlfn.XLOOKUP(I151,Lists!$C:$C,Lists!$D:$D))</f>
        <v>Pyridalyl [50%]</v>
      </c>
      <c r="K151" s="19" t="s">
        <v>52</v>
      </c>
      <c r="L151" s="19">
        <v>50.0</v>
      </c>
      <c r="M151" s="19">
        <v>900.0</v>
      </c>
      <c r="N151">
        <f>IF(OR(M151="",L151=""),"",(M151*L151)/100000)</f>
        <v>0.45</v>
      </c>
      <c r="O151">
        <f>IF(I151="","",_xlfn.XLOOKUP(I151,Lists!$C:$C,Lists!$J:$J))</f>
        <v>0.0</v>
      </c>
      <c r="P151">
        <f>IF(I151="","",_xlfn.XLOOKUP(I151,Lists!$C:$C,Lists!$E:$E))</f>
        <v>0.0</v>
      </c>
      <c r="Q151" s="21">
        <f t="shared" si="18"/>
        <v>46184.0</v>
      </c>
      <c r="R151" t="str">
        <f t="shared" si="19"/>
        <v>Allow</v>
      </c>
      <c r="S151" t="str">
        <f>IF(I151="","",_xlfn.XLOOKUP(I151,Lists!$C:$C,Lists!$I:$I))</f>
        <v>On-Label</v>
      </c>
    </row>
    <row r="152" spans="8:8" ht="17.45">
      <c r="A152" s="18">
        <v>46183.0</v>
      </c>
      <c r="B152" s="19">
        <v>46.0</v>
      </c>
      <c r="C152">
        <f>_xlfn.XLOOKUP(B152,Lists!B:B,Lists!A:A,"")</f>
        <v>4.0</v>
      </c>
      <c r="D152" s="19" t="s">
        <v>234</v>
      </c>
      <c r="E152" s="19">
        <v>1.0</v>
      </c>
      <c r="F152" s="19">
        <v>160.0</v>
      </c>
      <c r="G152">
        <f t="shared" si="16"/>
        <v>160.0</v>
      </c>
      <c r="H152" s="20">
        <f t="shared" si="17"/>
        <v>1.0</v>
      </c>
      <c r="I152" s="19" t="s">
        <v>26</v>
      </c>
      <c r="J152" t="str">
        <f>IF(I152="","",_xlfn.XLOOKUP(I152,Lists!$C:$C,Lists!$D:$D))</f>
        <v>Pyridalyl [50%]</v>
      </c>
      <c r="K152" s="19" t="s">
        <v>52</v>
      </c>
      <c r="L152" s="19">
        <v>50.0</v>
      </c>
      <c r="M152" s="19">
        <v>900.0</v>
      </c>
      <c r="N152">
        <f>IF(OR(M152="",L152=""),"",(M152*L152)/100000)</f>
        <v>0.45</v>
      </c>
      <c r="O152">
        <f>IF(I152="","",_xlfn.XLOOKUP(I152,Lists!$C:$C,Lists!$J:$J))</f>
        <v>0.0</v>
      </c>
      <c r="P152">
        <f>IF(I152="","",_xlfn.XLOOKUP(I152,Lists!$C:$C,Lists!$E:$E))</f>
        <v>0.0</v>
      </c>
      <c r="Q152" s="21">
        <f t="shared" si="18"/>
        <v>46184.0</v>
      </c>
      <c r="R152" t="str">
        <f t="shared" si="19"/>
        <v>Allow</v>
      </c>
      <c r="S152" t="str">
        <f>IF(I152="","",_xlfn.XLOOKUP(I152,Lists!$C:$C,Lists!$I:$I))</f>
        <v>On-Label</v>
      </c>
    </row>
    <row r="153" spans="8:8" ht="17.45">
      <c r="A153" s="18">
        <v>46183.0</v>
      </c>
      <c r="B153" s="19">
        <v>47.0</v>
      </c>
      <c r="C153">
        <f>_xlfn.XLOOKUP(B153,Lists!B:B,Lists!A:A,"")</f>
        <v>4.0</v>
      </c>
      <c r="D153" s="19" t="s">
        <v>234</v>
      </c>
      <c r="E153" s="19">
        <v>1.0</v>
      </c>
      <c r="F153" s="19">
        <v>160.0</v>
      </c>
      <c r="G153">
        <f t="shared" si="16"/>
        <v>160.0</v>
      </c>
      <c r="H153" s="20">
        <f t="shared" si="17"/>
        <v>1.0</v>
      </c>
      <c r="I153" s="19" t="s">
        <v>26</v>
      </c>
      <c r="J153" t="str">
        <f>IF(I153="","",_xlfn.XLOOKUP(I153,Lists!$C:$C,Lists!$D:$D))</f>
        <v>Pyridalyl [50%]</v>
      </c>
      <c r="K153" s="19" t="s">
        <v>52</v>
      </c>
      <c r="L153" s="19">
        <v>50.0</v>
      </c>
      <c r="M153" s="19">
        <v>900.0</v>
      </c>
      <c r="N153">
        <f>IF(OR(M153="",L153=""),"",(M153*L153)/100000)</f>
        <v>0.45</v>
      </c>
      <c r="O153">
        <f>IF(I153="","",_xlfn.XLOOKUP(I153,Lists!$C:$C,Lists!$J:$J))</f>
        <v>0.0</v>
      </c>
      <c r="P153">
        <f>IF(I153="","",_xlfn.XLOOKUP(I153,Lists!$C:$C,Lists!$E:$E))</f>
        <v>0.0</v>
      </c>
      <c r="Q153" s="21">
        <f t="shared" si="18"/>
        <v>46184.0</v>
      </c>
      <c r="R153" t="str">
        <f t="shared" si="19"/>
        <v>Allow</v>
      </c>
      <c r="S153" t="str">
        <f>IF(I153="","",_xlfn.XLOOKUP(I153,Lists!$C:$C,Lists!$I:$I))</f>
        <v>On-Label</v>
      </c>
    </row>
    <row r="154" spans="8:8" ht="17.45">
      <c r="A154" s="18">
        <v>46183.0</v>
      </c>
      <c r="B154" s="19">
        <v>53.0</v>
      </c>
      <c r="C154">
        <f>_xlfn.XLOOKUP(B154,Lists!B:B,Lists!A:A,"")</f>
        <v>4.0</v>
      </c>
      <c r="D154" s="19" t="s">
        <v>234</v>
      </c>
      <c r="E154" s="19">
        <v>1.0</v>
      </c>
      <c r="F154" s="19">
        <v>160.0</v>
      </c>
      <c r="G154">
        <f t="shared" si="16"/>
        <v>160.0</v>
      </c>
      <c r="H154" s="20">
        <f t="shared" si="17"/>
        <v>1.0</v>
      </c>
      <c r="I154" s="19" t="s">
        <v>26</v>
      </c>
      <c r="J154" t="str">
        <f>IF(I154="","",_xlfn.XLOOKUP(I154,Lists!$C:$C,Lists!$D:$D))</f>
        <v>Pyridalyl [50%]</v>
      </c>
      <c r="K154" s="19" t="s">
        <v>52</v>
      </c>
      <c r="L154" s="19">
        <v>50.0</v>
      </c>
      <c r="M154" s="19">
        <v>900.0</v>
      </c>
      <c r="N154">
        <f>IF(OR(M154="",L154=""),"",(M154*L154)/100000)</f>
        <v>0.45</v>
      </c>
      <c r="O154">
        <f>IF(I154="","",_xlfn.XLOOKUP(I154,Lists!$C:$C,Lists!$J:$J))</f>
        <v>0.0</v>
      </c>
      <c r="P154">
        <f>IF(I154="","",_xlfn.XLOOKUP(I154,Lists!$C:$C,Lists!$E:$E))</f>
        <v>0.0</v>
      </c>
      <c r="Q154" s="21">
        <f t="shared" si="18"/>
        <v>46184.0</v>
      </c>
      <c r="R154" t="str">
        <f t="shared" si="19"/>
        <v>Allow</v>
      </c>
      <c r="S154" t="str">
        <f>IF(I154="","",_xlfn.XLOOKUP(I154,Lists!$C:$C,Lists!$I:$I))</f>
        <v>On-Label</v>
      </c>
    </row>
    <row r="155" spans="8:8" ht="17.45">
      <c r="A155" s="18">
        <v>46183.0</v>
      </c>
      <c r="B155" s="19">
        <v>61.0</v>
      </c>
      <c r="C155">
        <f>_xlfn.XLOOKUP(B155,Lists!B:B,Lists!A:A,"")</f>
        <v>4.0</v>
      </c>
      <c r="D155" s="19" t="s">
        <v>234</v>
      </c>
      <c r="E155" s="19">
        <v>1.0</v>
      </c>
      <c r="F155" s="19">
        <v>160.0</v>
      </c>
      <c r="G155">
        <f t="shared" si="20" ref="G155:G218">IF(OR(E155="",F155=""),"",F155-E155+1)</f>
        <v>160.0</v>
      </c>
      <c r="H155" s="20">
        <f t="shared" si="21" ref="H155:H218">IF(D155="","",IF(OR(D155="A",D155="B"),G155/80,IF(D155="A&amp;B",G155/160,"")))</f>
        <v>1.0</v>
      </c>
      <c r="I155" s="19" t="s">
        <v>26</v>
      </c>
      <c r="J155" t="str">
        <f>IF(I155="","",_xlfn.XLOOKUP(I155,Lists!$C:$C,Lists!$D:$D))</f>
        <v>Pyridalyl [50%]</v>
      </c>
      <c r="K155" s="19" t="s">
        <v>52</v>
      </c>
      <c r="L155" s="19">
        <v>50.0</v>
      </c>
      <c r="M155" s="19">
        <v>900.0</v>
      </c>
      <c r="N155">
        <f>IF(OR(M155="",L155=""),"",(M155*L155)/100000)</f>
        <v>0.45</v>
      </c>
      <c r="O155">
        <f>IF(I155="","",_xlfn.XLOOKUP(I155,Lists!$C:$C,Lists!$J:$J))</f>
        <v>0.0</v>
      </c>
      <c r="P155">
        <f>IF(I155="","",_xlfn.XLOOKUP(I155,Lists!$C:$C,Lists!$E:$E))</f>
        <v>0.0</v>
      </c>
      <c r="Q155" s="21">
        <f t="shared" si="22" ref="Q155:Q218">IF(OR(A155="",P155=""),"",A155+P155+1)</f>
        <v>46184.0</v>
      </c>
      <c r="R155" t="str">
        <f t="shared" si="23" ref="R155:R218">IF(Q155="","",IF(Q155&lt;=TODAY(),"Allow","Not Allow"))</f>
        <v>Allow</v>
      </c>
      <c r="S155" t="str">
        <f>IF(I155="","",_xlfn.XLOOKUP(I155,Lists!$C:$C,Lists!$I:$I))</f>
        <v>On-Label</v>
      </c>
    </row>
    <row r="156" spans="8:8">
      <c r="A156" s="18">
        <v>46184.0</v>
      </c>
      <c r="B156" s="19">
        <v>1.0</v>
      </c>
      <c r="C156">
        <f>_xlfn.XLOOKUP(B156,Lists!B:B,Lists!A:A,"")</f>
        <v>1.0</v>
      </c>
      <c r="D156" s="19" t="s">
        <v>234</v>
      </c>
      <c r="E156" s="19">
        <v>1.0</v>
      </c>
      <c r="F156" s="19">
        <v>160.0</v>
      </c>
      <c r="G156">
        <f t="shared" si="20"/>
        <v>160.0</v>
      </c>
      <c r="H156" s="20">
        <f t="shared" si="21"/>
        <v>1.0</v>
      </c>
      <c r="I156" s="19" t="s">
        <v>63</v>
      </c>
      <c r="J156" t="str">
        <f>IF(I156="","",_xlfn.XLOOKUP(I156,Lists!$C:$C,Lists!$D:$D))</f>
        <v>Acetamiprid [20%]</v>
      </c>
      <c r="K156" s="19" t="s">
        <v>52</v>
      </c>
      <c r="L156" s="19">
        <v>50.0</v>
      </c>
      <c r="M156" s="19">
        <v>900.0</v>
      </c>
      <c r="N156">
        <f>IF(OR(M156="",L156=""),"",(M156*L156)/100000)</f>
        <v>0.45</v>
      </c>
      <c r="O156" t="str">
        <f>IF(I156="","",_xlfn.XLOOKUP(I156,Lists!$C:$C,Lists!$J:$J))</f>
        <v>Kg</v>
      </c>
      <c r="P156">
        <f>IF(I156="","",_xlfn.XLOOKUP(I156,Lists!$C:$C,Lists!$E:$E))</f>
        <v>5.0</v>
      </c>
      <c r="Q156" s="21">
        <f t="shared" si="22"/>
        <v>46190.0</v>
      </c>
      <c r="R156" t="str">
        <f t="shared" si="23"/>
        <v>Allow</v>
      </c>
      <c r="S156" t="str">
        <f>IF(I156="","",_xlfn.XLOOKUP(I156,Lists!$C:$C,Lists!$I:$I))</f>
        <v>On-Label</v>
      </c>
    </row>
    <row r="157" spans="8:8">
      <c r="A157" s="18">
        <v>46184.0</v>
      </c>
      <c r="B157" s="19">
        <v>1.0</v>
      </c>
      <c r="C157">
        <f>_xlfn.XLOOKUP(B157,Lists!B:B,Lists!A:A,"")</f>
        <v>1.0</v>
      </c>
      <c r="D157" s="19" t="s">
        <v>234</v>
      </c>
      <c r="E157" s="19">
        <v>1.0</v>
      </c>
      <c r="F157" s="19">
        <v>160.0</v>
      </c>
      <c r="G157">
        <f t="shared" si="20"/>
        <v>160.0</v>
      </c>
      <c r="H157" s="20">
        <f t="shared" si="21"/>
        <v>1.0</v>
      </c>
      <c r="I157" s="19" t="s">
        <v>241</v>
      </c>
      <c r="J157" t="str">
        <f>IF(I157="","",_xlfn.XLOOKUP(I157,Lists!$C:$C,Lists!$D:$D))</f>
        <v>Lufenuron [5%]</v>
      </c>
      <c r="K157" s="19" t="s">
        <v>52</v>
      </c>
      <c r="L157" s="19">
        <v>50.0</v>
      </c>
      <c r="M157" s="19">
        <v>900.0</v>
      </c>
      <c r="N157">
        <f>IF(OR(M157="",L157=""),"",(M157*L157)/100000)</f>
        <v>0.45</v>
      </c>
      <c r="O157">
        <f>IF(I157="","",_xlfn.XLOOKUP(I157,Lists!$C:$C,Lists!$J:$J))</f>
        <v>0.0</v>
      </c>
      <c r="P157">
        <f>IF(I157="","",_xlfn.XLOOKUP(I157,Lists!$C:$C,Lists!$E:$E))</f>
        <v>0.0</v>
      </c>
      <c r="Q157" s="21">
        <f t="shared" si="22"/>
        <v>46185.0</v>
      </c>
      <c r="R157" t="str">
        <f t="shared" si="23"/>
        <v>Allow</v>
      </c>
      <c r="S157">
        <f>IF(I157="","",_xlfn.XLOOKUP(I157,Lists!$C:$C,Lists!$I:$I))</f>
        <v>0.0</v>
      </c>
    </row>
    <row r="158" spans="8:8">
      <c r="A158" s="18">
        <v>46184.0</v>
      </c>
      <c r="B158" s="19">
        <v>12.0</v>
      </c>
      <c r="C158">
        <f>_xlfn.XLOOKUP(B158,Lists!B:B,Lists!A:A,"")</f>
        <v>2.0</v>
      </c>
      <c r="D158" s="19" t="s">
        <v>234</v>
      </c>
      <c r="E158" s="19">
        <v>1.0</v>
      </c>
      <c r="F158" s="19">
        <v>160.0</v>
      </c>
      <c r="G158">
        <f t="shared" si="20"/>
        <v>160.0</v>
      </c>
      <c r="H158" s="20">
        <f t="shared" si="21"/>
        <v>1.0</v>
      </c>
      <c r="I158" s="19" t="s">
        <v>63</v>
      </c>
      <c r="J158" t="str">
        <f>IF(I158="","",_xlfn.XLOOKUP(I158,Lists!$C:$C,Lists!$D:$D))</f>
        <v>Acetamiprid [20%]</v>
      </c>
      <c r="K158" s="19" t="s">
        <v>52</v>
      </c>
      <c r="L158" s="19">
        <v>50.0</v>
      </c>
      <c r="M158" s="19">
        <v>900.0</v>
      </c>
      <c r="N158">
        <f>IF(OR(M158="",L158=""),"",(M158*L158)/100000)</f>
        <v>0.45</v>
      </c>
      <c r="O158" t="str">
        <f>IF(I158="","",_xlfn.XLOOKUP(I158,Lists!$C:$C,Lists!$J:$J))</f>
        <v>Kg</v>
      </c>
      <c r="P158">
        <f>IF(I158="","",_xlfn.XLOOKUP(I158,Lists!$C:$C,Lists!$E:$E))</f>
        <v>5.0</v>
      </c>
      <c r="Q158" s="21">
        <f t="shared" si="22"/>
        <v>46190.0</v>
      </c>
      <c r="R158" t="str">
        <f t="shared" si="23"/>
        <v>Allow</v>
      </c>
      <c r="S158" t="str">
        <f>IF(I158="","",_xlfn.XLOOKUP(I158,Lists!$C:$C,Lists!$I:$I))</f>
        <v>On-Label</v>
      </c>
    </row>
    <row r="159" spans="8:8">
      <c r="A159" s="18">
        <v>46184.0</v>
      </c>
      <c r="B159" s="19">
        <v>12.0</v>
      </c>
      <c r="C159">
        <f>_xlfn.XLOOKUP(B159,Lists!B:B,Lists!A:A,"")</f>
        <v>2.0</v>
      </c>
      <c r="D159" s="19" t="s">
        <v>234</v>
      </c>
      <c r="E159" s="19">
        <v>1.0</v>
      </c>
      <c r="F159" s="19">
        <v>160.0</v>
      </c>
      <c r="G159">
        <f t="shared" si="20"/>
        <v>160.0</v>
      </c>
      <c r="H159" s="20">
        <f t="shared" si="21"/>
        <v>1.0</v>
      </c>
      <c r="I159" s="19" t="s">
        <v>241</v>
      </c>
      <c r="J159" t="str">
        <f>IF(I159="","",_xlfn.XLOOKUP(I159,Lists!$C:$C,Lists!$D:$D))</f>
        <v>Lufenuron [5%]</v>
      </c>
      <c r="K159" s="19" t="s">
        <v>52</v>
      </c>
      <c r="L159" s="19">
        <v>50.0</v>
      </c>
      <c r="M159" s="19">
        <v>900.0</v>
      </c>
      <c r="N159">
        <f>IF(OR(M159="",L159=""),"",(M159*L159)/100000)</f>
        <v>0.45</v>
      </c>
      <c r="O159">
        <f>IF(I159="","",_xlfn.XLOOKUP(I159,Lists!$C:$C,Lists!$J:$J))</f>
        <v>0.0</v>
      </c>
      <c r="P159">
        <f>IF(I159="","",_xlfn.XLOOKUP(I159,Lists!$C:$C,Lists!$E:$E))</f>
        <v>0.0</v>
      </c>
      <c r="Q159" s="21">
        <f t="shared" si="22"/>
        <v>46185.0</v>
      </c>
      <c r="R159" t="str">
        <f t="shared" si="23"/>
        <v>Allow</v>
      </c>
      <c r="S159">
        <f>IF(I159="","",_xlfn.XLOOKUP(I159,Lists!$C:$C,Lists!$I:$I))</f>
        <v>0.0</v>
      </c>
    </row>
    <row r="160" spans="8:8" ht="17.45">
      <c r="A160" s="18">
        <v>46184.0</v>
      </c>
      <c r="B160" s="19">
        <v>22.0</v>
      </c>
      <c r="C160">
        <f>_xlfn.XLOOKUP(B160,Lists!B:B,Lists!A:A,"")</f>
        <v>3.0</v>
      </c>
      <c r="D160" s="19" t="s">
        <v>234</v>
      </c>
      <c r="E160" s="19">
        <v>1.0</v>
      </c>
      <c r="F160" s="19">
        <v>160.0</v>
      </c>
      <c r="G160">
        <f t="shared" si="20"/>
        <v>160.0</v>
      </c>
      <c r="H160" s="20">
        <f t="shared" si="21"/>
        <v>1.0</v>
      </c>
      <c r="I160" s="19" t="s">
        <v>26</v>
      </c>
      <c r="J160" t="str">
        <f>IF(I160="","",_xlfn.XLOOKUP(I160,Lists!$C:$C,Lists!$D:$D))</f>
        <v>Pyridalyl [50%]</v>
      </c>
      <c r="K160" s="19" t="s">
        <v>52</v>
      </c>
      <c r="L160" s="19">
        <v>50.0</v>
      </c>
      <c r="M160" s="19">
        <v>900.0</v>
      </c>
      <c r="N160">
        <f>IF(OR(M160="",L160=""),"",(M160*L160)/100000)</f>
        <v>0.45</v>
      </c>
      <c r="O160">
        <f>IF(I160="","",_xlfn.XLOOKUP(I160,Lists!$C:$C,Lists!$J:$J))</f>
        <v>0.0</v>
      </c>
      <c r="P160">
        <f>IF(I160="","",_xlfn.XLOOKUP(I160,Lists!$C:$C,Lists!$E:$E))</f>
        <v>0.0</v>
      </c>
      <c r="Q160" s="21">
        <f t="shared" si="22"/>
        <v>46185.0</v>
      </c>
      <c r="R160" t="str">
        <f t="shared" si="23"/>
        <v>Allow</v>
      </c>
      <c r="S160" t="str">
        <f>IF(I160="","",_xlfn.XLOOKUP(I160,Lists!$C:$C,Lists!$I:$I))</f>
        <v>On-Label</v>
      </c>
    </row>
    <row r="161" spans="8:8" ht="17.45">
      <c r="A161" s="18">
        <v>46184.0</v>
      </c>
      <c r="B161" s="19">
        <v>44.0</v>
      </c>
      <c r="C161">
        <f>_xlfn.XLOOKUP(B161,Lists!B:B,Lists!A:A,"")</f>
        <v>5.0</v>
      </c>
      <c r="D161" s="19" t="s">
        <v>234</v>
      </c>
      <c r="E161" s="19">
        <v>1.0</v>
      </c>
      <c r="F161" s="19">
        <v>160.0</v>
      </c>
      <c r="G161">
        <f t="shared" si="20"/>
        <v>160.0</v>
      </c>
      <c r="H161" s="20">
        <f t="shared" si="21"/>
        <v>1.0</v>
      </c>
      <c r="I161" s="19" t="s">
        <v>26</v>
      </c>
      <c r="J161" t="str">
        <f>IF(I161="","",_xlfn.XLOOKUP(I161,Lists!$C:$C,Lists!$D:$D))</f>
        <v>Pyridalyl [50%]</v>
      </c>
      <c r="K161" s="19" t="s">
        <v>52</v>
      </c>
      <c r="L161" s="19">
        <v>50.0</v>
      </c>
      <c r="M161" s="19">
        <v>900.0</v>
      </c>
      <c r="N161">
        <f>IF(OR(M161="",L161=""),"",(M161*L161)/100000)</f>
        <v>0.45</v>
      </c>
      <c r="O161">
        <f>IF(I161="","",_xlfn.XLOOKUP(I161,Lists!$C:$C,Lists!$J:$J))</f>
        <v>0.0</v>
      </c>
      <c r="P161">
        <f>IF(I161="","",_xlfn.XLOOKUP(I161,Lists!$C:$C,Lists!$E:$E))</f>
        <v>0.0</v>
      </c>
      <c r="Q161" s="21">
        <f t="shared" si="22"/>
        <v>46185.0</v>
      </c>
      <c r="R161" t="str">
        <f t="shared" si="23"/>
        <v>Allow</v>
      </c>
      <c r="S161" t="str">
        <f>IF(I161="","",_xlfn.XLOOKUP(I161,Lists!$C:$C,Lists!$I:$I))</f>
        <v>On-Label</v>
      </c>
    </row>
    <row r="162" spans="8:8" ht="17.45">
      <c r="A162" s="18">
        <v>46184.0</v>
      </c>
      <c r="B162" s="19">
        <v>52.0</v>
      </c>
      <c r="C162">
        <f>_xlfn.XLOOKUP(B162,Lists!B:B,Lists!A:A,"")</f>
        <v>4.0</v>
      </c>
      <c r="D162" s="19" t="s">
        <v>234</v>
      </c>
      <c r="E162" s="19">
        <v>1.0</v>
      </c>
      <c r="F162" s="19">
        <v>160.0</v>
      </c>
      <c r="G162">
        <f t="shared" si="20"/>
        <v>160.0</v>
      </c>
      <c r="H162" s="20">
        <f t="shared" si="21"/>
        <v>1.0</v>
      </c>
      <c r="I162" s="19" t="s">
        <v>26</v>
      </c>
      <c r="J162" t="str">
        <f>IF(I162="","",_xlfn.XLOOKUP(I162,Lists!$C:$C,Lists!$D:$D))</f>
        <v>Pyridalyl [50%]</v>
      </c>
      <c r="K162" s="19" t="s">
        <v>52</v>
      </c>
      <c r="L162" s="19">
        <v>50.0</v>
      </c>
      <c r="M162" s="19">
        <v>900.0</v>
      </c>
      <c r="N162">
        <f>IF(OR(M162="",L162=""),"",(M162*L162)/100000)</f>
        <v>0.45</v>
      </c>
      <c r="O162">
        <f>IF(I162="","",_xlfn.XLOOKUP(I162,Lists!$C:$C,Lists!$J:$J))</f>
        <v>0.0</v>
      </c>
      <c r="P162">
        <f>IF(I162="","",_xlfn.XLOOKUP(I162,Lists!$C:$C,Lists!$E:$E))</f>
        <v>0.0</v>
      </c>
      <c r="Q162" s="21">
        <f t="shared" si="22"/>
        <v>46185.0</v>
      </c>
      <c r="R162" t="str">
        <f t="shared" si="23"/>
        <v>Allow</v>
      </c>
      <c r="S162" t="str">
        <f>IF(I162="","",_xlfn.XLOOKUP(I162,Lists!$C:$C,Lists!$I:$I))</f>
        <v>On-Label</v>
      </c>
    </row>
    <row r="163" spans="8:8" ht="17.45">
      <c r="A163" s="18">
        <v>46184.0</v>
      </c>
      <c r="B163" s="19">
        <v>57.0</v>
      </c>
      <c r="C163">
        <f>_xlfn.XLOOKUP(B163,Lists!B:B,Lists!A:A,"")</f>
        <v>4.0</v>
      </c>
      <c r="D163" s="19" t="s">
        <v>234</v>
      </c>
      <c r="E163" s="19">
        <v>1.0</v>
      </c>
      <c r="F163" s="19">
        <v>160.0</v>
      </c>
      <c r="G163">
        <f t="shared" si="20"/>
        <v>160.0</v>
      </c>
      <c r="H163" s="20">
        <f t="shared" si="21"/>
        <v>1.0</v>
      </c>
      <c r="I163" s="19" t="s">
        <v>26</v>
      </c>
      <c r="J163" t="str">
        <f>IF(I163="","",_xlfn.XLOOKUP(I163,Lists!$C:$C,Lists!$D:$D))</f>
        <v>Pyridalyl [50%]</v>
      </c>
      <c r="K163" s="19" t="s">
        <v>52</v>
      </c>
      <c r="L163" s="19">
        <v>50.0</v>
      </c>
      <c r="M163" s="19">
        <v>900.0</v>
      </c>
      <c r="N163">
        <f>IF(OR(M163="",L163=""),"",(M163*L163)/100000)</f>
        <v>0.45</v>
      </c>
      <c r="O163">
        <f>IF(I163="","",_xlfn.XLOOKUP(I163,Lists!$C:$C,Lists!$J:$J))</f>
        <v>0.0</v>
      </c>
      <c r="P163">
        <f>IF(I163="","",_xlfn.XLOOKUP(I163,Lists!$C:$C,Lists!$E:$E))</f>
        <v>0.0</v>
      </c>
      <c r="Q163" s="21">
        <f t="shared" si="22"/>
        <v>46185.0</v>
      </c>
      <c r="R163" t="str">
        <f t="shared" si="23"/>
        <v>Allow</v>
      </c>
      <c r="S163" t="str">
        <f>IF(I163="","",_xlfn.XLOOKUP(I163,Lists!$C:$C,Lists!$I:$I))</f>
        <v>On-Label</v>
      </c>
    </row>
    <row r="164" spans="8:8">
      <c r="A164" s="18">
        <v>46185.0</v>
      </c>
      <c r="B164" s="19">
        <v>3.0</v>
      </c>
      <c r="C164">
        <f>_xlfn.XLOOKUP(B164,Lists!B:B,Lists!A:A,"")</f>
        <v>1.0</v>
      </c>
      <c r="D164" s="19" t="s">
        <v>234</v>
      </c>
      <c r="E164" s="19">
        <v>1.0</v>
      </c>
      <c r="F164" s="19">
        <v>160.0</v>
      </c>
      <c r="G164">
        <f t="shared" si="20"/>
        <v>160.0</v>
      </c>
      <c r="H164" s="20">
        <f t="shared" si="21"/>
        <v>1.0</v>
      </c>
      <c r="I164" s="19" t="s">
        <v>30</v>
      </c>
      <c r="J164" t="str">
        <f>IF(I164="","",_xlfn.XLOOKUP(I164,Lists!$C:$C,Lists!$D:$D))</f>
        <v>Buprofezin</v>
      </c>
      <c r="K164" s="19" t="s">
        <v>52</v>
      </c>
      <c r="L164" s="19">
        <v>100.0</v>
      </c>
      <c r="M164" s="19">
        <v>900.0</v>
      </c>
      <c r="N164">
        <f>IF(OR(M164="",L164=""),"",(M164*L164)/100000)</f>
        <v>0.9</v>
      </c>
      <c r="O164">
        <f>IF(I164="","",_xlfn.XLOOKUP(I164,Lists!$C:$C,Lists!$J:$J))</f>
        <v>0.0</v>
      </c>
      <c r="P164">
        <f>IF(I164="","",_xlfn.XLOOKUP(I164,Lists!$C:$C,Lists!$E:$E))</f>
        <v>0.0</v>
      </c>
      <c r="Q164" s="21">
        <f t="shared" si="22"/>
        <v>46186.0</v>
      </c>
      <c r="R164" t="str">
        <f t="shared" si="23"/>
        <v>Allow</v>
      </c>
      <c r="S164" t="str">
        <f>IF(I164="","",_xlfn.XLOOKUP(I164,Lists!$C:$C,Lists!$I:$I))</f>
        <v>Off-Label</v>
      </c>
    </row>
    <row r="165" spans="8:8">
      <c r="A165" s="18">
        <v>46185.0</v>
      </c>
      <c r="B165" s="19">
        <v>3.0</v>
      </c>
      <c r="C165">
        <f>_xlfn.XLOOKUP(B165,Lists!B:B,Lists!A:A,"")</f>
        <v>1.0</v>
      </c>
      <c r="D165" s="19" t="s">
        <v>234</v>
      </c>
      <c r="E165" s="19">
        <v>1.0</v>
      </c>
      <c r="F165" s="19">
        <v>160.0</v>
      </c>
      <c r="G165">
        <f t="shared" si="20"/>
        <v>160.0</v>
      </c>
      <c r="H165" s="20">
        <f t="shared" si="21"/>
        <v>1.0</v>
      </c>
      <c r="I165" s="19" t="s">
        <v>170</v>
      </c>
      <c r="J165" t="str">
        <f>IF(I165="","",_xlfn.XLOOKUP(I165,Lists!$C:$C,Lists!$D:$D))</f>
        <v>Spirotetramat (p) [10%]</v>
      </c>
      <c r="K165" s="19" t="s">
        <v>52</v>
      </c>
      <c r="L165" s="19">
        <v>80.0</v>
      </c>
      <c r="M165" s="19">
        <v>900.0</v>
      </c>
      <c r="N165">
        <f>IF(OR(M165="",L165=""),"",(M165*L165)/100000)</f>
        <v>0.72</v>
      </c>
      <c r="O165">
        <f>IF(I165="","",_xlfn.XLOOKUP(I165,Lists!$C:$C,Lists!$J:$J))</f>
        <v>0.0</v>
      </c>
      <c r="P165">
        <f>IF(I165="","",_xlfn.XLOOKUP(I165,Lists!$C:$C,Lists!$E:$E))</f>
        <v>10.0</v>
      </c>
      <c r="Q165" s="21">
        <f t="shared" si="22"/>
        <v>46196.0</v>
      </c>
      <c r="R165" t="str">
        <f t="shared" si="23"/>
        <v>Allow</v>
      </c>
      <c r="S165" t="str">
        <f>IF(I165="","",_xlfn.XLOOKUP(I165,Lists!$C:$C,Lists!$I:$I))</f>
        <v>On-Label</v>
      </c>
    </row>
    <row r="166" spans="8:8">
      <c r="A166" s="18">
        <v>46185.0</v>
      </c>
      <c r="B166" s="19">
        <v>5.0</v>
      </c>
      <c r="C166">
        <f>_xlfn.XLOOKUP(B166,Lists!B:B,Lists!A:A,"")</f>
        <v>1.0</v>
      </c>
      <c r="D166" s="19" t="s">
        <v>234</v>
      </c>
      <c r="E166" s="19">
        <v>1.0</v>
      </c>
      <c r="F166" s="19">
        <v>160.0</v>
      </c>
      <c r="G166">
        <f t="shared" si="20"/>
        <v>160.0</v>
      </c>
      <c r="H166" s="20">
        <f t="shared" si="21"/>
        <v>1.0</v>
      </c>
      <c r="I166" s="19" t="s">
        <v>63</v>
      </c>
      <c r="J166" t="str">
        <f>IF(I166="","",_xlfn.XLOOKUP(I166,Lists!$C:$C,Lists!$D:$D))</f>
        <v>Acetamiprid [20%]</v>
      </c>
      <c r="K166" s="19" t="s">
        <v>52</v>
      </c>
      <c r="L166" s="19">
        <v>50.0</v>
      </c>
      <c r="M166" s="19">
        <v>1200.0</v>
      </c>
      <c r="N166">
        <f>IF(OR(M166="",L166=""),"",(M166*L166)/100000)</f>
        <v>0.6</v>
      </c>
      <c r="O166" t="str">
        <f>IF(I166="","",_xlfn.XLOOKUP(I166,Lists!$C:$C,Lists!$J:$J))</f>
        <v>Kg</v>
      </c>
      <c r="P166">
        <f>IF(I166="","",_xlfn.XLOOKUP(I166,Lists!$C:$C,Lists!$E:$E))</f>
        <v>5.0</v>
      </c>
      <c r="Q166" s="21">
        <f t="shared" si="22"/>
        <v>46191.0</v>
      </c>
      <c r="R166" t="str">
        <f t="shared" si="23"/>
        <v>Allow</v>
      </c>
      <c r="S166" t="str">
        <f>IF(I166="","",_xlfn.XLOOKUP(I166,Lists!$C:$C,Lists!$I:$I))</f>
        <v>On-Label</v>
      </c>
    </row>
    <row r="167" spans="8:8">
      <c r="A167" s="18">
        <v>46185.0</v>
      </c>
      <c r="B167" s="19">
        <v>5.0</v>
      </c>
      <c r="C167">
        <f>_xlfn.XLOOKUP(B167,Lists!B:B,Lists!A:A,"")</f>
        <v>1.0</v>
      </c>
      <c r="D167" s="19" t="s">
        <v>234</v>
      </c>
      <c r="E167" s="19">
        <v>1.0</v>
      </c>
      <c r="F167" s="19">
        <v>160.0</v>
      </c>
      <c r="G167">
        <f t="shared" si="20"/>
        <v>160.0</v>
      </c>
      <c r="H167" s="20">
        <f t="shared" si="21"/>
        <v>1.0</v>
      </c>
      <c r="I167" s="19" t="s">
        <v>241</v>
      </c>
      <c r="J167" t="str">
        <f>IF(I167="","",_xlfn.XLOOKUP(I167,Lists!$C:$C,Lists!$D:$D))</f>
        <v>Lufenuron [5%]</v>
      </c>
      <c r="K167" s="19" t="s">
        <v>52</v>
      </c>
      <c r="L167" s="19">
        <v>50.0</v>
      </c>
      <c r="M167" s="19">
        <v>1200.0</v>
      </c>
      <c r="N167">
        <f>IF(OR(M167="",L167=""),"",(M167*L167)/100000)</f>
        <v>0.6</v>
      </c>
      <c r="O167">
        <f>IF(I167="","",_xlfn.XLOOKUP(I167,Lists!$C:$C,Lists!$J:$J))</f>
        <v>0.0</v>
      </c>
      <c r="P167">
        <f>IF(I167="","",_xlfn.XLOOKUP(I167,Lists!$C:$C,Lists!$E:$E))</f>
        <v>0.0</v>
      </c>
      <c r="Q167" s="21">
        <f t="shared" si="22"/>
        <v>46186.0</v>
      </c>
      <c r="R167" t="str">
        <f t="shared" si="23"/>
        <v>Allow</v>
      </c>
      <c r="S167">
        <f>IF(I167="","",_xlfn.XLOOKUP(I167,Lists!$C:$C,Lists!$I:$I))</f>
        <v>0.0</v>
      </c>
    </row>
    <row r="168" spans="8:8">
      <c r="A168" s="18">
        <v>46185.0</v>
      </c>
      <c r="B168" s="19">
        <v>10.0</v>
      </c>
      <c r="C168">
        <f>_xlfn.XLOOKUP(B168,Lists!B:B,Lists!A:A,"")</f>
        <v>1.0</v>
      </c>
      <c r="D168" s="19" t="s">
        <v>234</v>
      </c>
      <c r="E168" s="19">
        <v>1.0</v>
      </c>
      <c r="F168" s="19">
        <v>160.0</v>
      </c>
      <c r="G168">
        <f t="shared" si="20"/>
        <v>160.0</v>
      </c>
      <c r="H168" s="20">
        <f t="shared" si="21"/>
        <v>1.0</v>
      </c>
      <c r="I168" s="19" t="s">
        <v>63</v>
      </c>
      <c r="J168" t="str">
        <f>IF(I168="","",_xlfn.XLOOKUP(I168,Lists!$C:$C,Lists!$D:$D))</f>
        <v>Acetamiprid [20%]</v>
      </c>
      <c r="K168" s="19" t="s">
        <v>52</v>
      </c>
      <c r="L168" s="19">
        <v>50.0</v>
      </c>
      <c r="M168" s="19">
        <v>1200.0</v>
      </c>
      <c r="N168">
        <f>IF(OR(M168="",L168=""),"",(M168*L168)/100000)</f>
        <v>0.6</v>
      </c>
      <c r="O168" t="str">
        <f>IF(I168="","",_xlfn.XLOOKUP(I168,Lists!$C:$C,Lists!$J:$J))</f>
        <v>Kg</v>
      </c>
      <c r="P168">
        <f>IF(I168="","",_xlfn.XLOOKUP(I168,Lists!$C:$C,Lists!$E:$E))</f>
        <v>5.0</v>
      </c>
      <c r="Q168" s="21">
        <f t="shared" si="22"/>
        <v>46191.0</v>
      </c>
      <c r="R168" t="str">
        <f t="shared" si="23"/>
        <v>Allow</v>
      </c>
      <c r="S168" t="str">
        <f>IF(I168="","",_xlfn.XLOOKUP(I168,Lists!$C:$C,Lists!$I:$I))</f>
        <v>On-Label</v>
      </c>
    </row>
    <row r="169" spans="8:8">
      <c r="A169" s="18">
        <v>46185.0</v>
      </c>
      <c r="B169" s="19">
        <v>10.0</v>
      </c>
      <c r="C169">
        <f>_xlfn.XLOOKUP(B169,Lists!B:B,Lists!A:A,"")</f>
        <v>1.0</v>
      </c>
      <c r="D169" s="19" t="s">
        <v>234</v>
      </c>
      <c r="E169" s="19">
        <v>1.0</v>
      </c>
      <c r="F169" s="19">
        <v>160.0</v>
      </c>
      <c r="G169">
        <f t="shared" si="20"/>
        <v>160.0</v>
      </c>
      <c r="H169" s="20">
        <f t="shared" si="21"/>
        <v>1.0</v>
      </c>
      <c r="I169" s="19" t="s">
        <v>241</v>
      </c>
      <c r="J169" t="str">
        <f>IF(I169="","",_xlfn.XLOOKUP(I169,Lists!$C:$C,Lists!$D:$D))</f>
        <v>Lufenuron [5%]</v>
      </c>
      <c r="K169" s="19" t="s">
        <v>52</v>
      </c>
      <c r="L169" s="19">
        <v>50.0</v>
      </c>
      <c r="M169" s="19">
        <v>1200.0</v>
      </c>
      <c r="N169">
        <f>IF(OR(M169="",L169=""),"",(M169*L169)/100000)</f>
        <v>0.6</v>
      </c>
      <c r="O169">
        <f>IF(I169="","",_xlfn.XLOOKUP(I169,Lists!$C:$C,Lists!$J:$J))</f>
        <v>0.0</v>
      </c>
      <c r="P169">
        <f>IF(I169="","",_xlfn.XLOOKUP(I169,Lists!$C:$C,Lists!$E:$E))</f>
        <v>0.0</v>
      </c>
      <c r="Q169" s="21">
        <f t="shared" si="22"/>
        <v>46186.0</v>
      </c>
      <c r="R169" t="str">
        <f t="shared" si="23"/>
        <v>Allow</v>
      </c>
      <c r="S169">
        <f>IF(I169="","",_xlfn.XLOOKUP(I169,Lists!$C:$C,Lists!$I:$I))</f>
        <v>0.0</v>
      </c>
    </row>
    <row r="170" spans="8:8" ht="17.45">
      <c r="A170" s="18">
        <v>46185.0</v>
      </c>
      <c r="B170" s="19">
        <v>39.0</v>
      </c>
      <c r="C170">
        <f>_xlfn.XLOOKUP(B170,Lists!B:B,Lists!A:A,"")</f>
        <v>5.0</v>
      </c>
      <c r="D170" s="19" t="s">
        <v>234</v>
      </c>
      <c r="E170" s="19">
        <v>1.0</v>
      </c>
      <c r="F170" s="19">
        <v>160.0</v>
      </c>
      <c r="G170">
        <f t="shared" si="20"/>
        <v>160.0</v>
      </c>
      <c r="H170" s="20">
        <f t="shared" si="21"/>
        <v>1.0</v>
      </c>
      <c r="I170" s="19" t="s">
        <v>26</v>
      </c>
      <c r="J170" t="str">
        <f>IF(I170="","",_xlfn.XLOOKUP(I170,Lists!$C:$C,Lists!$D:$D))</f>
        <v>Pyridalyl [50%]</v>
      </c>
      <c r="K170" s="19" t="s">
        <v>52</v>
      </c>
      <c r="L170" s="19">
        <v>50.0</v>
      </c>
      <c r="M170" s="19">
        <v>900.0</v>
      </c>
      <c r="N170">
        <f>IF(OR(M170="",L170=""),"",(M170*L170)/100000)</f>
        <v>0.45</v>
      </c>
      <c r="O170">
        <f>IF(I170="","",_xlfn.XLOOKUP(I170,Lists!$C:$C,Lists!$J:$J))</f>
        <v>0.0</v>
      </c>
      <c r="P170">
        <f>IF(I170="","",_xlfn.XLOOKUP(I170,Lists!$C:$C,Lists!$E:$E))</f>
        <v>0.0</v>
      </c>
      <c r="Q170" s="21">
        <f t="shared" si="22"/>
        <v>46186.0</v>
      </c>
      <c r="R170" t="str">
        <f t="shared" si="23"/>
        <v>Allow</v>
      </c>
      <c r="S170" t="str">
        <f>IF(I170="","",_xlfn.XLOOKUP(I170,Lists!$C:$C,Lists!$I:$I))</f>
        <v>On-Label</v>
      </c>
    </row>
    <row r="171" spans="8:8" ht="17.45">
      <c r="A171" s="18">
        <v>46185.0</v>
      </c>
      <c r="B171" s="19">
        <v>64.0</v>
      </c>
      <c r="C171">
        <f>_xlfn.XLOOKUP(B171,Lists!B:B,Lists!A:A,"")</f>
        <v>4.0</v>
      </c>
      <c r="D171" s="19" t="s">
        <v>234</v>
      </c>
      <c r="E171" s="19">
        <v>1.0</v>
      </c>
      <c r="F171" s="19">
        <v>160.0</v>
      </c>
      <c r="G171">
        <f t="shared" si="20"/>
        <v>160.0</v>
      </c>
      <c r="H171" s="20">
        <f t="shared" si="21"/>
        <v>1.0</v>
      </c>
      <c r="I171" s="19" t="s">
        <v>26</v>
      </c>
      <c r="J171" t="str">
        <f>IF(I171="","",_xlfn.XLOOKUP(I171,Lists!$C:$C,Lists!$D:$D))</f>
        <v>Pyridalyl [50%]</v>
      </c>
      <c r="K171" s="19" t="s">
        <v>52</v>
      </c>
      <c r="L171" s="19">
        <v>50.0</v>
      </c>
      <c r="M171" s="19">
        <v>900.0</v>
      </c>
      <c r="N171">
        <f>IF(OR(M171="",L171=""),"",(M171*L171)/100000)</f>
        <v>0.45</v>
      </c>
      <c r="O171">
        <f>IF(I171="","",_xlfn.XLOOKUP(I171,Lists!$C:$C,Lists!$J:$J))</f>
        <v>0.0</v>
      </c>
      <c r="P171">
        <f>IF(I171="","",_xlfn.XLOOKUP(I171,Lists!$C:$C,Lists!$E:$E))</f>
        <v>0.0</v>
      </c>
      <c r="Q171" s="21">
        <f t="shared" si="22"/>
        <v>46186.0</v>
      </c>
      <c r="R171" t="str">
        <f t="shared" si="23"/>
        <v>Allow</v>
      </c>
      <c r="S171" t="str">
        <f>IF(I171="","",_xlfn.XLOOKUP(I171,Lists!$C:$C,Lists!$I:$I))</f>
        <v>On-Label</v>
      </c>
    </row>
    <row r="172" spans="8:8">
      <c r="A172" s="18">
        <v>46186.0</v>
      </c>
      <c r="B172" s="19">
        <v>4.0</v>
      </c>
      <c r="C172">
        <f>_xlfn.XLOOKUP(B172,Lists!B:B,Lists!A:A,"")</f>
        <v>1.0</v>
      </c>
      <c r="D172" s="19" t="s">
        <v>234</v>
      </c>
      <c r="E172" s="19">
        <v>1.0</v>
      </c>
      <c r="F172" s="19">
        <v>160.0</v>
      </c>
      <c r="G172">
        <f t="shared" si="20"/>
        <v>160.0</v>
      </c>
      <c r="H172" s="20">
        <f t="shared" si="21"/>
        <v>1.0</v>
      </c>
      <c r="I172" s="19" t="s">
        <v>63</v>
      </c>
      <c r="J172" t="str">
        <f>IF(I172="","",_xlfn.XLOOKUP(I172,Lists!$C:$C,Lists!$D:$D))</f>
        <v>Acetamiprid [20%]</v>
      </c>
      <c r="K172" s="19" t="s">
        <v>52</v>
      </c>
      <c r="L172" s="19">
        <v>50.0</v>
      </c>
      <c r="M172" s="19">
        <v>1200.0</v>
      </c>
      <c r="N172">
        <f>IF(OR(M172="",L172=""),"",(M172*L172)/100000)</f>
        <v>0.6</v>
      </c>
      <c r="O172" t="str">
        <f>IF(I172="","",_xlfn.XLOOKUP(I172,Lists!$C:$C,Lists!$J:$J))</f>
        <v>Kg</v>
      </c>
      <c r="P172">
        <f>IF(I172="","",_xlfn.XLOOKUP(I172,Lists!$C:$C,Lists!$E:$E))</f>
        <v>5.0</v>
      </c>
      <c r="Q172" s="21">
        <f t="shared" si="22"/>
        <v>46192.0</v>
      </c>
      <c r="R172" t="str">
        <f t="shared" si="23"/>
        <v>Allow</v>
      </c>
      <c r="S172" t="str">
        <f>IF(I172="","",_xlfn.XLOOKUP(I172,Lists!$C:$C,Lists!$I:$I))</f>
        <v>On-Label</v>
      </c>
    </row>
    <row r="173" spans="8:8">
      <c r="A173" s="18">
        <v>46186.0</v>
      </c>
      <c r="B173" s="19">
        <v>4.0</v>
      </c>
      <c r="C173">
        <f>_xlfn.XLOOKUP(B173,Lists!B:B,Lists!A:A,"")</f>
        <v>1.0</v>
      </c>
      <c r="D173" s="19" t="s">
        <v>234</v>
      </c>
      <c r="E173" s="19">
        <v>1.0</v>
      </c>
      <c r="F173" s="19">
        <v>160.0</v>
      </c>
      <c r="G173">
        <f t="shared" si="20"/>
        <v>160.0</v>
      </c>
      <c r="H173" s="20">
        <f t="shared" si="21"/>
        <v>1.0</v>
      </c>
      <c r="I173" s="19" t="s">
        <v>241</v>
      </c>
      <c r="J173" t="str">
        <f>IF(I173="","",_xlfn.XLOOKUP(I173,Lists!$C:$C,Lists!$D:$D))</f>
        <v>Lufenuron [5%]</v>
      </c>
      <c r="K173" s="19" t="s">
        <v>52</v>
      </c>
      <c r="L173" s="19">
        <v>50.0</v>
      </c>
      <c r="M173" s="19">
        <v>1200.0</v>
      </c>
      <c r="N173">
        <f>IF(OR(M173="",L173=""),"",(M173*L173)/100000)</f>
        <v>0.6</v>
      </c>
      <c r="O173">
        <f>IF(I173="","",_xlfn.XLOOKUP(I173,Lists!$C:$C,Lists!$J:$J))</f>
        <v>0.0</v>
      </c>
      <c r="P173">
        <f>IF(I173="","",_xlfn.XLOOKUP(I173,Lists!$C:$C,Lists!$E:$E))</f>
        <v>0.0</v>
      </c>
      <c r="Q173" s="21">
        <f t="shared" si="22"/>
        <v>46187.0</v>
      </c>
      <c r="R173" t="str">
        <f t="shared" si="23"/>
        <v>Allow</v>
      </c>
      <c r="S173">
        <f>IF(I173="","",_xlfn.XLOOKUP(I173,Lists!$C:$C,Lists!$I:$I))</f>
        <v>0.0</v>
      </c>
    </row>
    <row r="174" spans="8:8" ht="17.45">
      <c r="A174" s="18">
        <v>46186.0</v>
      </c>
      <c r="B174" s="19">
        <v>21.0</v>
      </c>
      <c r="C174">
        <f>_xlfn.XLOOKUP(B174,Lists!B:B,Lists!A:A,"")</f>
        <v>3.0</v>
      </c>
      <c r="D174" s="19" t="s">
        <v>234</v>
      </c>
      <c r="E174" s="19">
        <v>1.0</v>
      </c>
      <c r="F174" s="19">
        <v>160.0</v>
      </c>
      <c r="G174">
        <f t="shared" si="20"/>
        <v>160.0</v>
      </c>
      <c r="H174" s="20">
        <f t="shared" si="21"/>
        <v>1.0</v>
      </c>
      <c r="I174" s="19" t="s">
        <v>26</v>
      </c>
      <c r="J174" t="str">
        <f>IF(I174="","",_xlfn.XLOOKUP(I174,Lists!$C:$C,Lists!$D:$D))</f>
        <v>Pyridalyl [50%]</v>
      </c>
      <c r="K174" s="19" t="s">
        <v>52</v>
      </c>
      <c r="L174" s="19">
        <v>50.0</v>
      </c>
      <c r="M174" s="19">
        <v>900.0</v>
      </c>
      <c r="N174">
        <f>IF(OR(M174="",L174=""),"",(M174*L174)/100000)</f>
        <v>0.45</v>
      </c>
      <c r="O174">
        <f>IF(I174="","",_xlfn.XLOOKUP(I174,Lists!$C:$C,Lists!$J:$J))</f>
        <v>0.0</v>
      </c>
      <c r="P174">
        <f>IF(I174="","",_xlfn.XLOOKUP(I174,Lists!$C:$C,Lists!$E:$E))</f>
        <v>0.0</v>
      </c>
      <c r="Q174" s="21">
        <f t="shared" si="22"/>
        <v>46187.0</v>
      </c>
      <c r="R174" t="str">
        <f t="shared" si="23"/>
        <v>Allow</v>
      </c>
      <c r="S174" t="str">
        <f>IF(I174="","",_xlfn.XLOOKUP(I174,Lists!$C:$C,Lists!$I:$I))</f>
        <v>On-Label</v>
      </c>
    </row>
    <row r="175" spans="8:8">
      <c r="A175" s="18">
        <v>46186.0</v>
      </c>
      <c r="B175" s="19">
        <v>23.0</v>
      </c>
      <c r="C175">
        <f>_xlfn.XLOOKUP(B175,Lists!B:B,Lists!A:A,"")</f>
        <v>3.0</v>
      </c>
      <c r="D175" s="19" t="s">
        <v>234</v>
      </c>
      <c r="E175" s="19">
        <v>1.0</v>
      </c>
      <c r="F175" s="19">
        <v>160.0</v>
      </c>
      <c r="G175">
        <f t="shared" si="20"/>
        <v>160.0</v>
      </c>
      <c r="H175" s="20">
        <f t="shared" si="21"/>
        <v>1.0</v>
      </c>
      <c r="I175" s="19" t="s">
        <v>241</v>
      </c>
      <c r="J175" t="str">
        <f>IF(I175="","",_xlfn.XLOOKUP(I175,Lists!$C:$C,Lists!$D:$D))</f>
        <v>Lufenuron [5%]</v>
      </c>
      <c r="K175" s="19" t="s">
        <v>52</v>
      </c>
      <c r="L175" s="19">
        <v>50.0</v>
      </c>
      <c r="M175" s="19">
        <v>1200.0</v>
      </c>
      <c r="N175">
        <f>IF(OR(M175="",L175=""),"",(M175*L175)/100000)</f>
        <v>0.6</v>
      </c>
      <c r="O175">
        <f>IF(I175="","",_xlfn.XLOOKUP(I175,Lists!$C:$C,Lists!$J:$J))</f>
        <v>0.0</v>
      </c>
      <c r="P175">
        <f>IF(I175="","",_xlfn.XLOOKUP(I175,Lists!$C:$C,Lists!$E:$E))</f>
        <v>0.0</v>
      </c>
      <c r="Q175" s="21">
        <f t="shared" si="22"/>
        <v>46187.0</v>
      </c>
      <c r="R175" t="str">
        <f t="shared" si="23"/>
        <v>Allow</v>
      </c>
      <c r="S175">
        <f>IF(I175="","",_xlfn.XLOOKUP(I175,Lists!$C:$C,Lists!$I:$I))</f>
        <v>0.0</v>
      </c>
    </row>
    <row r="176" spans="8:8">
      <c r="A176" s="18">
        <v>46186.0</v>
      </c>
      <c r="B176" s="19">
        <v>23.0</v>
      </c>
      <c r="C176">
        <f>_xlfn.XLOOKUP(B176,Lists!B:B,Lists!A:A,"")</f>
        <v>3.0</v>
      </c>
      <c r="D176" s="19" t="s">
        <v>234</v>
      </c>
      <c r="E176" s="19">
        <v>1.0</v>
      </c>
      <c r="F176" s="19">
        <v>160.0</v>
      </c>
      <c r="G176">
        <f t="shared" si="20"/>
        <v>160.0</v>
      </c>
      <c r="H176" s="20">
        <f t="shared" si="21"/>
        <v>1.0</v>
      </c>
      <c r="I176" s="19" t="s">
        <v>63</v>
      </c>
      <c r="J176" t="str">
        <f>IF(I176="","",_xlfn.XLOOKUP(I176,Lists!$C:$C,Lists!$D:$D))</f>
        <v>Acetamiprid [20%]</v>
      </c>
      <c r="K176" s="19" t="s">
        <v>52</v>
      </c>
      <c r="L176" s="19">
        <v>50.0</v>
      </c>
      <c r="M176" s="19">
        <v>1200.0</v>
      </c>
      <c r="N176">
        <f>IF(OR(M176="",L176=""),"",(M176*L176)/100000)</f>
        <v>0.6</v>
      </c>
      <c r="O176" t="str">
        <f>IF(I176="","",_xlfn.XLOOKUP(I176,Lists!$C:$C,Lists!$J:$J))</f>
        <v>Kg</v>
      </c>
      <c r="P176">
        <f>IF(I176="","",_xlfn.XLOOKUP(I176,Lists!$C:$C,Lists!$E:$E))</f>
        <v>5.0</v>
      </c>
      <c r="Q176" s="21">
        <f t="shared" si="22"/>
        <v>46192.0</v>
      </c>
      <c r="R176" t="str">
        <f t="shared" si="23"/>
        <v>Allow</v>
      </c>
      <c r="S176" t="str">
        <f>IF(I176="","",_xlfn.XLOOKUP(I176,Lists!$C:$C,Lists!$I:$I))</f>
        <v>On-Label</v>
      </c>
    </row>
    <row r="177" spans="8:8" ht="17.45">
      <c r="A177" s="18">
        <v>46186.0</v>
      </c>
      <c r="B177" s="19">
        <v>56.0</v>
      </c>
      <c r="C177">
        <f>_xlfn.XLOOKUP(B177,Lists!B:B,Lists!A:A,"")</f>
        <v>4.0</v>
      </c>
      <c r="D177" s="19" t="s">
        <v>234</v>
      </c>
      <c r="E177" s="19">
        <v>1.0</v>
      </c>
      <c r="F177" s="19">
        <v>160.0</v>
      </c>
      <c r="G177">
        <f t="shared" si="20"/>
        <v>160.0</v>
      </c>
      <c r="H177" s="20">
        <f t="shared" si="21"/>
        <v>1.0</v>
      </c>
      <c r="I177" s="19" t="s">
        <v>26</v>
      </c>
      <c r="J177" t="str">
        <f>IF(I177="","",_xlfn.XLOOKUP(I177,Lists!$C:$C,Lists!$D:$D))</f>
        <v>Pyridalyl [50%]</v>
      </c>
      <c r="K177" s="19" t="s">
        <v>52</v>
      </c>
      <c r="L177" s="19">
        <v>50.0</v>
      </c>
      <c r="M177" s="19">
        <v>900.0</v>
      </c>
      <c r="N177">
        <f>IF(OR(M177="",L177=""),"",(M177*L177)/100000)</f>
        <v>0.45</v>
      </c>
      <c r="O177">
        <f>IF(I177="","",_xlfn.XLOOKUP(I177,Lists!$C:$C,Lists!$J:$J))</f>
        <v>0.0</v>
      </c>
      <c r="P177">
        <f>IF(I177="","",_xlfn.XLOOKUP(I177,Lists!$C:$C,Lists!$E:$E))</f>
        <v>0.0</v>
      </c>
      <c r="Q177" s="21">
        <f t="shared" si="22"/>
        <v>46187.0</v>
      </c>
      <c r="R177" t="str">
        <f t="shared" si="23"/>
        <v>Allow</v>
      </c>
      <c r="S177" t="str">
        <f>IF(I177="","",_xlfn.XLOOKUP(I177,Lists!$C:$C,Lists!$I:$I))</f>
        <v>On-Label</v>
      </c>
    </row>
    <row r="178" spans="8:8" ht="17.45">
      <c r="A178" s="18">
        <v>46186.0</v>
      </c>
      <c r="B178" s="19">
        <v>58.0</v>
      </c>
      <c r="C178">
        <f>_xlfn.XLOOKUP(B178,Lists!B:B,Lists!A:A,"")</f>
        <v>4.0</v>
      </c>
      <c r="D178" s="19" t="s">
        <v>234</v>
      </c>
      <c r="E178" s="19">
        <v>1.0</v>
      </c>
      <c r="F178" s="19">
        <v>160.0</v>
      </c>
      <c r="G178">
        <f t="shared" si="20"/>
        <v>160.0</v>
      </c>
      <c r="H178" s="20">
        <f t="shared" si="21"/>
        <v>1.0</v>
      </c>
      <c r="I178" s="19" t="s">
        <v>26</v>
      </c>
      <c r="J178" t="str">
        <f>IF(I178="","",_xlfn.XLOOKUP(I178,Lists!$C:$C,Lists!$D:$D))</f>
        <v>Pyridalyl [50%]</v>
      </c>
      <c r="K178" s="19" t="s">
        <v>52</v>
      </c>
      <c r="L178" s="19">
        <v>50.0</v>
      </c>
      <c r="M178" s="19">
        <v>900.0</v>
      </c>
      <c r="N178">
        <f>IF(OR(M178="",L178=""),"",(M178*L178)/100000)</f>
        <v>0.45</v>
      </c>
      <c r="O178">
        <f>IF(I178="","",_xlfn.XLOOKUP(I178,Lists!$C:$C,Lists!$J:$J))</f>
        <v>0.0</v>
      </c>
      <c r="P178">
        <f>IF(I178="","",_xlfn.XLOOKUP(I178,Lists!$C:$C,Lists!$E:$E))</f>
        <v>0.0</v>
      </c>
      <c r="Q178" s="21">
        <f t="shared" si="22"/>
        <v>46187.0</v>
      </c>
      <c r="R178" t="str">
        <f t="shared" si="23"/>
        <v>Allow</v>
      </c>
      <c r="S178" t="str">
        <f>IF(I178="","",_xlfn.XLOOKUP(I178,Lists!$C:$C,Lists!$I:$I))</f>
        <v>On-Label</v>
      </c>
    </row>
    <row r="179" spans="8:8" ht="17.45">
      <c r="A179" s="18">
        <v>46186.0</v>
      </c>
      <c r="B179" s="19">
        <v>62.0</v>
      </c>
      <c r="C179">
        <f>_xlfn.XLOOKUP(B179,Lists!B:B,Lists!A:A,"")</f>
        <v>4.0</v>
      </c>
      <c r="D179" s="19" t="s">
        <v>234</v>
      </c>
      <c r="E179" s="19">
        <v>1.0</v>
      </c>
      <c r="F179" s="19">
        <v>160.0</v>
      </c>
      <c r="G179">
        <f t="shared" si="20"/>
        <v>160.0</v>
      </c>
      <c r="H179" s="20">
        <f t="shared" si="21"/>
        <v>1.0</v>
      </c>
      <c r="I179" s="19" t="s">
        <v>26</v>
      </c>
      <c r="J179" t="str">
        <f>IF(I179="","",_xlfn.XLOOKUP(I179,Lists!$C:$C,Lists!$D:$D))</f>
        <v>Pyridalyl [50%]</v>
      </c>
      <c r="K179" s="19" t="s">
        <v>52</v>
      </c>
      <c r="L179" s="19">
        <v>50.0</v>
      </c>
      <c r="M179" s="19">
        <v>900.0</v>
      </c>
      <c r="N179">
        <f>IF(OR(M179="",L179=""),"",(M179*L179)/100000)</f>
        <v>0.45</v>
      </c>
      <c r="O179">
        <f>IF(I179="","",_xlfn.XLOOKUP(I179,Lists!$C:$C,Lists!$J:$J))</f>
        <v>0.0</v>
      </c>
      <c r="P179">
        <f>IF(I179="","",_xlfn.XLOOKUP(I179,Lists!$C:$C,Lists!$E:$E))</f>
        <v>0.0</v>
      </c>
      <c r="Q179" s="21">
        <f t="shared" si="22"/>
        <v>46187.0</v>
      </c>
      <c r="R179" t="str">
        <f t="shared" si="23"/>
        <v>Allow</v>
      </c>
      <c r="S179" t="str">
        <f>IF(I179="","",_xlfn.XLOOKUP(I179,Lists!$C:$C,Lists!$I:$I))</f>
        <v>On-Label</v>
      </c>
    </row>
    <row r="180" spans="8:8" ht="17.45">
      <c r="A180" s="18">
        <v>46186.0</v>
      </c>
      <c r="B180" s="19">
        <v>63.0</v>
      </c>
      <c r="C180">
        <f>_xlfn.XLOOKUP(B180,Lists!B:B,Lists!A:A,"")</f>
        <v>4.0</v>
      </c>
      <c r="D180" s="19" t="s">
        <v>234</v>
      </c>
      <c r="E180" s="19">
        <v>1.0</v>
      </c>
      <c r="F180" s="19">
        <v>160.0</v>
      </c>
      <c r="G180">
        <f t="shared" si="20"/>
        <v>160.0</v>
      </c>
      <c r="H180" s="20">
        <f t="shared" si="21"/>
        <v>1.0</v>
      </c>
      <c r="I180" s="19" t="s">
        <v>26</v>
      </c>
      <c r="J180" t="str">
        <f>IF(I180="","",_xlfn.XLOOKUP(I180,Lists!$C:$C,Lists!$D:$D))</f>
        <v>Pyridalyl [50%]</v>
      </c>
      <c r="K180" s="19" t="s">
        <v>52</v>
      </c>
      <c r="L180" s="19">
        <v>50.0</v>
      </c>
      <c r="M180" s="19">
        <v>900.0</v>
      </c>
      <c r="N180">
        <f>IF(OR(M180="",L180=""),"",(M180*L180)/100000)</f>
        <v>0.45</v>
      </c>
      <c r="O180">
        <f>IF(I180="","",_xlfn.XLOOKUP(I180,Lists!$C:$C,Lists!$J:$J))</f>
        <v>0.0</v>
      </c>
      <c r="P180">
        <f>IF(I180="","",_xlfn.XLOOKUP(I180,Lists!$C:$C,Lists!$E:$E))</f>
        <v>0.0</v>
      </c>
      <c r="Q180" s="21">
        <f t="shared" si="22"/>
        <v>46187.0</v>
      </c>
      <c r="R180" t="str">
        <f t="shared" si="23"/>
        <v>Allow</v>
      </c>
      <c r="S180" t="str">
        <f>IF(I180="","",_xlfn.XLOOKUP(I180,Lists!$C:$C,Lists!$I:$I))</f>
        <v>On-Label</v>
      </c>
    </row>
    <row r="181" spans="8:8">
      <c r="A181" s="18">
        <v>46187.0</v>
      </c>
      <c r="B181" s="19">
        <v>2.0</v>
      </c>
      <c r="C181">
        <f>_xlfn.XLOOKUP(B181,Lists!B:B,Lists!A:A,"")</f>
        <v>1.0</v>
      </c>
      <c r="D181" s="19" t="s">
        <v>234</v>
      </c>
      <c r="E181" s="19">
        <v>1.0</v>
      </c>
      <c r="F181" s="19">
        <v>160.0</v>
      </c>
      <c r="G181">
        <f t="shared" si="20"/>
        <v>160.0</v>
      </c>
      <c r="H181" s="20">
        <f t="shared" si="21"/>
        <v>1.0</v>
      </c>
      <c r="I181" s="19" t="s">
        <v>241</v>
      </c>
      <c r="J181" t="str">
        <f>IF(I181="","",_xlfn.XLOOKUP(I181,Lists!$C:$C,Lists!$D:$D))</f>
        <v>Lufenuron [5%]</v>
      </c>
      <c r="K181" s="19" t="s">
        <v>52</v>
      </c>
      <c r="L181" s="19">
        <v>50.0</v>
      </c>
      <c r="M181" s="19">
        <v>1200.0</v>
      </c>
      <c r="N181">
        <f>IF(OR(M181="",L181=""),"",(M181*L181)/100000)</f>
        <v>0.6</v>
      </c>
      <c r="O181">
        <f>IF(I181="","",_xlfn.XLOOKUP(I181,Lists!$C:$C,Lists!$J:$J))</f>
        <v>0.0</v>
      </c>
      <c r="P181">
        <f>IF(I181="","",_xlfn.XLOOKUP(I181,Lists!$C:$C,Lists!$E:$E))</f>
        <v>0.0</v>
      </c>
      <c r="Q181" s="21">
        <f t="shared" si="22"/>
        <v>46188.0</v>
      </c>
      <c r="R181" t="str">
        <f t="shared" si="23"/>
        <v>Allow</v>
      </c>
      <c r="S181">
        <f>IF(I181="","",_xlfn.XLOOKUP(I181,Lists!$C:$C,Lists!$I:$I))</f>
        <v>0.0</v>
      </c>
    </row>
    <row r="182" spans="8:8">
      <c r="A182" s="18">
        <v>46187.0</v>
      </c>
      <c r="B182" s="19">
        <v>2.0</v>
      </c>
      <c r="C182">
        <f>_xlfn.XLOOKUP(B182,Lists!B:B,Lists!A:A,"")</f>
        <v>1.0</v>
      </c>
      <c r="D182" s="19" t="s">
        <v>234</v>
      </c>
      <c r="E182" s="19">
        <v>1.0</v>
      </c>
      <c r="F182" s="19">
        <v>160.0</v>
      </c>
      <c r="G182">
        <f t="shared" si="20"/>
        <v>160.0</v>
      </c>
      <c r="H182" s="20">
        <f t="shared" si="21"/>
        <v>1.0</v>
      </c>
      <c r="I182" s="19" t="s">
        <v>63</v>
      </c>
      <c r="J182" t="str">
        <f>IF(I182="","",_xlfn.XLOOKUP(I182,Lists!$C:$C,Lists!$D:$D))</f>
        <v>Acetamiprid [20%]</v>
      </c>
      <c r="K182" s="19" t="s">
        <v>52</v>
      </c>
      <c r="L182" s="19">
        <v>50.0</v>
      </c>
      <c r="M182" s="19">
        <v>1200.0</v>
      </c>
      <c r="N182">
        <f>IF(OR(M182="",L182=""),"",(M182*L182)/100000)</f>
        <v>0.6</v>
      </c>
      <c r="O182" t="str">
        <f>IF(I182="","",_xlfn.XLOOKUP(I182,Lists!$C:$C,Lists!$J:$J))</f>
        <v>Kg</v>
      </c>
      <c r="P182">
        <f>IF(I182="","",_xlfn.XLOOKUP(I182,Lists!$C:$C,Lists!$E:$E))</f>
        <v>5.0</v>
      </c>
      <c r="Q182" s="21">
        <f t="shared" si="22"/>
        <v>46193.0</v>
      </c>
      <c r="R182" t="str">
        <f t="shared" si="23"/>
        <v>Allow</v>
      </c>
      <c r="S182" t="str">
        <f>IF(I182="","",_xlfn.XLOOKUP(I182,Lists!$C:$C,Lists!$I:$I))</f>
        <v>On-Label</v>
      </c>
    </row>
    <row r="183" spans="8:8">
      <c r="A183" s="18">
        <v>46187.0</v>
      </c>
      <c r="B183" s="19">
        <v>6.0</v>
      </c>
      <c r="C183">
        <f>_xlfn.XLOOKUP(B183,Lists!B:B,Lists!A:A,"")</f>
        <v>1.0</v>
      </c>
      <c r="D183" s="19" t="s">
        <v>234</v>
      </c>
      <c r="E183" s="19">
        <v>1.0</v>
      </c>
      <c r="F183" s="19">
        <v>160.0</v>
      </c>
      <c r="G183">
        <f t="shared" si="20"/>
        <v>160.0</v>
      </c>
      <c r="H183" s="20">
        <f t="shared" si="21"/>
        <v>1.0</v>
      </c>
      <c r="I183" s="19" t="s">
        <v>241</v>
      </c>
      <c r="J183" t="str">
        <f>IF(I183="","",_xlfn.XLOOKUP(I183,Lists!$C:$C,Lists!$D:$D))</f>
        <v>Lufenuron [5%]</v>
      </c>
      <c r="K183" s="19" t="s">
        <v>52</v>
      </c>
      <c r="L183" s="19">
        <v>50.0</v>
      </c>
      <c r="M183" s="19">
        <v>1200.0</v>
      </c>
      <c r="N183">
        <f>IF(OR(M183="",L183=""),"",(M183*L183)/100000)</f>
        <v>0.6</v>
      </c>
      <c r="O183">
        <f>IF(I183="","",_xlfn.XLOOKUP(I183,Lists!$C:$C,Lists!$J:$J))</f>
        <v>0.0</v>
      </c>
      <c r="P183">
        <f>IF(I183="","",_xlfn.XLOOKUP(I183,Lists!$C:$C,Lists!$E:$E))</f>
        <v>0.0</v>
      </c>
      <c r="Q183" s="21">
        <f t="shared" si="22"/>
        <v>46188.0</v>
      </c>
      <c r="R183" t="str">
        <f t="shared" si="23"/>
        <v>Allow</v>
      </c>
      <c r="S183">
        <f>IF(I183="","",_xlfn.XLOOKUP(I183,Lists!$C:$C,Lists!$I:$I))</f>
        <v>0.0</v>
      </c>
    </row>
    <row r="184" spans="8:8">
      <c r="A184" s="18">
        <v>46187.0</v>
      </c>
      <c r="B184" s="19">
        <v>6.0</v>
      </c>
      <c r="C184">
        <f>_xlfn.XLOOKUP(B184,Lists!B:B,Lists!A:A,"")</f>
        <v>1.0</v>
      </c>
      <c r="D184" s="19" t="s">
        <v>234</v>
      </c>
      <c r="E184" s="19">
        <v>1.0</v>
      </c>
      <c r="F184" s="19">
        <v>160.0</v>
      </c>
      <c r="G184">
        <f t="shared" si="20"/>
        <v>160.0</v>
      </c>
      <c r="H184" s="20">
        <f t="shared" si="21"/>
        <v>1.0</v>
      </c>
      <c r="I184" s="19" t="s">
        <v>63</v>
      </c>
      <c r="J184" t="str">
        <f>IF(I184="","",_xlfn.XLOOKUP(I184,Lists!$C:$C,Lists!$D:$D))</f>
        <v>Acetamiprid [20%]</v>
      </c>
      <c r="K184" s="19" t="s">
        <v>52</v>
      </c>
      <c r="L184" s="19">
        <v>50.0</v>
      </c>
      <c r="M184" s="19">
        <v>1200.0</v>
      </c>
      <c r="N184">
        <f>IF(OR(M184="",L184=""),"",(M184*L184)/100000)</f>
        <v>0.6</v>
      </c>
      <c r="O184" t="str">
        <f>IF(I184="","",_xlfn.XLOOKUP(I184,Lists!$C:$C,Lists!$J:$J))</f>
        <v>Kg</v>
      </c>
      <c r="P184">
        <f>IF(I184="","",_xlfn.XLOOKUP(I184,Lists!$C:$C,Lists!$E:$E))</f>
        <v>5.0</v>
      </c>
      <c r="Q184" s="21">
        <f t="shared" si="22"/>
        <v>46193.0</v>
      </c>
      <c r="R184" t="str">
        <f t="shared" si="23"/>
        <v>Allow</v>
      </c>
      <c r="S184" t="str">
        <f>IF(I184="","",_xlfn.XLOOKUP(I184,Lists!$C:$C,Lists!$I:$I))</f>
        <v>On-Label</v>
      </c>
    </row>
    <row r="185" spans="8:8">
      <c r="A185" s="18">
        <v>46187.0</v>
      </c>
      <c r="B185" s="19">
        <v>14.0</v>
      </c>
      <c r="C185">
        <f>_xlfn.XLOOKUP(B185,Lists!B:B,Lists!A:A,"")</f>
        <v>2.0</v>
      </c>
      <c r="D185" s="19" t="s">
        <v>234</v>
      </c>
      <c r="E185" s="19">
        <v>1.0</v>
      </c>
      <c r="F185" s="19">
        <v>160.0</v>
      </c>
      <c r="G185">
        <f t="shared" si="20"/>
        <v>160.0</v>
      </c>
      <c r="H185" s="20">
        <f t="shared" si="21"/>
        <v>1.0</v>
      </c>
      <c r="I185" s="19" t="s">
        <v>241</v>
      </c>
      <c r="J185" t="str">
        <f>IF(I185="","",_xlfn.XLOOKUP(I185,Lists!$C:$C,Lists!$D:$D))</f>
        <v>Lufenuron [5%]</v>
      </c>
      <c r="K185" s="19" t="s">
        <v>52</v>
      </c>
      <c r="L185" s="19">
        <v>50.0</v>
      </c>
      <c r="M185" s="19">
        <v>1200.0</v>
      </c>
      <c r="N185">
        <f>IF(OR(M185="",L185=""),"",(M185*L185)/100000)</f>
        <v>0.6</v>
      </c>
      <c r="O185">
        <f>IF(I185="","",_xlfn.XLOOKUP(I185,Lists!$C:$C,Lists!$J:$J))</f>
        <v>0.0</v>
      </c>
      <c r="P185">
        <f>IF(I185="","",_xlfn.XLOOKUP(I185,Lists!$C:$C,Lists!$E:$E))</f>
        <v>0.0</v>
      </c>
      <c r="Q185" s="21">
        <f t="shared" si="22"/>
        <v>46188.0</v>
      </c>
      <c r="R185" t="str">
        <f t="shared" si="23"/>
        <v>Allow</v>
      </c>
      <c r="S185">
        <f>IF(I185="","",_xlfn.XLOOKUP(I185,Lists!$C:$C,Lists!$I:$I))</f>
        <v>0.0</v>
      </c>
    </row>
    <row r="186" spans="8:8">
      <c r="A186" s="18">
        <v>46187.0</v>
      </c>
      <c r="B186" s="19">
        <v>14.0</v>
      </c>
      <c r="C186">
        <f>_xlfn.XLOOKUP(B186,Lists!B:B,Lists!A:A,"")</f>
        <v>2.0</v>
      </c>
      <c r="D186" s="19" t="s">
        <v>234</v>
      </c>
      <c r="E186" s="19">
        <v>1.0</v>
      </c>
      <c r="F186" s="19">
        <v>160.0</v>
      </c>
      <c r="G186">
        <f t="shared" si="20"/>
        <v>160.0</v>
      </c>
      <c r="H186" s="20">
        <f t="shared" si="21"/>
        <v>1.0</v>
      </c>
      <c r="I186" s="19" t="s">
        <v>63</v>
      </c>
      <c r="J186" t="str">
        <f>IF(I186="","",_xlfn.XLOOKUP(I186,Lists!$C:$C,Lists!$D:$D))</f>
        <v>Acetamiprid [20%]</v>
      </c>
      <c r="K186" s="19" t="s">
        <v>52</v>
      </c>
      <c r="L186" s="19">
        <v>50.0</v>
      </c>
      <c r="M186" s="19">
        <v>1200.0</v>
      </c>
      <c r="N186">
        <f>IF(OR(M186="",L186=""),"",(M186*L186)/100000)</f>
        <v>0.6</v>
      </c>
      <c r="O186" t="str">
        <f>IF(I186="","",_xlfn.XLOOKUP(I186,Lists!$C:$C,Lists!$J:$J))</f>
        <v>Kg</v>
      </c>
      <c r="P186">
        <f>IF(I186="","",_xlfn.XLOOKUP(I186,Lists!$C:$C,Lists!$E:$E))</f>
        <v>5.0</v>
      </c>
      <c r="Q186" s="21">
        <f t="shared" si="22"/>
        <v>46193.0</v>
      </c>
      <c r="R186" t="str">
        <f t="shared" si="23"/>
        <v>Allow</v>
      </c>
      <c r="S186" t="str">
        <f>IF(I186="","",_xlfn.XLOOKUP(I186,Lists!$C:$C,Lists!$I:$I))</f>
        <v>On-Label</v>
      </c>
    </row>
    <row r="187" spans="8:8">
      <c r="A187" s="18">
        <v>46187.0</v>
      </c>
      <c r="B187" s="19">
        <v>28.0</v>
      </c>
      <c r="C187">
        <f>_xlfn.XLOOKUP(B187,Lists!B:B,Lists!A:A,"")</f>
        <v>3.0</v>
      </c>
      <c r="D187" s="19" t="s">
        <v>234</v>
      </c>
      <c r="E187" s="19">
        <v>1.0</v>
      </c>
      <c r="F187" s="19">
        <v>160.0</v>
      </c>
      <c r="G187">
        <f t="shared" si="20"/>
        <v>160.0</v>
      </c>
      <c r="H187" s="20">
        <f t="shared" si="21"/>
        <v>1.0</v>
      </c>
      <c r="I187" s="19" t="s">
        <v>241</v>
      </c>
      <c r="J187" t="str">
        <f>IF(I187="","",_xlfn.XLOOKUP(I187,Lists!$C:$C,Lists!$D:$D))</f>
        <v>Lufenuron [5%]</v>
      </c>
      <c r="K187" s="19" t="s">
        <v>52</v>
      </c>
      <c r="L187" s="19">
        <v>50.0</v>
      </c>
      <c r="M187" s="19">
        <v>1200.0</v>
      </c>
      <c r="N187">
        <f>IF(OR(M187="",L187=""),"",(M187*L187)/100000)</f>
        <v>0.6</v>
      </c>
      <c r="O187">
        <f>IF(I187="","",_xlfn.XLOOKUP(I187,Lists!$C:$C,Lists!$J:$J))</f>
        <v>0.0</v>
      </c>
      <c r="P187">
        <f>IF(I187="","",_xlfn.XLOOKUP(I187,Lists!$C:$C,Lists!$E:$E))</f>
        <v>0.0</v>
      </c>
      <c r="Q187" s="21">
        <f t="shared" si="22"/>
        <v>46188.0</v>
      </c>
      <c r="R187" t="str">
        <f t="shared" si="23"/>
        <v>Allow</v>
      </c>
      <c r="S187">
        <f>IF(I187="","",_xlfn.XLOOKUP(I187,Lists!$C:$C,Lists!$I:$I))</f>
        <v>0.0</v>
      </c>
    </row>
    <row r="188" spans="8:8">
      <c r="A188" s="18">
        <v>46187.0</v>
      </c>
      <c r="B188" s="19">
        <v>28.0</v>
      </c>
      <c r="C188">
        <f>_xlfn.XLOOKUP(B188,Lists!B:B,Lists!A:A,"")</f>
        <v>3.0</v>
      </c>
      <c r="D188" s="19" t="s">
        <v>234</v>
      </c>
      <c r="E188" s="19">
        <v>1.0</v>
      </c>
      <c r="F188" s="19">
        <v>160.0</v>
      </c>
      <c r="G188">
        <f t="shared" si="20"/>
        <v>160.0</v>
      </c>
      <c r="H188" s="20">
        <f t="shared" si="21"/>
        <v>1.0</v>
      </c>
      <c r="I188" s="19" t="s">
        <v>63</v>
      </c>
      <c r="J188" t="str">
        <f>IF(I188="","",_xlfn.XLOOKUP(I188,Lists!$C:$C,Lists!$D:$D))</f>
        <v>Acetamiprid [20%]</v>
      </c>
      <c r="K188" s="19" t="s">
        <v>52</v>
      </c>
      <c r="L188" s="19">
        <v>50.0</v>
      </c>
      <c r="M188" s="19">
        <v>1200.0</v>
      </c>
      <c r="N188">
        <f>IF(OR(M188="",L188=""),"",(M188*L188)/100000)</f>
        <v>0.6</v>
      </c>
      <c r="O188" t="str">
        <f>IF(I188="","",_xlfn.XLOOKUP(I188,Lists!$C:$C,Lists!$J:$J))</f>
        <v>Kg</v>
      </c>
      <c r="P188">
        <f>IF(I188="","",_xlfn.XLOOKUP(I188,Lists!$C:$C,Lists!$E:$E))</f>
        <v>5.0</v>
      </c>
      <c r="Q188" s="21">
        <f t="shared" si="22"/>
        <v>46193.0</v>
      </c>
      <c r="R188" t="str">
        <f t="shared" si="23"/>
        <v>Allow</v>
      </c>
      <c r="S188" t="str">
        <f>IF(I188="","",_xlfn.XLOOKUP(I188,Lists!$C:$C,Lists!$I:$I))</f>
        <v>On-Label</v>
      </c>
    </row>
    <row r="189" spans="8:8">
      <c r="A189" s="18">
        <v>46187.0</v>
      </c>
      <c r="B189" s="19">
        <v>51.0</v>
      </c>
      <c r="C189">
        <f>_xlfn.XLOOKUP(B189,Lists!B:B,Lists!A:A,"")</f>
        <v>4.0</v>
      </c>
      <c r="D189" s="19" t="s">
        <v>234</v>
      </c>
      <c r="E189" s="19">
        <v>1.0</v>
      </c>
      <c r="F189" s="19">
        <v>160.0</v>
      </c>
      <c r="G189">
        <f t="shared" si="20"/>
        <v>160.0</v>
      </c>
      <c r="H189" s="20">
        <f t="shared" si="21"/>
        <v>1.0</v>
      </c>
      <c r="I189" s="19" t="s">
        <v>241</v>
      </c>
      <c r="J189" t="str">
        <f>IF(I189="","",_xlfn.XLOOKUP(I189,Lists!$C:$C,Lists!$D:$D))</f>
        <v>Lufenuron [5%]</v>
      </c>
      <c r="K189" s="19" t="s">
        <v>52</v>
      </c>
      <c r="L189" s="19">
        <v>50.0</v>
      </c>
      <c r="M189" s="19">
        <v>1200.0</v>
      </c>
      <c r="N189">
        <f>IF(OR(M189="",L189=""),"",(M189*L189)/100000)</f>
        <v>0.6</v>
      </c>
      <c r="O189">
        <f>IF(I189="","",_xlfn.XLOOKUP(I189,Lists!$C:$C,Lists!$J:$J))</f>
        <v>0.0</v>
      </c>
      <c r="P189">
        <f>IF(I189="","",_xlfn.XLOOKUP(I189,Lists!$C:$C,Lists!$E:$E))</f>
        <v>0.0</v>
      </c>
      <c r="Q189" s="21">
        <f t="shared" si="22"/>
        <v>46188.0</v>
      </c>
      <c r="R189" t="str">
        <f t="shared" si="23"/>
        <v>Allow</v>
      </c>
      <c r="S189">
        <f>IF(I189="","",_xlfn.XLOOKUP(I189,Lists!$C:$C,Lists!$I:$I))</f>
        <v>0.0</v>
      </c>
    </row>
    <row r="190" spans="8:8">
      <c r="A190" s="18">
        <v>46187.0</v>
      </c>
      <c r="B190" s="19">
        <v>51.0</v>
      </c>
      <c r="C190">
        <f>_xlfn.XLOOKUP(B190,Lists!B:B,Lists!A:A,"")</f>
        <v>4.0</v>
      </c>
      <c r="D190" s="19" t="s">
        <v>234</v>
      </c>
      <c r="E190" s="19">
        <v>1.0</v>
      </c>
      <c r="F190" s="19">
        <v>160.0</v>
      </c>
      <c r="G190">
        <f t="shared" si="20"/>
        <v>160.0</v>
      </c>
      <c r="H190" s="20">
        <f t="shared" si="21"/>
        <v>1.0</v>
      </c>
      <c r="I190" s="19" t="s">
        <v>63</v>
      </c>
      <c r="J190" t="str">
        <f>IF(I190="","",_xlfn.XLOOKUP(I190,Lists!$C:$C,Lists!$D:$D))</f>
        <v>Acetamiprid [20%]</v>
      </c>
      <c r="K190" s="19" t="s">
        <v>52</v>
      </c>
      <c r="L190" s="19">
        <v>50.0</v>
      </c>
      <c r="M190" s="19">
        <v>1200.0</v>
      </c>
      <c r="N190">
        <f>IF(OR(M190="",L190=""),"",(M190*L190)/100000)</f>
        <v>0.6</v>
      </c>
      <c r="O190" t="str">
        <f>IF(I190="","",_xlfn.XLOOKUP(I190,Lists!$C:$C,Lists!$J:$J))</f>
        <v>Kg</v>
      </c>
      <c r="P190">
        <f>IF(I190="","",_xlfn.XLOOKUP(I190,Lists!$C:$C,Lists!$E:$E))</f>
        <v>5.0</v>
      </c>
      <c r="Q190" s="21">
        <f t="shared" si="22"/>
        <v>46193.0</v>
      </c>
      <c r="R190" t="str">
        <f t="shared" si="23"/>
        <v>Allow</v>
      </c>
      <c r="S190" t="str">
        <f>IF(I190="","",_xlfn.XLOOKUP(I190,Lists!$C:$C,Lists!$I:$I))</f>
        <v>On-Label</v>
      </c>
    </row>
    <row r="191" spans="8:8">
      <c r="A191" s="18">
        <v>46188.0</v>
      </c>
      <c r="B191" s="19">
        <v>3.0</v>
      </c>
      <c r="C191">
        <f>_xlfn.XLOOKUP(B191,Lists!B:B,Lists!A:A,"")</f>
        <v>1.0</v>
      </c>
      <c r="D191" s="19" t="s">
        <v>234</v>
      </c>
      <c r="E191" s="19">
        <v>1.0</v>
      </c>
      <c r="F191" s="19">
        <v>160.0</v>
      </c>
      <c r="G191">
        <f t="shared" si="20"/>
        <v>160.0</v>
      </c>
      <c r="H191" s="20">
        <f t="shared" si="21"/>
        <v>1.0</v>
      </c>
      <c r="I191" s="19" t="s">
        <v>241</v>
      </c>
      <c r="J191" t="str">
        <f>IF(I191="","",_xlfn.XLOOKUP(I191,Lists!$C:$C,Lists!$D:$D))</f>
        <v>Lufenuron [5%]</v>
      </c>
      <c r="K191" s="19" t="s">
        <v>52</v>
      </c>
      <c r="L191" s="19">
        <v>50.0</v>
      </c>
      <c r="M191" s="19">
        <v>1200.0</v>
      </c>
      <c r="N191">
        <f>IF(OR(M191="",L191=""),"",(M191*L191)/100000)</f>
        <v>0.6</v>
      </c>
      <c r="O191">
        <f>IF(I191="","",_xlfn.XLOOKUP(I191,Lists!$C:$C,Lists!$J:$J))</f>
        <v>0.0</v>
      </c>
      <c r="P191">
        <f>IF(I191="","",_xlfn.XLOOKUP(I191,Lists!$C:$C,Lists!$E:$E))</f>
        <v>0.0</v>
      </c>
      <c r="Q191" s="21">
        <f t="shared" si="22"/>
        <v>46189.0</v>
      </c>
      <c r="R191" t="str">
        <f t="shared" si="23"/>
        <v>Allow</v>
      </c>
      <c r="S191">
        <f>IF(I191="","",_xlfn.XLOOKUP(I191,Lists!$C:$C,Lists!$I:$I))</f>
        <v>0.0</v>
      </c>
    </row>
    <row r="192" spans="8:8">
      <c r="A192" s="18">
        <v>46188.0</v>
      </c>
      <c r="B192" s="19">
        <v>3.0</v>
      </c>
      <c r="C192">
        <f>_xlfn.XLOOKUP(B192,Lists!B:B,Lists!A:A,"")</f>
        <v>1.0</v>
      </c>
      <c r="D192" s="19" t="s">
        <v>234</v>
      </c>
      <c r="E192" s="19">
        <v>1.0</v>
      </c>
      <c r="F192" s="19">
        <v>160.0</v>
      </c>
      <c r="G192">
        <f t="shared" si="20"/>
        <v>160.0</v>
      </c>
      <c r="H192" s="20">
        <f t="shared" si="21"/>
        <v>1.0</v>
      </c>
      <c r="I192" s="19" t="s">
        <v>63</v>
      </c>
      <c r="J192" t="str">
        <f>IF(I192="","",_xlfn.XLOOKUP(I192,Lists!$C:$C,Lists!$D:$D))</f>
        <v>Acetamiprid [20%]</v>
      </c>
      <c r="K192" s="19" t="s">
        <v>52</v>
      </c>
      <c r="L192" s="19">
        <v>50.0</v>
      </c>
      <c r="M192" s="19">
        <v>1200.0</v>
      </c>
      <c r="N192">
        <f>IF(OR(M192="",L192=""),"",(M192*L192)/100000)</f>
        <v>0.6</v>
      </c>
      <c r="O192" t="str">
        <f>IF(I192="","",_xlfn.XLOOKUP(I192,Lists!$C:$C,Lists!$J:$J))</f>
        <v>Kg</v>
      </c>
      <c r="P192">
        <f>IF(I192="","",_xlfn.XLOOKUP(I192,Lists!$C:$C,Lists!$E:$E))</f>
        <v>5.0</v>
      </c>
      <c r="Q192" s="21">
        <f t="shared" si="22"/>
        <v>46194.0</v>
      </c>
      <c r="R192" t="str">
        <f t="shared" si="23"/>
        <v>Allow</v>
      </c>
      <c r="S192" t="str">
        <f>IF(I192="","",_xlfn.XLOOKUP(I192,Lists!$C:$C,Lists!$I:$I))</f>
        <v>On-Label</v>
      </c>
    </row>
    <row r="193" spans="8:8">
      <c r="A193" s="18">
        <v>46188.0</v>
      </c>
      <c r="B193" s="19">
        <v>11.0</v>
      </c>
      <c r="C193">
        <f>_xlfn.XLOOKUP(B193,Lists!B:B,Lists!A:A,"")</f>
        <v>2.0</v>
      </c>
      <c r="D193" s="19" t="s">
        <v>234</v>
      </c>
      <c r="E193" s="19">
        <v>1.0</v>
      </c>
      <c r="F193" s="19">
        <v>160.0</v>
      </c>
      <c r="G193">
        <f t="shared" si="20"/>
        <v>160.0</v>
      </c>
      <c r="H193" s="20">
        <f t="shared" si="21"/>
        <v>1.0</v>
      </c>
      <c r="I193" s="19" t="s">
        <v>241</v>
      </c>
      <c r="J193" t="str">
        <f>IF(I193="","",_xlfn.XLOOKUP(I193,Lists!$C:$C,Lists!$D:$D))</f>
        <v>Lufenuron [5%]</v>
      </c>
      <c r="K193" s="19" t="s">
        <v>52</v>
      </c>
      <c r="L193" s="19">
        <v>50.0</v>
      </c>
      <c r="M193" s="19">
        <v>1200.0</v>
      </c>
      <c r="N193">
        <f>IF(OR(M193="",L193=""),"",(M193*L193)/100000)</f>
        <v>0.6</v>
      </c>
      <c r="O193">
        <f>IF(I193="","",_xlfn.XLOOKUP(I193,Lists!$C:$C,Lists!$J:$J))</f>
        <v>0.0</v>
      </c>
      <c r="P193">
        <f>IF(I193="","",_xlfn.XLOOKUP(I193,Lists!$C:$C,Lists!$E:$E))</f>
        <v>0.0</v>
      </c>
      <c r="Q193" s="21">
        <f t="shared" si="22"/>
        <v>46189.0</v>
      </c>
      <c r="R193" t="str">
        <f t="shared" si="23"/>
        <v>Allow</v>
      </c>
      <c r="S193">
        <f>IF(I193="","",_xlfn.XLOOKUP(I193,Lists!$C:$C,Lists!$I:$I))</f>
        <v>0.0</v>
      </c>
    </row>
    <row r="194" spans="8:8">
      <c r="A194" s="18">
        <v>46188.0</v>
      </c>
      <c r="B194" s="19">
        <v>11.0</v>
      </c>
      <c r="C194">
        <f>_xlfn.XLOOKUP(B194,Lists!B:B,Lists!A:A,"")</f>
        <v>2.0</v>
      </c>
      <c r="D194" s="19" t="s">
        <v>234</v>
      </c>
      <c r="E194" s="19">
        <v>1.0</v>
      </c>
      <c r="F194" s="19">
        <v>160.0</v>
      </c>
      <c r="G194">
        <f t="shared" si="20"/>
        <v>160.0</v>
      </c>
      <c r="H194" s="20">
        <f t="shared" si="21"/>
        <v>1.0</v>
      </c>
      <c r="I194" s="19" t="s">
        <v>63</v>
      </c>
      <c r="J194" t="str">
        <f>IF(I194="","",_xlfn.XLOOKUP(I194,Lists!$C:$C,Lists!$D:$D))</f>
        <v>Acetamiprid [20%]</v>
      </c>
      <c r="K194" s="19" t="s">
        <v>52</v>
      </c>
      <c r="L194" s="19">
        <v>50.0</v>
      </c>
      <c r="M194" s="19">
        <v>1200.0</v>
      </c>
      <c r="N194">
        <f>IF(OR(M194="",L194=""),"",(M194*L194)/100000)</f>
        <v>0.6</v>
      </c>
      <c r="O194" t="str">
        <f>IF(I194="","",_xlfn.XLOOKUP(I194,Lists!$C:$C,Lists!$J:$J))</f>
        <v>Kg</v>
      </c>
      <c r="P194">
        <f>IF(I194="","",_xlfn.XLOOKUP(I194,Lists!$C:$C,Lists!$E:$E))</f>
        <v>5.0</v>
      </c>
      <c r="Q194" s="21">
        <f t="shared" si="22"/>
        <v>46194.0</v>
      </c>
      <c r="R194" t="str">
        <f t="shared" si="23"/>
        <v>Allow</v>
      </c>
      <c r="S194" t="str">
        <f>IF(I194="","",_xlfn.XLOOKUP(I194,Lists!$C:$C,Lists!$I:$I))</f>
        <v>On-Label</v>
      </c>
    </row>
    <row r="195" spans="8:8">
      <c r="A195" s="18">
        <v>46188.0</v>
      </c>
      <c r="B195" s="19">
        <v>13.0</v>
      </c>
      <c r="C195">
        <f>_xlfn.XLOOKUP(B195,Lists!B:B,Lists!A:A,"")</f>
        <v>2.0</v>
      </c>
      <c r="D195" s="19" t="s">
        <v>234</v>
      </c>
      <c r="E195" s="19">
        <v>1.0</v>
      </c>
      <c r="F195" s="19">
        <v>160.0</v>
      </c>
      <c r="G195">
        <f t="shared" si="20"/>
        <v>160.0</v>
      </c>
      <c r="H195" s="20">
        <f t="shared" si="21"/>
        <v>1.0</v>
      </c>
      <c r="I195" s="19" t="s">
        <v>241</v>
      </c>
      <c r="J195" t="str">
        <f>IF(I195="","",_xlfn.XLOOKUP(I195,Lists!$C:$C,Lists!$D:$D))</f>
        <v>Lufenuron [5%]</v>
      </c>
      <c r="K195" s="19" t="s">
        <v>52</v>
      </c>
      <c r="L195" s="19">
        <v>50.0</v>
      </c>
      <c r="M195" s="19">
        <v>1200.0</v>
      </c>
      <c r="N195">
        <f>IF(OR(M195="",L195=""),"",(M195*L195)/100000)</f>
        <v>0.6</v>
      </c>
      <c r="O195">
        <f>IF(I195="","",_xlfn.XLOOKUP(I195,Lists!$C:$C,Lists!$J:$J))</f>
        <v>0.0</v>
      </c>
      <c r="P195">
        <f>IF(I195="","",_xlfn.XLOOKUP(I195,Lists!$C:$C,Lists!$E:$E))</f>
        <v>0.0</v>
      </c>
      <c r="Q195" s="21">
        <f t="shared" si="22"/>
        <v>46189.0</v>
      </c>
      <c r="R195" t="str">
        <f t="shared" si="23"/>
        <v>Allow</v>
      </c>
      <c r="S195">
        <f>IF(I195="","",_xlfn.XLOOKUP(I195,Lists!$C:$C,Lists!$I:$I))</f>
        <v>0.0</v>
      </c>
    </row>
    <row r="196" spans="8:8">
      <c r="A196" s="18">
        <v>46188.0</v>
      </c>
      <c r="B196" s="19">
        <v>13.0</v>
      </c>
      <c r="C196">
        <f>_xlfn.XLOOKUP(B196,Lists!B:B,Lists!A:A,"")</f>
        <v>2.0</v>
      </c>
      <c r="D196" s="19" t="s">
        <v>234</v>
      </c>
      <c r="E196" s="19">
        <v>1.0</v>
      </c>
      <c r="F196" s="19">
        <v>160.0</v>
      </c>
      <c r="G196">
        <f t="shared" si="20"/>
        <v>160.0</v>
      </c>
      <c r="H196" s="20">
        <f t="shared" si="21"/>
        <v>1.0</v>
      </c>
      <c r="I196" s="19" t="s">
        <v>63</v>
      </c>
      <c r="J196" t="str">
        <f>IF(I196="","",_xlfn.XLOOKUP(I196,Lists!$C:$C,Lists!$D:$D))</f>
        <v>Acetamiprid [20%]</v>
      </c>
      <c r="K196" s="19" t="s">
        <v>52</v>
      </c>
      <c r="L196" s="19">
        <v>50.0</v>
      </c>
      <c r="M196" s="19">
        <v>1200.0</v>
      </c>
      <c r="N196">
        <f>IF(OR(M196="",L196=""),"",(M196*L196)/100000)</f>
        <v>0.6</v>
      </c>
      <c r="O196" t="str">
        <f>IF(I196="","",_xlfn.XLOOKUP(I196,Lists!$C:$C,Lists!$J:$J))</f>
        <v>Kg</v>
      </c>
      <c r="P196">
        <f>IF(I196="","",_xlfn.XLOOKUP(I196,Lists!$C:$C,Lists!$E:$E))</f>
        <v>5.0</v>
      </c>
      <c r="Q196" s="21">
        <f t="shared" si="22"/>
        <v>46194.0</v>
      </c>
      <c r="R196" t="str">
        <f t="shared" si="23"/>
        <v>Allow</v>
      </c>
      <c r="S196" t="str">
        <f>IF(I196="","",_xlfn.XLOOKUP(I196,Lists!$C:$C,Lists!$I:$I))</f>
        <v>On-Label</v>
      </c>
    </row>
    <row r="197" spans="8:8">
      <c r="A197" s="18">
        <v>46188.0</v>
      </c>
      <c r="B197" s="19">
        <v>47.0</v>
      </c>
      <c r="C197">
        <f>_xlfn.XLOOKUP(B197,Lists!B:B,Lists!A:A,"")</f>
        <v>4.0</v>
      </c>
      <c r="D197" s="19" t="s">
        <v>234</v>
      </c>
      <c r="E197" s="19">
        <v>1.0</v>
      </c>
      <c r="F197" s="19">
        <v>160.0</v>
      </c>
      <c r="G197">
        <f t="shared" si="20"/>
        <v>160.0</v>
      </c>
      <c r="H197" s="20">
        <f t="shared" si="21"/>
        <v>1.0</v>
      </c>
      <c r="I197" s="19" t="s">
        <v>241</v>
      </c>
      <c r="J197" t="str">
        <f>IF(I197="","",_xlfn.XLOOKUP(I197,Lists!$C:$C,Lists!$D:$D))</f>
        <v>Lufenuron [5%]</v>
      </c>
      <c r="K197" s="19" t="s">
        <v>52</v>
      </c>
      <c r="L197" s="19">
        <v>50.0</v>
      </c>
      <c r="M197" s="19">
        <v>1200.0</v>
      </c>
      <c r="N197">
        <f>IF(OR(M197="",L197=""),"",(M197*L197)/100000)</f>
        <v>0.6</v>
      </c>
      <c r="O197">
        <f>IF(I197="","",_xlfn.XLOOKUP(I197,Lists!$C:$C,Lists!$J:$J))</f>
        <v>0.0</v>
      </c>
      <c r="P197">
        <f>IF(I197="","",_xlfn.XLOOKUP(I197,Lists!$C:$C,Lists!$E:$E))</f>
        <v>0.0</v>
      </c>
      <c r="Q197" s="21">
        <f t="shared" si="22"/>
        <v>46189.0</v>
      </c>
      <c r="R197" t="str">
        <f t="shared" si="23"/>
        <v>Allow</v>
      </c>
      <c r="S197">
        <f>IF(I197="","",_xlfn.XLOOKUP(I197,Lists!$C:$C,Lists!$I:$I))</f>
        <v>0.0</v>
      </c>
    </row>
    <row r="198" spans="8:8">
      <c r="A198" s="18">
        <v>46188.0</v>
      </c>
      <c r="B198" s="19">
        <v>47.0</v>
      </c>
      <c r="C198">
        <f>_xlfn.XLOOKUP(B198,Lists!B:B,Lists!A:A,"")</f>
        <v>4.0</v>
      </c>
      <c r="D198" s="19" t="s">
        <v>234</v>
      </c>
      <c r="E198" s="19">
        <v>1.0</v>
      </c>
      <c r="F198" s="19">
        <v>160.0</v>
      </c>
      <c r="G198">
        <f t="shared" si="20"/>
        <v>160.0</v>
      </c>
      <c r="H198" s="20">
        <f t="shared" si="21"/>
        <v>1.0</v>
      </c>
      <c r="I198" s="19" t="s">
        <v>63</v>
      </c>
      <c r="J198" t="str">
        <f>IF(I198="","",_xlfn.XLOOKUP(I198,Lists!$C:$C,Lists!$D:$D))</f>
        <v>Acetamiprid [20%]</v>
      </c>
      <c r="K198" s="19" t="s">
        <v>52</v>
      </c>
      <c r="L198" s="19">
        <v>50.0</v>
      </c>
      <c r="M198" s="19">
        <v>1200.0</v>
      </c>
      <c r="N198">
        <f>IF(OR(M198="",L198=""),"",(M198*L198)/100000)</f>
        <v>0.6</v>
      </c>
      <c r="O198" t="str">
        <f>IF(I198="","",_xlfn.XLOOKUP(I198,Lists!$C:$C,Lists!$J:$J))</f>
        <v>Kg</v>
      </c>
      <c r="P198">
        <f>IF(I198="","",_xlfn.XLOOKUP(I198,Lists!$C:$C,Lists!$E:$E))</f>
        <v>5.0</v>
      </c>
      <c r="Q198" s="21">
        <f t="shared" si="22"/>
        <v>46194.0</v>
      </c>
      <c r="R198" t="str">
        <f t="shared" si="23"/>
        <v>Allow</v>
      </c>
      <c r="S198" t="str">
        <f>IF(I198="","",_xlfn.XLOOKUP(I198,Lists!$C:$C,Lists!$I:$I))</f>
        <v>On-Label</v>
      </c>
    </row>
    <row r="199" spans="8:8">
      <c r="A199" s="18">
        <v>46189.0</v>
      </c>
      <c r="B199" s="19">
        <v>1.0</v>
      </c>
      <c r="C199">
        <f>_xlfn.XLOOKUP(B199,Lists!B:B,Lists!A:A,"")</f>
        <v>1.0</v>
      </c>
      <c r="D199" s="19" t="s">
        <v>234</v>
      </c>
      <c r="E199" s="19">
        <v>1.0</v>
      </c>
      <c r="F199" s="19">
        <v>160.0</v>
      </c>
      <c r="G199">
        <f t="shared" si="20"/>
        <v>160.0</v>
      </c>
      <c r="H199" s="20">
        <f t="shared" si="21"/>
        <v>1.0</v>
      </c>
      <c r="I199" s="19" t="s">
        <v>66</v>
      </c>
      <c r="J199" t="str">
        <f>IF(I199="","",_xlfn.XLOOKUP(I199,Lists!$C:$C,Lists!$D:$D))</f>
        <v>Bifenthrin [8.8]&amp;Abamectin [1.3]</v>
      </c>
      <c r="K199" s="19" t="s">
        <v>52</v>
      </c>
      <c r="L199" s="19">
        <v>100.0</v>
      </c>
      <c r="M199" s="19">
        <v>1200.0</v>
      </c>
      <c r="N199">
        <f>IF(OR(M199="",L199=""),"",(M199*L199)/100000)</f>
        <v>1.2</v>
      </c>
      <c r="O199">
        <f>IF(I199="","",_xlfn.XLOOKUP(I199,Lists!$C:$C,Lists!$J:$J))</f>
        <v>0.0</v>
      </c>
      <c r="P199">
        <f>IF(I199="","",_xlfn.XLOOKUP(I199,Lists!$C:$C,Lists!$E:$E))</f>
        <v>0.0</v>
      </c>
      <c r="Q199" s="21">
        <f t="shared" si="22"/>
        <v>46190.0</v>
      </c>
      <c r="R199" t="str">
        <f t="shared" si="23"/>
        <v>Allow</v>
      </c>
      <c r="S199" t="str">
        <f>IF(I199="","",_xlfn.XLOOKUP(I199,Lists!$C:$C,Lists!$I:$I))</f>
        <v>On-Label</v>
      </c>
    </row>
    <row r="200" spans="8:8">
      <c r="A200" s="18">
        <v>46189.0</v>
      </c>
      <c r="B200" s="19">
        <v>12.0</v>
      </c>
      <c r="C200">
        <f>_xlfn.XLOOKUP(B200,Lists!B:B,Lists!A:A,"")</f>
        <v>2.0</v>
      </c>
      <c r="D200" s="19" t="s">
        <v>234</v>
      </c>
      <c r="E200" s="19">
        <v>1.0</v>
      </c>
      <c r="F200" s="19">
        <v>160.0</v>
      </c>
      <c r="G200">
        <f t="shared" si="20"/>
        <v>160.0</v>
      </c>
      <c r="H200" s="20">
        <f t="shared" si="21"/>
        <v>1.0</v>
      </c>
      <c r="I200" s="19" t="s">
        <v>66</v>
      </c>
      <c r="J200" t="str">
        <f>IF(I200="","",_xlfn.XLOOKUP(I200,Lists!$C:$C,Lists!$D:$D))</f>
        <v>Bifenthrin [8.8]&amp;Abamectin [1.3]</v>
      </c>
      <c r="K200" s="19" t="s">
        <v>52</v>
      </c>
      <c r="L200" s="19">
        <v>100.0</v>
      </c>
      <c r="M200" s="19">
        <v>1200.0</v>
      </c>
      <c r="N200">
        <f>IF(OR(M200="",L200=""),"",(M200*L200)/100000)</f>
        <v>1.2</v>
      </c>
      <c r="O200">
        <f>IF(I200="","",_xlfn.XLOOKUP(I200,Lists!$C:$C,Lists!$J:$J))</f>
        <v>0.0</v>
      </c>
      <c r="P200">
        <f>IF(I200="","",_xlfn.XLOOKUP(I200,Lists!$C:$C,Lists!$E:$E))</f>
        <v>0.0</v>
      </c>
      <c r="Q200" s="21">
        <f t="shared" si="22"/>
        <v>46190.0</v>
      </c>
      <c r="R200" t="str">
        <f t="shared" si="23"/>
        <v>Allow</v>
      </c>
      <c r="S200" t="str">
        <f>IF(I200="","",_xlfn.XLOOKUP(I200,Lists!$C:$C,Lists!$I:$I))</f>
        <v>On-Label</v>
      </c>
    </row>
    <row r="201" spans="8:8">
      <c r="A201" s="18">
        <v>46189.0</v>
      </c>
      <c r="B201" s="19">
        <v>12.0</v>
      </c>
      <c r="C201">
        <f>_xlfn.XLOOKUP(B201,Lists!B:B,Lists!A:A,"")</f>
        <v>2.0</v>
      </c>
      <c r="D201" s="19" t="s">
        <v>234</v>
      </c>
      <c r="E201" s="19">
        <v>1.0</v>
      </c>
      <c r="F201" s="19">
        <v>160.0</v>
      </c>
      <c r="G201">
        <f t="shared" si="20"/>
        <v>160.0</v>
      </c>
      <c r="H201" s="20">
        <f t="shared" si="21"/>
        <v>1.0</v>
      </c>
      <c r="I201" s="19" t="s">
        <v>241</v>
      </c>
      <c r="J201" t="str">
        <f>IF(I201="","",_xlfn.XLOOKUP(I201,Lists!$C:$C,Lists!$D:$D))</f>
        <v>Lufenuron [5%]</v>
      </c>
      <c r="K201" s="19" t="s">
        <v>52</v>
      </c>
      <c r="L201" s="19">
        <v>50.0</v>
      </c>
      <c r="M201" s="19">
        <v>1200.0</v>
      </c>
      <c r="N201">
        <f>IF(OR(M201="",L201=""),"",(M201*L201)/100000)</f>
        <v>0.6</v>
      </c>
      <c r="O201">
        <f>IF(I201="","",_xlfn.XLOOKUP(I201,Lists!$C:$C,Lists!$J:$J))</f>
        <v>0.0</v>
      </c>
      <c r="P201">
        <f>IF(I201="","",_xlfn.XLOOKUP(I201,Lists!$C:$C,Lists!$E:$E))</f>
        <v>0.0</v>
      </c>
      <c r="Q201" s="21">
        <f t="shared" si="22"/>
        <v>46190.0</v>
      </c>
      <c r="R201" t="str">
        <f t="shared" si="23"/>
        <v>Allow</v>
      </c>
      <c r="S201">
        <f>IF(I201="","",_xlfn.XLOOKUP(I201,Lists!$C:$C,Lists!$I:$I))</f>
        <v>0.0</v>
      </c>
    </row>
    <row r="202" spans="8:8" ht="17.45">
      <c r="A202" s="18">
        <v>46189.0</v>
      </c>
      <c r="B202" s="19">
        <v>17.0</v>
      </c>
      <c r="C202">
        <f>_xlfn.XLOOKUP(B202,Lists!B:B,Lists!A:A,"")</f>
        <v>2.0</v>
      </c>
      <c r="D202" s="19" t="s">
        <v>234</v>
      </c>
      <c r="E202" s="19">
        <v>1.0</v>
      </c>
      <c r="F202" s="19">
        <v>160.0</v>
      </c>
      <c r="G202">
        <f t="shared" si="20"/>
        <v>160.0</v>
      </c>
      <c r="H202" s="20">
        <f t="shared" si="21"/>
        <v>1.0</v>
      </c>
      <c r="I202" s="19" t="s">
        <v>26</v>
      </c>
      <c r="J202" t="str">
        <f>IF(I202="","",_xlfn.XLOOKUP(I202,Lists!$C:$C,Lists!$D:$D))</f>
        <v>Pyridalyl [50%]</v>
      </c>
      <c r="K202" s="19" t="s">
        <v>52</v>
      </c>
      <c r="L202" s="19">
        <v>50.0</v>
      </c>
      <c r="M202" s="19">
        <v>1200.0</v>
      </c>
      <c r="N202">
        <f>IF(OR(M202="",L202=""),"",(M202*L202)/100000)</f>
        <v>0.6</v>
      </c>
      <c r="O202">
        <f>IF(I202="","",_xlfn.XLOOKUP(I202,Lists!$C:$C,Lists!$J:$J))</f>
        <v>0.0</v>
      </c>
      <c r="P202">
        <f>IF(I202="","",_xlfn.XLOOKUP(I202,Lists!$C:$C,Lists!$E:$E))</f>
        <v>0.0</v>
      </c>
      <c r="Q202" s="21">
        <f t="shared" si="22"/>
        <v>46190.0</v>
      </c>
      <c r="R202" t="str">
        <f t="shared" si="23"/>
        <v>Allow</v>
      </c>
      <c r="S202" t="str">
        <f>IF(I202="","",_xlfn.XLOOKUP(I202,Lists!$C:$C,Lists!$I:$I))</f>
        <v>On-Label</v>
      </c>
    </row>
    <row r="203" spans="8:8">
      <c r="A203" s="18">
        <v>46189.0</v>
      </c>
      <c r="B203" s="19">
        <v>32.0</v>
      </c>
      <c r="C203">
        <f>_xlfn.XLOOKUP(B203,Lists!B:B,Lists!A:A,"")</f>
        <v>5.0</v>
      </c>
      <c r="D203" s="19" t="s">
        <v>234</v>
      </c>
      <c r="E203" s="19">
        <v>1.0</v>
      </c>
      <c r="F203" s="19">
        <v>160.0</v>
      </c>
      <c r="G203">
        <f t="shared" si="20"/>
        <v>160.0</v>
      </c>
      <c r="H203" s="20">
        <f t="shared" si="21"/>
        <v>1.0</v>
      </c>
      <c r="I203" s="19" t="s">
        <v>63</v>
      </c>
      <c r="J203" t="str">
        <f>IF(I203="","",_xlfn.XLOOKUP(I203,Lists!$C:$C,Lists!$D:$D))</f>
        <v>Acetamiprid [20%]</v>
      </c>
      <c r="K203" s="19" t="s">
        <v>52</v>
      </c>
      <c r="L203" s="19">
        <v>50.0</v>
      </c>
      <c r="M203" s="19">
        <v>1200.0</v>
      </c>
      <c r="N203">
        <f>IF(OR(M203="",L203=""),"",(M203*L203)/100000)</f>
        <v>0.6</v>
      </c>
      <c r="O203" t="str">
        <f>IF(I203="","",_xlfn.XLOOKUP(I203,Lists!$C:$C,Lists!$J:$J))</f>
        <v>Kg</v>
      </c>
      <c r="P203">
        <f>IF(I203="","",_xlfn.XLOOKUP(I203,Lists!$C:$C,Lists!$E:$E))</f>
        <v>5.0</v>
      </c>
      <c r="Q203" s="21">
        <f t="shared" si="22"/>
        <v>46195.0</v>
      </c>
      <c r="R203" t="str">
        <f t="shared" si="23"/>
        <v>Allow</v>
      </c>
      <c r="S203" t="str">
        <f>IF(I203="","",_xlfn.XLOOKUP(I203,Lists!$C:$C,Lists!$I:$I))</f>
        <v>On-Label</v>
      </c>
    </row>
    <row r="204" spans="8:8">
      <c r="A204" s="18">
        <v>46189.0</v>
      </c>
      <c r="B204" s="19">
        <v>32.0</v>
      </c>
      <c r="C204">
        <f>_xlfn.XLOOKUP(B204,Lists!B:B,Lists!A:A,"")</f>
        <v>5.0</v>
      </c>
      <c r="D204" s="19" t="s">
        <v>234</v>
      </c>
      <c r="E204" s="19">
        <v>1.0</v>
      </c>
      <c r="F204" s="19">
        <v>160.0</v>
      </c>
      <c r="G204">
        <f t="shared" si="20"/>
        <v>160.0</v>
      </c>
      <c r="H204" s="20">
        <f t="shared" si="21"/>
        <v>1.0</v>
      </c>
      <c r="I204" s="19" t="s">
        <v>241</v>
      </c>
      <c r="J204" t="str">
        <f>IF(I204="","",_xlfn.XLOOKUP(I204,Lists!$C:$C,Lists!$D:$D))</f>
        <v>Lufenuron [5%]</v>
      </c>
      <c r="K204" s="19" t="s">
        <v>52</v>
      </c>
      <c r="L204" s="19">
        <v>50.0</v>
      </c>
      <c r="M204" s="19">
        <v>1200.0</v>
      </c>
      <c r="N204">
        <f>IF(OR(M204="",L204=""),"",(M204*L204)/100000)</f>
        <v>0.6</v>
      </c>
      <c r="O204">
        <f>IF(I204="","",_xlfn.XLOOKUP(I204,Lists!$C:$C,Lists!$J:$J))</f>
        <v>0.0</v>
      </c>
      <c r="P204">
        <f>IF(I204="","",_xlfn.XLOOKUP(I204,Lists!$C:$C,Lists!$E:$E))</f>
        <v>0.0</v>
      </c>
      <c r="Q204" s="21">
        <f t="shared" si="22"/>
        <v>46190.0</v>
      </c>
      <c r="R204" t="str">
        <f t="shared" si="23"/>
        <v>Allow</v>
      </c>
      <c r="S204">
        <f>IF(I204="","",_xlfn.XLOOKUP(I204,Lists!$C:$C,Lists!$I:$I))</f>
        <v>0.0</v>
      </c>
    </row>
    <row r="205" spans="8:8">
      <c r="A205" s="18">
        <v>46189.0</v>
      </c>
      <c r="B205" s="19">
        <v>56.0</v>
      </c>
      <c r="C205">
        <f>_xlfn.XLOOKUP(B205,Lists!B:B,Lists!A:A,"")</f>
        <v>4.0</v>
      </c>
      <c r="D205" s="19" t="s">
        <v>234</v>
      </c>
      <c r="E205" s="19">
        <v>1.0</v>
      </c>
      <c r="F205" s="19">
        <v>160.0</v>
      </c>
      <c r="G205">
        <f t="shared" si="20"/>
        <v>160.0</v>
      </c>
      <c r="H205" s="20">
        <f t="shared" si="21"/>
        <v>1.0</v>
      </c>
      <c r="I205" s="19" t="s">
        <v>63</v>
      </c>
      <c r="J205" t="str">
        <f>IF(I205="","",_xlfn.XLOOKUP(I205,Lists!$C:$C,Lists!$D:$D))</f>
        <v>Acetamiprid [20%]</v>
      </c>
      <c r="K205" s="19" t="s">
        <v>52</v>
      </c>
      <c r="L205" s="19">
        <v>50.0</v>
      </c>
      <c r="M205" s="19">
        <v>1200.0</v>
      </c>
      <c r="N205">
        <f>IF(OR(M205="",L205=""),"",(M205*L205)/100000)</f>
        <v>0.6</v>
      </c>
      <c r="O205" t="str">
        <f>IF(I205="","",_xlfn.XLOOKUP(I205,Lists!$C:$C,Lists!$J:$J))</f>
        <v>Kg</v>
      </c>
      <c r="P205">
        <f>IF(I205="","",_xlfn.XLOOKUP(I205,Lists!$C:$C,Lists!$E:$E))</f>
        <v>5.0</v>
      </c>
      <c r="Q205" s="21">
        <f t="shared" si="22"/>
        <v>46195.0</v>
      </c>
      <c r="R205" t="str">
        <f t="shared" si="23"/>
        <v>Allow</v>
      </c>
      <c r="S205" t="str">
        <f>IF(I205="","",_xlfn.XLOOKUP(I205,Lists!$C:$C,Lists!$I:$I))</f>
        <v>On-Label</v>
      </c>
    </row>
    <row r="206" spans="8:8">
      <c r="A206" s="18">
        <v>46189.0</v>
      </c>
      <c r="B206" s="19">
        <v>56.0</v>
      </c>
      <c r="C206">
        <f>_xlfn.XLOOKUP(B206,Lists!B:B,Lists!A:A,"")</f>
        <v>4.0</v>
      </c>
      <c r="D206" s="19" t="s">
        <v>234</v>
      </c>
      <c r="E206" s="19">
        <v>1.0</v>
      </c>
      <c r="F206" s="19">
        <v>160.0</v>
      </c>
      <c r="G206">
        <f t="shared" si="20"/>
        <v>160.0</v>
      </c>
      <c r="H206" s="20">
        <f t="shared" si="21"/>
        <v>1.0</v>
      </c>
      <c r="I206" s="19" t="s">
        <v>241</v>
      </c>
      <c r="J206" t="str">
        <f>IF(I206="","",_xlfn.XLOOKUP(I206,Lists!$C:$C,Lists!$D:$D))</f>
        <v>Lufenuron [5%]</v>
      </c>
      <c r="K206" s="19" t="s">
        <v>52</v>
      </c>
      <c r="L206" s="19">
        <v>50.0</v>
      </c>
      <c r="M206" s="19">
        <v>1200.0</v>
      </c>
      <c r="N206">
        <f>IF(OR(M206="",L206=""),"",(M206*L206)/100000)</f>
        <v>0.6</v>
      </c>
      <c r="O206">
        <f>IF(I206="","",_xlfn.XLOOKUP(I206,Lists!$C:$C,Lists!$J:$J))</f>
        <v>0.0</v>
      </c>
      <c r="P206">
        <f>IF(I206="","",_xlfn.XLOOKUP(I206,Lists!$C:$C,Lists!$E:$E))</f>
        <v>0.0</v>
      </c>
      <c r="Q206" s="21">
        <f t="shared" si="22"/>
        <v>46190.0</v>
      </c>
      <c r="R206" t="str">
        <f t="shared" si="23"/>
        <v>Allow</v>
      </c>
      <c r="S206">
        <f>IF(I206="","",_xlfn.XLOOKUP(I206,Lists!$C:$C,Lists!$I:$I))</f>
        <v>0.0</v>
      </c>
    </row>
    <row r="207" spans="8:8">
      <c r="A207" s="18">
        <v>46190.0</v>
      </c>
      <c r="B207" s="19">
        <v>7.0</v>
      </c>
      <c r="C207">
        <f>_xlfn.XLOOKUP(B207,Lists!B:B,Lists!A:A,"")</f>
        <v>1.0</v>
      </c>
      <c r="D207" s="19" t="s">
        <v>234</v>
      </c>
      <c r="E207" s="19">
        <v>1.0</v>
      </c>
      <c r="F207" s="19">
        <v>160.0</v>
      </c>
      <c r="G207">
        <f t="shared" si="20"/>
        <v>160.0</v>
      </c>
      <c r="H207" s="20">
        <f t="shared" si="21"/>
        <v>1.0</v>
      </c>
      <c r="I207" s="19" t="s">
        <v>63</v>
      </c>
      <c r="J207" t="str">
        <f>IF(I207="","",_xlfn.XLOOKUP(I207,Lists!$C:$C,Lists!$D:$D))</f>
        <v>Acetamiprid [20%]</v>
      </c>
      <c r="K207" s="19" t="s">
        <v>52</v>
      </c>
      <c r="L207" s="19">
        <v>50.0</v>
      </c>
      <c r="M207" s="19">
        <v>1200.0</v>
      </c>
      <c r="N207">
        <f>IF(OR(M207="",L207=""),"",(M207*L207)/100000)</f>
        <v>0.6</v>
      </c>
      <c r="O207" t="str">
        <f>IF(I207="","",_xlfn.XLOOKUP(I207,Lists!$C:$C,Lists!$J:$J))</f>
        <v>Kg</v>
      </c>
      <c r="P207">
        <f>IF(I207="","",_xlfn.XLOOKUP(I207,Lists!$C:$C,Lists!$E:$E))</f>
        <v>5.0</v>
      </c>
      <c r="Q207" s="21">
        <f t="shared" si="22"/>
        <v>46196.0</v>
      </c>
      <c r="R207" t="str">
        <f t="shared" si="23"/>
        <v>Allow</v>
      </c>
      <c r="S207" t="str">
        <f>IF(I207="","",_xlfn.XLOOKUP(I207,Lists!$C:$C,Lists!$I:$I))</f>
        <v>On-Label</v>
      </c>
    </row>
    <row r="208" spans="8:8">
      <c r="A208" s="18">
        <v>46190.0</v>
      </c>
      <c r="B208" s="19">
        <v>7.0</v>
      </c>
      <c r="C208">
        <f>_xlfn.XLOOKUP(B208,Lists!B:B,Lists!A:A,"")</f>
        <v>1.0</v>
      </c>
      <c r="D208" s="19" t="s">
        <v>234</v>
      </c>
      <c r="E208" s="19">
        <v>1.0</v>
      </c>
      <c r="F208" s="19">
        <v>160.0</v>
      </c>
      <c r="G208">
        <f t="shared" si="20"/>
        <v>160.0</v>
      </c>
      <c r="H208" s="20">
        <f t="shared" si="21"/>
        <v>1.0</v>
      </c>
      <c r="I208" s="19" t="s">
        <v>241</v>
      </c>
      <c r="J208" t="str">
        <f>IF(I208="","",_xlfn.XLOOKUP(I208,Lists!$C:$C,Lists!$D:$D))</f>
        <v>Lufenuron [5%]</v>
      </c>
      <c r="K208" s="19" t="s">
        <v>52</v>
      </c>
      <c r="L208" s="19">
        <v>50.0</v>
      </c>
      <c r="M208" s="19">
        <v>1200.0</v>
      </c>
      <c r="N208">
        <f>IF(OR(M208="",L208=""),"",(M208*L208)/100000)</f>
        <v>0.6</v>
      </c>
      <c r="O208">
        <f>IF(I208="","",_xlfn.XLOOKUP(I208,Lists!$C:$C,Lists!$J:$J))</f>
        <v>0.0</v>
      </c>
      <c r="P208">
        <f>IF(I208="","",_xlfn.XLOOKUP(I208,Lists!$C:$C,Lists!$E:$E))</f>
        <v>0.0</v>
      </c>
      <c r="Q208" s="21">
        <f t="shared" si="22"/>
        <v>46191.0</v>
      </c>
      <c r="R208" t="str">
        <f t="shared" si="23"/>
        <v>Allow</v>
      </c>
      <c r="S208">
        <f>IF(I208="","",_xlfn.XLOOKUP(I208,Lists!$C:$C,Lists!$I:$I))</f>
        <v>0.0</v>
      </c>
    </row>
    <row r="209" spans="8:8">
      <c r="A209" s="18">
        <v>46190.0</v>
      </c>
      <c r="B209" s="19">
        <v>16.0</v>
      </c>
      <c r="C209">
        <f>_xlfn.XLOOKUP(B209,Lists!B:B,Lists!A:A,"")</f>
        <v>2.0</v>
      </c>
      <c r="D209" s="19" t="s">
        <v>234</v>
      </c>
      <c r="E209" s="19">
        <v>1.0</v>
      </c>
      <c r="F209" s="19">
        <v>160.0</v>
      </c>
      <c r="G209">
        <f t="shared" si="20"/>
        <v>160.0</v>
      </c>
      <c r="H209" s="20">
        <f t="shared" si="21"/>
        <v>1.0</v>
      </c>
      <c r="I209" s="19" t="s">
        <v>63</v>
      </c>
      <c r="J209" t="str">
        <f>IF(I209="","",_xlfn.XLOOKUP(I209,Lists!$C:$C,Lists!$D:$D))</f>
        <v>Acetamiprid [20%]</v>
      </c>
      <c r="K209" s="19" t="s">
        <v>52</v>
      </c>
      <c r="L209" s="19">
        <v>50.0</v>
      </c>
      <c r="M209" s="19">
        <v>1200.0</v>
      </c>
      <c r="N209">
        <f>IF(OR(M209="",L209=""),"",(M209*L209)/100000)</f>
        <v>0.6</v>
      </c>
      <c r="O209" t="str">
        <f>IF(I209="","",_xlfn.XLOOKUP(I209,Lists!$C:$C,Lists!$J:$J))</f>
        <v>Kg</v>
      </c>
      <c r="P209">
        <f>IF(I209="","",_xlfn.XLOOKUP(I209,Lists!$C:$C,Lists!$E:$E))</f>
        <v>5.0</v>
      </c>
      <c r="Q209" s="21">
        <f t="shared" si="22"/>
        <v>46196.0</v>
      </c>
      <c r="R209" t="str">
        <f t="shared" si="23"/>
        <v>Allow</v>
      </c>
      <c r="S209" t="str">
        <f>IF(I209="","",_xlfn.XLOOKUP(I209,Lists!$C:$C,Lists!$I:$I))</f>
        <v>On-Label</v>
      </c>
    </row>
    <row r="210" spans="8:8">
      <c r="A210" s="18">
        <v>46190.0</v>
      </c>
      <c r="B210" s="19">
        <v>16.0</v>
      </c>
      <c r="C210">
        <f>_xlfn.XLOOKUP(B210,Lists!B:B,Lists!A:A,"")</f>
        <v>2.0</v>
      </c>
      <c r="D210" s="19" t="s">
        <v>234</v>
      </c>
      <c r="E210" s="19">
        <v>1.0</v>
      </c>
      <c r="F210" s="19">
        <v>160.0</v>
      </c>
      <c r="G210">
        <f t="shared" si="20"/>
        <v>160.0</v>
      </c>
      <c r="H210" s="20">
        <f t="shared" si="21"/>
        <v>1.0</v>
      </c>
      <c r="I210" s="19" t="s">
        <v>241</v>
      </c>
      <c r="J210" t="str">
        <f>IF(I210="","",_xlfn.XLOOKUP(I210,Lists!$C:$C,Lists!$D:$D))</f>
        <v>Lufenuron [5%]</v>
      </c>
      <c r="K210" s="19" t="s">
        <v>52</v>
      </c>
      <c r="L210" s="19">
        <v>50.0</v>
      </c>
      <c r="M210" s="19">
        <v>1200.0</v>
      </c>
      <c r="N210">
        <f>IF(OR(M210="",L210=""),"",(M210*L210)/100000)</f>
        <v>0.6</v>
      </c>
      <c r="O210">
        <f>IF(I210="","",_xlfn.XLOOKUP(I210,Lists!$C:$C,Lists!$J:$J))</f>
        <v>0.0</v>
      </c>
      <c r="P210">
        <f>IF(I210="","",_xlfn.XLOOKUP(I210,Lists!$C:$C,Lists!$E:$E))</f>
        <v>0.0</v>
      </c>
      <c r="Q210" s="21">
        <f t="shared" si="22"/>
        <v>46191.0</v>
      </c>
      <c r="R210" t="str">
        <f t="shared" si="23"/>
        <v>Allow</v>
      </c>
      <c r="S210">
        <f>IF(I210="","",_xlfn.XLOOKUP(I210,Lists!$C:$C,Lists!$I:$I))</f>
        <v>0.0</v>
      </c>
    </row>
    <row r="211" spans="8:8">
      <c r="A211" s="18">
        <v>46190.0</v>
      </c>
      <c r="B211" s="19">
        <v>20.0</v>
      </c>
      <c r="C211">
        <f>_xlfn.XLOOKUP(B211,Lists!B:B,Lists!A:A,"")</f>
        <v>2.0</v>
      </c>
      <c r="D211" s="19" t="s">
        <v>234</v>
      </c>
      <c r="E211" s="19">
        <v>1.0</v>
      </c>
      <c r="F211" s="19">
        <v>160.0</v>
      </c>
      <c r="G211">
        <f t="shared" si="20"/>
        <v>160.0</v>
      </c>
      <c r="H211" s="20">
        <f t="shared" si="21"/>
        <v>1.0</v>
      </c>
      <c r="I211" s="19" t="s">
        <v>63</v>
      </c>
      <c r="J211" t="str">
        <f>IF(I211="","",_xlfn.XLOOKUP(I211,Lists!$C:$C,Lists!$D:$D))</f>
        <v>Acetamiprid [20%]</v>
      </c>
      <c r="K211" s="19" t="s">
        <v>52</v>
      </c>
      <c r="L211" s="19">
        <v>50.0</v>
      </c>
      <c r="M211" s="19">
        <v>1200.0</v>
      </c>
      <c r="N211">
        <f>IF(OR(M211="",L211=""),"",(M211*L211)/100000)</f>
        <v>0.6</v>
      </c>
      <c r="O211" t="str">
        <f>IF(I211="","",_xlfn.XLOOKUP(I211,Lists!$C:$C,Lists!$J:$J))</f>
        <v>Kg</v>
      </c>
      <c r="P211">
        <f>IF(I211="","",_xlfn.XLOOKUP(I211,Lists!$C:$C,Lists!$E:$E))</f>
        <v>5.0</v>
      </c>
      <c r="Q211" s="21">
        <f t="shared" si="22"/>
        <v>46196.0</v>
      </c>
      <c r="R211" t="str">
        <f t="shared" si="23"/>
        <v>Allow</v>
      </c>
      <c r="S211" t="str">
        <f>IF(I211="","",_xlfn.XLOOKUP(I211,Lists!$C:$C,Lists!$I:$I))</f>
        <v>On-Label</v>
      </c>
    </row>
    <row r="212" spans="8:8">
      <c r="A212" s="18">
        <v>46190.0</v>
      </c>
      <c r="B212" s="19">
        <v>20.0</v>
      </c>
      <c r="C212">
        <f>_xlfn.XLOOKUP(B212,Lists!B:B,Lists!A:A,"")</f>
        <v>2.0</v>
      </c>
      <c r="D212" s="19" t="s">
        <v>234</v>
      </c>
      <c r="E212" s="19">
        <v>1.0</v>
      </c>
      <c r="F212" s="19">
        <v>160.0</v>
      </c>
      <c r="G212">
        <f t="shared" si="20"/>
        <v>160.0</v>
      </c>
      <c r="H212" s="20">
        <f t="shared" si="21"/>
        <v>1.0</v>
      </c>
      <c r="I212" s="19" t="s">
        <v>241</v>
      </c>
      <c r="J212" t="str">
        <f>IF(I212="","",_xlfn.XLOOKUP(I212,Lists!$C:$C,Lists!$D:$D))</f>
        <v>Lufenuron [5%]</v>
      </c>
      <c r="K212" s="19" t="s">
        <v>52</v>
      </c>
      <c r="L212" s="19">
        <v>50.0</v>
      </c>
      <c r="M212" s="19">
        <v>1200.0</v>
      </c>
      <c r="N212">
        <f>IF(OR(M212="",L212=""),"",(M212*L212)/100000)</f>
        <v>0.6</v>
      </c>
      <c r="O212">
        <f>IF(I212="","",_xlfn.XLOOKUP(I212,Lists!$C:$C,Lists!$J:$J))</f>
        <v>0.0</v>
      </c>
      <c r="P212">
        <f>IF(I212="","",_xlfn.XLOOKUP(I212,Lists!$C:$C,Lists!$E:$E))</f>
        <v>0.0</v>
      </c>
      <c r="Q212" s="21">
        <f t="shared" si="22"/>
        <v>46191.0</v>
      </c>
      <c r="R212" t="str">
        <f t="shared" si="23"/>
        <v>Allow</v>
      </c>
      <c r="S212">
        <f>IF(I212="","",_xlfn.XLOOKUP(I212,Lists!$C:$C,Lists!$I:$I))</f>
        <v>0.0</v>
      </c>
    </row>
    <row r="213" spans="8:8">
      <c r="A213" s="18">
        <v>46190.0</v>
      </c>
      <c r="B213" s="19">
        <v>25.0</v>
      </c>
      <c r="C213">
        <f>_xlfn.XLOOKUP(B213,Lists!B:B,Lists!A:A,"")</f>
        <v>3.0</v>
      </c>
      <c r="D213" s="19" t="s">
        <v>234</v>
      </c>
      <c r="E213" s="19">
        <v>1.0</v>
      </c>
      <c r="F213" s="19">
        <v>160.0</v>
      </c>
      <c r="G213">
        <f t="shared" si="20"/>
        <v>160.0</v>
      </c>
      <c r="H213" s="20">
        <f t="shared" si="21"/>
        <v>1.0</v>
      </c>
      <c r="I213" s="19" t="s">
        <v>63</v>
      </c>
      <c r="J213" t="str">
        <f>IF(I213="","",_xlfn.XLOOKUP(I213,Lists!$C:$C,Lists!$D:$D))</f>
        <v>Acetamiprid [20%]</v>
      </c>
      <c r="K213" s="19" t="s">
        <v>52</v>
      </c>
      <c r="L213" s="19">
        <v>50.0</v>
      </c>
      <c r="M213" s="19">
        <v>1200.0</v>
      </c>
      <c r="N213">
        <f>IF(OR(M213="",L213=""),"",(M213*L213)/100000)</f>
        <v>0.6</v>
      </c>
      <c r="O213" t="str">
        <f>IF(I213="","",_xlfn.XLOOKUP(I213,Lists!$C:$C,Lists!$J:$J))</f>
        <v>Kg</v>
      </c>
      <c r="P213">
        <f>IF(I213="","",_xlfn.XLOOKUP(I213,Lists!$C:$C,Lists!$E:$E))</f>
        <v>5.0</v>
      </c>
      <c r="Q213" s="21">
        <f t="shared" si="22"/>
        <v>46196.0</v>
      </c>
      <c r="R213" t="str">
        <f t="shared" si="23"/>
        <v>Allow</v>
      </c>
      <c r="S213" t="str">
        <f>IF(I213="","",_xlfn.XLOOKUP(I213,Lists!$C:$C,Lists!$I:$I))</f>
        <v>On-Label</v>
      </c>
    </row>
    <row r="214" spans="8:8">
      <c r="A214" s="18">
        <v>46190.0</v>
      </c>
      <c r="B214" s="19">
        <v>25.0</v>
      </c>
      <c r="C214">
        <f>_xlfn.XLOOKUP(B214,Lists!B:B,Lists!A:A,"")</f>
        <v>3.0</v>
      </c>
      <c r="D214" s="19" t="s">
        <v>234</v>
      </c>
      <c r="E214" s="19">
        <v>1.0</v>
      </c>
      <c r="F214" s="19">
        <v>160.0</v>
      </c>
      <c r="G214">
        <f t="shared" si="20"/>
        <v>160.0</v>
      </c>
      <c r="H214" s="20">
        <f t="shared" si="21"/>
        <v>1.0</v>
      </c>
      <c r="I214" s="19" t="s">
        <v>241</v>
      </c>
      <c r="J214" t="str">
        <f>IF(I214="","",_xlfn.XLOOKUP(I214,Lists!$C:$C,Lists!$D:$D))</f>
        <v>Lufenuron [5%]</v>
      </c>
      <c r="K214" s="19" t="s">
        <v>52</v>
      </c>
      <c r="L214" s="19">
        <v>50.0</v>
      </c>
      <c r="M214" s="19">
        <v>1200.0</v>
      </c>
      <c r="N214">
        <f>IF(OR(M214="",L214=""),"",(M214*L214)/100000)</f>
        <v>0.6</v>
      </c>
      <c r="O214">
        <f>IF(I214="","",_xlfn.XLOOKUP(I214,Lists!$C:$C,Lists!$J:$J))</f>
        <v>0.0</v>
      </c>
      <c r="P214">
        <f>IF(I214="","",_xlfn.XLOOKUP(I214,Lists!$C:$C,Lists!$E:$E))</f>
        <v>0.0</v>
      </c>
      <c r="Q214" s="21">
        <f t="shared" si="22"/>
        <v>46191.0</v>
      </c>
      <c r="R214" t="str">
        <f t="shared" si="23"/>
        <v>Allow</v>
      </c>
      <c r="S214">
        <f>IF(I214="","",_xlfn.XLOOKUP(I214,Lists!$C:$C,Lists!$I:$I))</f>
        <v>0.0</v>
      </c>
    </row>
    <row r="215" spans="8:8">
      <c r="A215" s="18">
        <v>46190.0</v>
      </c>
      <c r="B215" s="19">
        <v>37.0</v>
      </c>
      <c r="C215">
        <f>_xlfn.XLOOKUP(B215,Lists!B:B,Lists!A:A,"")</f>
        <v>5.0</v>
      </c>
      <c r="D215" s="19" t="s">
        <v>234</v>
      </c>
      <c r="E215" s="19">
        <v>1.0</v>
      </c>
      <c r="F215" s="19">
        <v>160.0</v>
      </c>
      <c r="G215">
        <f t="shared" si="20"/>
        <v>160.0</v>
      </c>
      <c r="H215" s="20">
        <f t="shared" si="21"/>
        <v>1.0</v>
      </c>
      <c r="I215" s="19" t="s">
        <v>63</v>
      </c>
      <c r="J215" t="str">
        <f>IF(I215="","",_xlfn.XLOOKUP(I215,Lists!$C:$C,Lists!$D:$D))</f>
        <v>Acetamiprid [20%]</v>
      </c>
      <c r="K215" s="19" t="s">
        <v>52</v>
      </c>
      <c r="L215" s="19">
        <v>50.0</v>
      </c>
      <c r="M215" s="19">
        <v>1200.0</v>
      </c>
      <c r="N215">
        <f>IF(OR(M215="",L215=""),"",(M215*L215)/100000)</f>
        <v>0.6</v>
      </c>
      <c r="O215" t="str">
        <f>IF(I215="","",_xlfn.XLOOKUP(I215,Lists!$C:$C,Lists!$J:$J))</f>
        <v>Kg</v>
      </c>
      <c r="P215">
        <f>IF(I215="","",_xlfn.XLOOKUP(I215,Lists!$C:$C,Lists!$E:$E))</f>
        <v>5.0</v>
      </c>
      <c r="Q215" s="21">
        <f t="shared" si="22"/>
        <v>46196.0</v>
      </c>
      <c r="R215" t="str">
        <f t="shared" si="23"/>
        <v>Allow</v>
      </c>
      <c r="S215" t="str">
        <f>IF(I215="","",_xlfn.XLOOKUP(I215,Lists!$C:$C,Lists!$I:$I))</f>
        <v>On-Label</v>
      </c>
    </row>
    <row r="216" spans="8:8">
      <c r="A216" s="18">
        <v>46190.0</v>
      </c>
      <c r="B216" s="19">
        <v>37.0</v>
      </c>
      <c r="C216">
        <f>_xlfn.XLOOKUP(B216,Lists!B:B,Lists!A:A,"")</f>
        <v>5.0</v>
      </c>
      <c r="D216" s="19" t="s">
        <v>234</v>
      </c>
      <c r="E216" s="19">
        <v>1.0</v>
      </c>
      <c r="F216" s="19">
        <v>160.0</v>
      </c>
      <c r="G216">
        <f t="shared" si="20"/>
        <v>160.0</v>
      </c>
      <c r="H216" s="20">
        <f t="shared" si="21"/>
        <v>1.0</v>
      </c>
      <c r="I216" s="19" t="s">
        <v>241</v>
      </c>
      <c r="J216" t="str">
        <f>IF(I216="","",_xlfn.XLOOKUP(I216,Lists!$C:$C,Lists!$D:$D))</f>
        <v>Lufenuron [5%]</v>
      </c>
      <c r="K216" s="19" t="s">
        <v>52</v>
      </c>
      <c r="L216" s="19">
        <v>50.0</v>
      </c>
      <c r="M216" s="19">
        <v>1200.0</v>
      </c>
      <c r="N216">
        <f>IF(OR(M216="",L216=""),"",(M216*L216)/100000)</f>
        <v>0.6</v>
      </c>
      <c r="O216">
        <f>IF(I216="","",_xlfn.XLOOKUP(I216,Lists!$C:$C,Lists!$J:$J))</f>
        <v>0.0</v>
      </c>
      <c r="P216">
        <f>IF(I216="","",_xlfn.XLOOKUP(I216,Lists!$C:$C,Lists!$E:$E))</f>
        <v>0.0</v>
      </c>
      <c r="Q216" s="21">
        <f t="shared" si="22"/>
        <v>46191.0</v>
      </c>
      <c r="R216" t="str">
        <f t="shared" si="23"/>
        <v>Allow</v>
      </c>
      <c r="S216">
        <f>IF(I216="","",_xlfn.XLOOKUP(I216,Lists!$C:$C,Lists!$I:$I))</f>
        <v>0.0</v>
      </c>
    </row>
    <row r="217" spans="8:8">
      <c r="A217" s="18">
        <v>46190.0</v>
      </c>
      <c r="B217" s="19">
        <v>38.0</v>
      </c>
      <c r="C217">
        <f>_xlfn.XLOOKUP(B217,Lists!B:B,Lists!A:A,"")</f>
        <v>5.0</v>
      </c>
      <c r="D217" s="19" t="s">
        <v>234</v>
      </c>
      <c r="E217" s="19">
        <v>1.0</v>
      </c>
      <c r="F217" s="19">
        <v>160.0</v>
      </c>
      <c r="G217">
        <f t="shared" si="20"/>
        <v>160.0</v>
      </c>
      <c r="H217" s="20">
        <f t="shared" si="21"/>
        <v>1.0</v>
      </c>
      <c r="I217" s="19" t="s">
        <v>63</v>
      </c>
      <c r="J217" t="str">
        <f>IF(I217="","",_xlfn.XLOOKUP(I217,Lists!$C:$C,Lists!$D:$D))</f>
        <v>Acetamiprid [20%]</v>
      </c>
      <c r="K217" s="19" t="s">
        <v>52</v>
      </c>
      <c r="L217" s="19">
        <v>50.0</v>
      </c>
      <c r="M217" s="19">
        <v>1200.0</v>
      </c>
      <c r="N217">
        <f>IF(OR(M217="",L217=""),"",(M217*L217)/100000)</f>
        <v>0.6</v>
      </c>
      <c r="O217" t="str">
        <f>IF(I217="","",_xlfn.XLOOKUP(I217,Lists!$C:$C,Lists!$J:$J))</f>
        <v>Kg</v>
      </c>
      <c r="P217">
        <f>IF(I217="","",_xlfn.XLOOKUP(I217,Lists!$C:$C,Lists!$E:$E))</f>
        <v>5.0</v>
      </c>
      <c r="Q217" s="21">
        <f t="shared" si="22"/>
        <v>46196.0</v>
      </c>
      <c r="R217" t="str">
        <f t="shared" si="23"/>
        <v>Allow</v>
      </c>
      <c r="S217" t="str">
        <f>IF(I217="","",_xlfn.XLOOKUP(I217,Lists!$C:$C,Lists!$I:$I))</f>
        <v>On-Label</v>
      </c>
    </row>
    <row r="218" spans="8:8">
      <c r="A218" s="18">
        <v>46190.0</v>
      </c>
      <c r="B218" s="19">
        <v>38.0</v>
      </c>
      <c r="C218">
        <f>_xlfn.XLOOKUP(B218,Lists!B:B,Lists!A:A,"")</f>
        <v>5.0</v>
      </c>
      <c r="D218" s="19" t="s">
        <v>234</v>
      </c>
      <c r="E218" s="19">
        <v>1.0</v>
      </c>
      <c r="F218" s="19">
        <v>160.0</v>
      </c>
      <c r="G218">
        <f t="shared" si="20"/>
        <v>160.0</v>
      </c>
      <c r="H218" s="20">
        <f t="shared" si="21"/>
        <v>1.0</v>
      </c>
      <c r="I218" s="19" t="s">
        <v>241</v>
      </c>
      <c r="J218" t="str">
        <f>IF(I218="","",_xlfn.XLOOKUP(I218,Lists!$C:$C,Lists!$D:$D))</f>
        <v>Lufenuron [5%]</v>
      </c>
      <c r="K218" s="19" t="s">
        <v>52</v>
      </c>
      <c r="L218" s="19">
        <v>50.0</v>
      </c>
      <c r="M218" s="19">
        <v>1200.0</v>
      </c>
      <c r="N218">
        <f>IF(OR(M218="",L218=""),"",(M218*L218)/100000)</f>
        <v>0.6</v>
      </c>
      <c r="O218">
        <f>IF(I218="","",_xlfn.XLOOKUP(I218,Lists!$C:$C,Lists!$J:$J))</f>
        <v>0.0</v>
      </c>
      <c r="P218">
        <f>IF(I218="","",_xlfn.XLOOKUP(I218,Lists!$C:$C,Lists!$E:$E))</f>
        <v>0.0</v>
      </c>
      <c r="Q218" s="21">
        <f t="shared" si="22"/>
        <v>46191.0</v>
      </c>
      <c r="R218" t="str">
        <f t="shared" si="23"/>
        <v>Allow</v>
      </c>
      <c r="S218">
        <f>IF(I218="","",_xlfn.XLOOKUP(I218,Lists!$C:$C,Lists!$I:$I))</f>
        <v>0.0</v>
      </c>
    </row>
    <row r="219" spans="8:8">
      <c r="A219" s="18">
        <v>46190.0</v>
      </c>
      <c r="B219" s="19">
        <v>46.0</v>
      </c>
      <c r="C219">
        <f>_xlfn.XLOOKUP(B219,Lists!B:B,Lists!A:A,"")</f>
        <v>4.0</v>
      </c>
      <c r="D219" s="19" t="s">
        <v>234</v>
      </c>
      <c r="E219" s="19">
        <v>1.0</v>
      </c>
      <c r="F219" s="19">
        <v>160.0</v>
      </c>
      <c r="G219">
        <f>IF(OR(E219="",F219=""),"",F219-E219+1)</f>
        <v>160.0</v>
      </c>
      <c r="H219" s="20">
        <f>IF(D219="","",IF(OR(D219="A",D219="B"),G219/80,IF(D219="A&amp;B",G219/160,"")))</f>
        <v>1.0</v>
      </c>
      <c r="I219" s="19" t="s">
        <v>63</v>
      </c>
      <c r="J219" t="str">
        <f>IF(I219="","",_xlfn.XLOOKUP(I219,Lists!$C:$C,Lists!$D:$D))</f>
        <v>Acetamiprid [20%]</v>
      </c>
      <c r="K219" s="19" t="s">
        <v>52</v>
      </c>
      <c r="L219" s="19">
        <v>50.0</v>
      </c>
      <c r="M219" s="19">
        <v>1200.0</v>
      </c>
      <c r="N219">
        <f>IF(OR(M219="",L219=""),"",(M219*L219)/100000)</f>
        <v>0.6</v>
      </c>
      <c r="O219" t="str">
        <f>IF(I219="","",_xlfn.XLOOKUP(I219,Lists!$C:$C,Lists!$J:$J))</f>
        <v>Kg</v>
      </c>
      <c r="P219">
        <f>IF(I219="","",_xlfn.XLOOKUP(I219,Lists!$C:$C,Lists!$E:$E))</f>
        <v>5.0</v>
      </c>
      <c r="Q219" s="21">
        <f>IF(OR(A219="",P219=""),"",A219+P219+1)</f>
        <v>46196.0</v>
      </c>
      <c r="R219" t="str">
        <f t="shared" si="24" ref="R219:R282">IF(Q219="","",IF(Q219&lt;=TODAY(),"Allow","Not Allow"))</f>
        <v>Allow</v>
      </c>
      <c r="S219" t="str">
        <f>IF(I219="","",_xlfn.XLOOKUP(I219,Lists!$C:$C,Lists!$I:$I))</f>
        <v>On-Label</v>
      </c>
    </row>
    <row r="220" spans="8:8">
      <c r="A220" s="18">
        <v>46190.0</v>
      </c>
      <c r="B220" s="19">
        <v>46.0</v>
      </c>
      <c r="C220">
        <f>_xlfn.XLOOKUP(B220,Lists!B:B,Lists!A:A,"")</f>
        <v>4.0</v>
      </c>
      <c r="D220" s="19" t="s">
        <v>234</v>
      </c>
      <c r="E220" s="19">
        <v>1.0</v>
      </c>
      <c r="F220" s="19">
        <v>160.0</v>
      </c>
      <c r="G220">
        <f>IF(OR(E220="",F220=""),"",F220-E220+1)</f>
        <v>160.0</v>
      </c>
      <c r="H220" s="20">
        <f>IF(D220="","",IF(OR(D220="A",D220="B"),G220/80,IF(D220="A&amp;B",G220/160,"")))</f>
        <v>1.0</v>
      </c>
      <c r="I220" s="19" t="s">
        <v>241</v>
      </c>
      <c r="J220" t="str">
        <f>IF(I220="","",_xlfn.XLOOKUP(I220,Lists!$C:$C,Lists!$D:$D))</f>
        <v>Lufenuron [5%]</v>
      </c>
      <c r="K220" s="19" t="s">
        <v>52</v>
      </c>
      <c r="L220" s="19">
        <v>50.0</v>
      </c>
      <c r="M220" s="19">
        <v>1200.0</v>
      </c>
      <c r="N220">
        <f>IF(OR(M220="",L220=""),"",(M220*L220)/100000)</f>
        <v>0.6</v>
      </c>
      <c r="O220">
        <f>IF(I220="","",_xlfn.XLOOKUP(I220,Lists!$C:$C,Lists!$J:$J))</f>
        <v>0.0</v>
      </c>
      <c r="P220">
        <f>IF(I220="","",_xlfn.XLOOKUP(I220,Lists!$C:$C,Lists!$E:$E))</f>
        <v>0.0</v>
      </c>
      <c r="Q220" s="21">
        <f>IF(OR(A220="",P220=""),"",A220+P220+1)</f>
        <v>46191.0</v>
      </c>
      <c r="R220" t="str">
        <f t="shared" si="24"/>
        <v>Allow</v>
      </c>
      <c r="S220">
        <f>IF(I220="","",_xlfn.XLOOKUP(I220,Lists!$C:$C,Lists!$I:$I))</f>
        <v>0.0</v>
      </c>
    </row>
    <row r="221" spans="8:8" ht="17.45">
      <c r="A221" s="18">
        <v>46190.0</v>
      </c>
      <c r="B221" s="19">
        <v>48.0</v>
      </c>
      <c r="C221">
        <f>_xlfn.XLOOKUP(B221,Lists!B:B,Lists!A:A,"")</f>
        <v>4.0</v>
      </c>
      <c r="D221" s="19" t="s">
        <v>234</v>
      </c>
      <c r="E221" s="19">
        <v>1.0</v>
      </c>
      <c r="F221" s="19">
        <v>160.0</v>
      </c>
      <c r="G221">
        <f>IF(OR(E221="",F221=""),"",F221-E221+1)</f>
        <v>160.0</v>
      </c>
      <c r="H221" s="20">
        <f>IF(D221="","",IF(OR(D221="A",D221="B"),G221/80,IF(D221="A&amp;B",G221/160,"")))</f>
        <v>1.0</v>
      </c>
      <c r="I221" s="19" t="s">
        <v>26</v>
      </c>
      <c r="J221" t="str">
        <f>IF(I221="","",_xlfn.XLOOKUP(I221,Lists!$C:$C,Lists!$D:$D))</f>
        <v>Pyridalyl [50%]</v>
      </c>
      <c r="K221" s="19" t="s">
        <v>52</v>
      </c>
      <c r="L221" s="19">
        <v>50.0</v>
      </c>
      <c r="M221" s="19">
        <v>1200.0</v>
      </c>
      <c r="N221">
        <f>IF(OR(M221="",L221=""),"",(M221*L221)/100000)</f>
        <v>0.6</v>
      </c>
      <c r="O221">
        <f>IF(I221="","",_xlfn.XLOOKUP(I221,Lists!$C:$C,Lists!$J:$J))</f>
        <v>0.0</v>
      </c>
      <c r="P221">
        <f>IF(I221="","",_xlfn.XLOOKUP(I221,Lists!$C:$C,Lists!$E:$E))</f>
        <v>0.0</v>
      </c>
      <c r="Q221" s="21">
        <f>IF(OR(A221="",P221=""),"",A221+P221+1)</f>
        <v>46191.0</v>
      </c>
      <c r="R221" t="str">
        <f t="shared" si="24"/>
        <v>Allow</v>
      </c>
      <c r="S221" t="str">
        <f>IF(I221="","",_xlfn.XLOOKUP(I221,Lists!$C:$C,Lists!$I:$I))</f>
        <v>On-Label</v>
      </c>
    </row>
    <row r="222" spans="8:8">
      <c r="A222" s="18">
        <v>46190.0</v>
      </c>
      <c r="B222" s="19">
        <v>64.0</v>
      </c>
      <c r="C222">
        <f>_xlfn.XLOOKUP(B222,Lists!B:B,Lists!A:A,"")</f>
        <v>4.0</v>
      </c>
      <c r="D222" s="19" t="s">
        <v>234</v>
      </c>
      <c r="E222" s="19">
        <v>1.0</v>
      </c>
      <c r="F222" s="19">
        <v>160.0</v>
      </c>
      <c r="G222">
        <f>IF(OR(E222="",F222=""),"",F222-E222+1)</f>
        <v>160.0</v>
      </c>
      <c r="H222" s="20">
        <f>IF(D222="","",IF(OR(D222="A",D222="B"),G222/80,IF(D222="A&amp;B",G222/160,"")))</f>
        <v>1.0</v>
      </c>
      <c r="I222" s="19" t="s">
        <v>63</v>
      </c>
      <c r="J222" t="str">
        <f>IF(I222="","",_xlfn.XLOOKUP(I222,Lists!$C:$C,Lists!$D:$D))</f>
        <v>Acetamiprid [20%]</v>
      </c>
      <c r="K222" s="19" t="s">
        <v>52</v>
      </c>
      <c r="L222" s="19">
        <v>50.0</v>
      </c>
      <c r="M222" s="19">
        <v>1200.0</v>
      </c>
      <c r="N222">
        <f>IF(OR(M222="",L222=""),"",(M222*L222)/100000)</f>
        <v>0.6</v>
      </c>
      <c r="O222" t="str">
        <f>IF(I222="","",_xlfn.XLOOKUP(I222,Lists!$C:$C,Lists!$J:$J))</f>
        <v>Kg</v>
      </c>
      <c r="P222">
        <f>IF(I222="","",_xlfn.XLOOKUP(I222,Lists!$C:$C,Lists!$E:$E))</f>
        <v>5.0</v>
      </c>
      <c r="Q222" s="21">
        <f>IF(OR(A222="",P222=""),"",A222+P222+1)</f>
        <v>46196.0</v>
      </c>
      <c r="R222" t="str">
        <f t="shared" si="24"/>
        <v>Allow</v>
      </c>
      <c r="S222" t="str">
        <f>IF(I222="","",_xlfn.XLOOKUP(I222,Lists!$C:$C,Lists!$I:$I))</f>
        <v>On-Label</v>
      </c>
    </row>
    <row r="223" spans="8:8">
      <c r="A223" s="18">
        <v>46190.0</v>
      </c>
      <c r="B223" s="19">
        <v>64.0</v>
      </c>
      <c r="C223">
        <f>_xlfn.XLOOKUP(B223,Lists!B:B,Lists!A:A,"")</f>
        <v>4.0</v>
      </c>
      <c r="D223" s="19" t="s">
        <v>234</v>
      </c>
      <c r="E223" s="19">
        <v>1.0</v>
      </c>
      <c r="F223" s="19">
        <v>160.0</v>
      </c>
      <c r="G223">
        <f>IF(OR(E223="",F223=""),"",F223-E223+1)</f>
        <v>160.0</v>
      </c>
      <c r="H223" s="20">
        <f>IF(D223="","",IF(OR(D223="A",D223="B"),G223/80,IF(D223="A&amp;B",G223/160,"")))</f>
        <v>1.0</v>
      </c>
      <c r="I223" s="19" t="s">
        <v>241</v>
      </c>
      <c r="J223" t="str">
        <f>IF(I223="","",_xlfn.XLOOKUP(I223,Lists!$C:$C,Lists!$D:$D))</f>
        <v>Lufenuron [5%]</v>
      </c>
      <c r="K223" s="19" t="s">
        <v>52</v>
      </c>
      <c r="L223" s="19">
        <v>50.0</v>
      </c>
      <c r="M223" s="19">
        <v>1200.0</v>
      </c>
      <c r="N223">
        <f>IF(OR(M223="",L223=""),"",(M223*L223)/100000)</f>
        <v>0.6</v>
      </c>
      <c r="O223">
        <f>IF(I223="","",_xlfn.XLOOKUP(I223,Lists!$C:$C,Lists!$J:$J))</f>
        <v>0.0</v>
      </c>
      <c r="P223">
        <f>IF(I223="","",_xlfn.XLOOKUP(I223,Lists!$C:$C,Lists!$E:$E))</f>
        <v>0.0</v>
      </c>
      <c r="Q223" s="21">
        <f>IF(OR(A223="",P223=""),"",A223+P223+1)</f>
        <v>46191.0</v>
      </c>
      <c r="R223" t="str">
        <f t="shared" si="24"/>
        <v>Allow</v>
      </c>
      <c r="S223">
        <f>IF(I223="","",_xlfn.XLOOKUP(I223,Lists!$C:$C,Lists!$I:$I))</f>
        <v>0.0</v>
      </c>
    </row>
    <row r="224" spans="8:8">
      <c r="A224" s="18">
        <v>46191.0</v>
      </c>
      <c r="B224" s="19">
        <v>5.0</v>
      </c>
      <c r="C224">
        <f>_xlfn.XLOOKUP(B224,Lists!B:B,Lists!A:A,"")</f>
        <v>1.0</v>
      </c>
      <c r="D224" s="19" t="s">
        <v>234</v>
      </c>
      <c r="E224" s="19">
        <v>1.0</v>
      </c>
      <c r="F224" s="19">
        <v>160.0</v>
      </c>
      <c r="G224">
        <f>IF(OR(E224="",F224=""),"",F224-E224+1)</f>
        <v>160.0</v>
      </c>
      <c r="H224" s="20">
        <f>IF(D224="","",IF(OR(D224="A",D224="B"),G224/80,IF(D224="A&amp;B",G224/160,"")))</f>
        <v>1.0</v>
      </c>
      <c r="I224" s="19" t="s">
        <v>66</v>
      </c>
      <c r="J224" t="str">
        <f>IF(I224="","",_xlfn.XLOOKUP(I224,Lists!$C:$C,Lists!$D:$D))</f>
        <v>Bifenthrin [8.8]&amp;Abamectin [1.3]</v>
      </c>
      <c r="K224" s="19" t="s">
        <v>52</v>
      </c>
      <c r="L224" s="19">
        <v>100.0</v>
      </c>
      <c r="M224" s="19">
        <v>1200.0</v>
      </c>
      <c r="N224">
        <f>IF(OR(M224="",L224=""),"",(M224*L224)/100000)</f>
        <v>1.2</v>
      </c>
      <c r="O224">
        <f>IF(I224="","",_xlfn.XLOOKUP(I224,Lists!$C:$C,Lists!$J:$J))</f>
        <v>0.0</v>
      </c>
      <c r="P224">
        <f>IF(I224="","",_xlfn.XLOOKUP(I224,Lists!$C:$C,Lists!$E:$E))</f>
        <v>0.0</v>
      </c>
      <c r="Q224" s="21">
        <f>IF(OR(A224="",P224=""),"",A224+P224+1)</f>
        <v>46192.0</v>
      </c>
      <c r="R224" t="str">
        <f t="shared" si="24"/>
        <v>Allow</v>
      </c>
      <c r="S224" t="str">
        <f>IF(I224="","",_xlfn.XLOOKUP(I224,Lists!$C:$C,Lists!$I:$I))</f>
        <v>On-Label</v>
      </c>
    </row>
    <row r="225" spans="8:8">
      <c r="A225" s="18">
        <v>46191.0</v>
      </c>
      <c r="B225" s="19">
        <v>18.0</v>
      </c>
      <c r="C225">
        <f>_xlfn.XLOOKUP(B225,Lists!B:B,Lists!A:A,"")</f>
        <v>2.0</v>
      </c>
      <c r="D225" s="19" t="s">
        <v>234</v>
      </c>
      <c r="E225" s="19">
        <v>1.0</v>
      </c>
      <c r="F225" s="19">
        <v>160.0</v>
      </c>
      <c r="G225">
        <f>IF(OR(E225="",F225=""),"",F225-E225+1)</f>
        <v>160.0</v>
      </c>
      <c r="H225" s="20">
        <f>IF(D225="","",IF(OR(D225="A",D225="B"),G225/80,IF(D225="A&amp;B",G225/160,"")))</f>
        <v>1.0</v>
      </c>
      <c r="I225" s="19" t="s">
        <v>63</v>
      </c>
      <c r="J225" t="str">
        <f>IF(I225="","",_xlfn.XLOOKUP(I225,Lists!$C:$C,Lists!$D:$D))</f>
        <v>Acetamiprid [20%]</v>
      </c>
      <c r="K225" s="19" t="s">
        <v>52</v>
      </c>
      <c r="L225" s="19">
        <v>50.0</v>
      </c>
      <c r="M225" s="19">
        <v>1200.0</v>
      </c>
      <c r="N225">
        <f>IF(OR(M225="",L225=""),"",(M225*L225)/100000)</f>
        <v>0.6</v>
      </c>
      <c r="O225" t="str">
        <f>IF(I225="","",_xlfn.XLOOKUP(I225,Lists!$C:$C,Lists!$J:$J))</f>
        <v>Kg</v>
      </c>
      <c r="P225">
        <f>IF(I225="","",_xlfn.XLOOKUP(I225,Lists!$C:$C,Lists!$E:$E))</f>
        <v>5.0</v>
      </c>
      <c r="Q225" s="21">
        <f>IF(OR(A225="",P225=""),"",A225+P225+1)</f>
        <v>46197.0</v>
      </c>
      <c r="R225" t="str">
        <f t="shared" si="24"/>
        <v>Allow</v>
      </c>
      <c r="S225" t="str">
        <f>IF(I225="","",_xlfn.XLOOKUP(I225,Lists!$C:$C,Lists!$I:$I))</f>
        <v>On-Label</v>
      </c>
    </row>
    <row r="226" spans="8:8">
      <c r="A226" s="18">
        <v>46191.0</v>
      </c>
      <c r="B226" s="19">
        <v>18.0</v>
      </c>
      <c r="C226">
        <f>_xlfn.XLOOKUP(B226,Lists!B:B,Lists!A:A,"")</f>
        <v>2.0</v>
      </c>
      <c r="D226" s="19" t="s">
        <v>234</v>
      </c>
      <c r="E226" s="19">
        <v>1.0</v>
      </c>
      <c r="F226" s="19">
        <v>160.0</v>
      </c>
      <c r="G226">
        <f>IF(OR(E226="",F226=""),"",F226-E226+1)</f>
        <v>160.0</v>
      </c>
      <c r="H226" s="20">
        <f>IF(D226="","",IF(OR(D226="A",D226="B"),G226/80,IF(D226="A&amp;B",G226/160,"")))</f>
        <v>1.0</v>
      </c>
      <c r="I226" s="19" t="s">
        <v>241</v>
      </c>
      <c r="J226" t="str">
        <f>IF(I226="","",_xlfn.XLOOKUP(I226,Lists!$C:$C,Lists!$D:$D))</f>
        <v>Lufenuron [5%]</v>
      </c>
      <c r="K226" s="19" t="s">
        <v>52</v>
      </c>
      <c r="L226" s="19">
        <v>50.0</v>
      </c>
      <c r="M226" s="19">
        <v>1200.0</v>
      </c>
      <c r="N226">
        <f>IF(OR(M226="",L226=""),"",(M226*L226)/100000)</f>
        <v>0.6</v>
      </c>
      <c r="O226">
        <f>IF(I226="","",_xlfn.XLOOKUP(I226,Lists!$C:$C,Lists!$J:$J))</f>
        <v>0.0</v>
      </c>
      <c r="P226">
        <f>IF(I226="","",_xlfn.XLOOKUP(I226,Lists!$C:$C,Lists!$E:$E))</f>
        <v>0.0</v>
      </c>
      <c r="Q226" s="21">
        <f>IF(OR(A226="",P226=""),"",A226+P226+1)</f>
        <v>46192.0</v>
      </c>
      <c r="R226" t="str">
        <f t="shared" si="24"/>
        <v>Allow</v>
      </c>
      <c r="S226">
        <f>IF(I226="","",_xlfn.XLOOKUP(I226,Lists!$C:$C,Lists!$I:$I))</f>
        <v>0.0</v>
      </c>
    </row>
    <row r="227" spans="8:8">
      <c r="A227" s="18">
        <v>46191.0</v>
      </c>
      <c r="B227" s="19">
        <v>19.0</v>
      </c>
      <c r="C227">
        <f>_xlfn.XLOOKUP(B227,Lists!B:B,Lists!A:A,"")</f>
        <v>2.0</v>
      </c>
      <c r="D227" s="19" t="s">
        <v>234</v>
      </c>
      <c r="E227" s="19">
        <v>1.0</v>
      </c>
      <c r="F227" s="19">
        <v>160.0</v>
      </c>
      <c r="G227">
        <f>IF(OR(E227="",F227=""),"",F227-E227+1)</f>
        <v>160.0</v>
      </c>
      <c r="H227" s="20">
        <f>IF(D227="","",IF(OR(D227="A",D227="B"),G227/80,IF(D227="A&amp;B",G227/160,"")))</f>
        <v>1.0</v>
      </c>
      <c r="I227" s="19" t="s">
        <v>63</v>
      </c>
      <c r="J227" t="str">
        <f>IF(I227="","",_xlfn.XLOOKUP(I227,Lists!$C:$C,Lists!$D:$D))</f>
        <v>Acetamiprid [20%]</v>
      </c>
      <c r="K227" s="19" t="s">
        <v>52</v>
      </c>
      <c r="L227" s="19">
        <v>50.0</v>
      </c>
      <c r="M227" s="19">
        <v>1200.0</v>
      </c>
      <c r="N227">
        <f>IF(OR(M227="",L227=""),"",(M227*L227)/100000)</f>
        <v>0.6</v>
      </c>
      <c r="O227" t="str">
        <f>IF(I227="","",_xlfn.XLOOKUP(I227,Lists!$C:$C,Lists!$J:$J))</f>
        <v>Kg</v>
      </c>
      <c r="P227">
        <f>IF(I227="","",_xlfn.XLOOKUP(I227,Lists!$C:$C,Lists!$E:$E))</f>
        <v>5.0</v>
      </c>
      <c r="Q227" s="21">
        <f>IF(OR(A227="",P227=""),"",A227+P227+1)</f>
        <v>46197.0</v>
      </c>
      <c r="R227" t="str">
        <f t="shared" si="24"/>
        <v>Allow</v>
      </c>
      <c r="S227" t="str">
        <f>IF(I227="","",_xlfn.XLOOKUP(I227,Lists!$C:$C,Lists!$I:$I))</f>
        <v>On-Label</v>
      </c>
    </row>
    <row r="228" spans="8:8">
      <c r="A228" s="18">
        <v>46191.0</v>
      </c>
      <c r="B228" s="19">
        <v>19.0</v>
      </c>
      <c r="C228">
        <f>_xlfn.XLOOKUP(B228,Lists!B:B,Lists!A:A,"")</f>
        <v>2.0</v>
      </c>
      <c r="D228" s="19" t="s">
        <v>234</v>
      </c>
      <c r="E228" s="19">
        <v>1.0</v>
      </c>
      <c r="F228" s="19">
        <v>160.0</v>
      </c>
      <c r="G228">
        <f>IF(OR(E228="",F228=""),"",F228-E228+1)</f>
        <v>160.0</v>
      </c>
      <c r="H228" s="20">
        <f>IF(D228="","",IF(OR(D228="A",D228="B"),G228/80,IF(D228="A&amp;B",G228/160,"")))</f>
        <v>1.0</v>
      </c>
      <c r="I228" s="19" t="s">
        <v>241</v>
      </c>
      <c r="J228" t="str">
        <f>IF(I228="","",_xlfn.XLOOKUP(I228,Lists!$C:$C,Lists!$D:$D))</f>
        <v>Lufenuron [5%]</v>
      </c>
      <c r="K228" s="19" t="s">
        <v>52</v>
      </c>
      <c r="L228" s="19">
        <v>50.0</v>
      </c>
      <c r="M228" s="19">
        <v>1200.0</v>
      </c>
      <c r="N228">
        <f>IF(OR(M228="",L228=""),"",(M228*L228)/100000)</f>
        <v>0.6</v>
      </c>
      <c r="O228">
        <f>IF(I228="","",_xlfn.XLOOKUP(I228,Lists!$C:$C,Lists!$J:$J))</f>
        <v>0.0</v>
      </c>
      <c r="P228">
        <f>IF(I228="","",_xlfn.XLOOKUP(I228,Lists!$C:$C,Lists!$E:$E))</f>
        <v>0.0</v>
      </c>
      <c r="Q228" s="21">
        <f>IF(OR(A228="",P228=""),"",A228+P228+1)</f>
        <v>46192.0</v>
      </c>
      <c r="R228" t="str">
        <f t="shared" si="24"/>
        <v>Allow</v>
      </c>
      <c r="S228">
        <f>IF(I228="","",_xlfn.XLOOKUP(I228,Lists!$C:$C,Lists!$I:$I))</f>
        <v>0.0</v>
      </c>
    </row>
    <row r="229" spans="8:8">
      <c r="A229" s="18">
        <v>46191.0</v>
      </c>
      <c r="B229" s="19">
        <v>22.0</v>
      </c>
      <c r="C229">
        <f>_xlfn.XLOOKUP(B229,Lists!B:B,Lists!A:A,"")</f>
        <v>3.0</v>
      </c>
      <c r="D229" s="19" t="s">
        <v>234</v>
      </c>
      <c r="E229" s="19">
        <v>1.0</v>
      </c>
      <c r="F229" s="19">
        <v>160.0</v>
      </c>
      <c r="G229">
        <f>IF(OR(E229="",F229=""),"",F229-E229+1)</f>
        <v>160.0</v>
      </c>
      <c r="H229" s="20">
        <f>IF(D229="","",IF(OR(D229="A",D229="B"),G229/80,IF(D229="A&amp;B",G229/160,"")))</f>
        <v>1.0</v>
      </c>
      <c r="I229" s="19" t="s">
        <v>63</v>
      </c>
      <c r="J229" t="str">
        <f>IF(I229="","",_xlfn.XLOOKUP(I229,Lists!$C:$C,Lists!$D:$D))</f>
        <v>Acetamiprid [20%]</v>
      </c>
      <c r="K229" s="19" t="s">
        <v>52</v>
      </c>
      <c r="L229" s="19">
        <v>50.0</v>
      </c>
      <c r="M229" s="19">
        <v>1200.0</v>
      </c>
      <c r="N229">
        <f>IF(OR(M229="",L229=""),"",(M229*L229)/100000)</f>
        <v>0.6</v>
      </c>
      <c r="O229" t="str">
        <f>IF(I229="","",_xlfn.XLOOKUP(I229,Lists!$C:$C,Lists!$J:$J))</f>
        <v>Kg</v>
      </c>
      <c r="P229">
        <f>IF(I229="","",_xlfn.XLOOKUP(I229,Lists!$C:$C,Lists!$E:$E))</f>
        <v>5.0</v>
      </c>
      <c r="Q229" s="21">
        <f>IF(OR(A229="",P229=""),"",A229+P229+1)</f>
        <v>46197.0</v>
      </c>
      <c r="R229" t="str">
        <f t="shared" si="24"/>
        <v>Allow</v>
      </c>
      <c r="S229" t="str">
        <f>IF(I229="","",_xlfn.XLOOKUP(I229,Lists!$C:$C,Lists!$I:$I))</f>
        <v>On-Label</v>
      </c>
    </row>
    <row r="230" spans="8:8">
      <c r="A230" s="18">
        <v>46191.0</v>
      </c>
      <c r="B230" s="19">
        <v>22.0</v>
      </c>
      <c r="C230">
        <f>_xlfn.XLOOKUP(B230,Lists!B:B,Lists!A:A,"")</f>
        <v>3.0</v>
      </c>
      <c r="D230" s="19" t="s">
        <v>234</v>
      </c>
      <c r="E230" s="19">
        <v>1.0</v>
      </c>
      <c r="F230" s="19">
        <v>160.0</v>
      </c>
      <c r="G230">
        <f>IF(OR(E230="",F230=""),"",F230-E230+1)</f>
        <v>160.0</v>
      </c>
      <c r="H230" s="20">
        <f>IF(D230="","",IF(OR(D230="A",D230="B"),G230/80,IF(D230="A&amp;B",G230/160,"")))</f>
        <v>1.0</v>
      </c>
      <c r="I230" s="19" t="s">
        <v>241</v>
      </c>
      <c r="J230" t="str">
        <f>IF(I230="","",_xlfn.XLOOKUP(I230,Lists!$C:$C,Lists!$D:$D))</f>
        <v>Lufenuron [5%]</v>
      </c>
      <c r="K230" s="19" t="s">
        <v>52</v>
      </c>
      <c r="L230" s="19">
        <v>50.0</v>
      </c>
      <c r="M230" s="19">
        <v>1200.0</v>
      </c>
      <c r="N230">
        <f>IF(OR(M230="",L230=""),"",(M230*L230)/100000)</f>
        <v>0.6</v>
      </c>
      <c r="O230">
        <f>IF(I230="","",_xlfn.XLOOKUP(I230,Lists!$C:$C,Lists!$J:$J))</f>
        <v>0.0</v>
      </c>
      <c r="P230">
        <f>IF(I230="","",_xlfn.XLOOKUP(I230,Lists!$C:$C,Lists!$E:$E))</f>
        <v>0.0</v>
      </c>
      <c r="Q230" s="21">
        <f>IF(OR(A230="",P230=""),"",A230+P230+1)</f>
        <v>46192.0</v>
      </c>
      <c r="R230" t="str">
        <f t="shared" si="24"/>
        <v>Allow</v>
      </c>
      <c r="S230">
        <f>IF(I230="","",_xlfn.XLOOKUP(I230,Lists!$C:$C,Lists!$I:$I))</f>
        <v>0.0</v>
      </c>
    </row>
    <row r="231" spans="8:8">
      <c r="A231" s="18">
        <v>46191.0</v>
      </c>
      <c r="B231" s="19">
        <v>23.0</v>
      </c>
      <c r="C231">
        <f>_xlfn.XLOOKUP(B231,Lists!B:B,Lists!A:A,"")</f>
        <v>3.0</v>
      </c>
      <c r="D231" s="19" t="s">
        <v>234</v>
      </c>
      <c r="E231" s="19">
        <v>1.0</v>
      </c>
      <c r="F231" s="19">
        <v>160.0</v>
      </c>
      <c r="G231">
        <f>IF(OR(E231="",F231=""),"",F231-E231+1)</f>
        <v>160.0</v>
      </c>
      <c r="H231" s="20">
        <f>IF(D231="","",IF(OR(D231="A",D231="B"),G231/80,IF(D231="A&amp;B",G231/160,"")))</f>
        <v>1.0</v>
      </c>
      <c r="I231" s="19" t="s">
        <v>66</v>
      </c>
      <c r="J231" t="str">
        <f>IF(I231="","",_xlfn.XLOOKUP(I231,Lists!$C:$C,Lists!$D:$D))</f>
        <v>Bifenthrin [8.8]&amp;Abamectin [1.3]</v>
      </c>
      <c r="K231" s="19" t="s">
        <v>52</v>
      </c>
      <c r="L231" s="19">
        <v>100.0</v>
      </c>
      <c r="M231" s="19">
        <v>1200.0</v>
      </c>
      <c r="N231">
        <f>IF(OR(M231="",L231=""),"",(M231*L231)/100000)</f>
        <v>1.2</v>
      </c>
      <c r="O231">
        <f>IF(I231="","",_xlfn.XLOOKUP(I231,Lists!$C:$C,Lists!$J:$J))</f>
        <v>0.0</v>
      </c>
      <c r="P231">
        <f>IF(I231="","",_xlfn.XLOOKUP(I231,Lists!$C:$C,Lists!$E:$E))</f>
        <v>0.0</v>
      </c>
      <c r="Q231" s="21">
        <f>IF(OR(A231="",P231=""),"",A231+P231+1)</f>
        <v>46192.0</v>
      </c>
      <c r="R231" t="str">
        <f t="shared" si="24"/>
        <v>Allow</v>
      </c>
      <c r="S231" t="str">
        <f>IF(I231="","",_xlfn.XLOOKUP(I231,Lists!$C:$C,Lists!$I:$I))</f>
        <v>On-Label</v>
      </c>
    </row>
    <row r="232" spans="8:8">
      <c r="A232" s="18">
        <v>46191.0</v>
      </c>
      <c r="B232" s="19">
        <v>24.0</v>
      </c>
      <c r="C232">
        <f>_xlfn.XLOOKUP(B232,Lists!B:B,Lists!A:A,"")</f>
        <v>3.0</v>
      </c>
      <c r="D232" s="19" t="s">
        <v>234</v>
      </c>
      <c r="E232" s="19">
        <v>1.0</v>
      </c>
      <c r="F232" s="19">
        <v>160.0</v>
      </c>
      <c r="G232">
        <f>IF(OR(E232="",F232=""),"",F232-E232+1)</f>
        <v>160.0</v>
      </c>
      <c r="H232" s="20">
        <f>IF(D232="","",IF(OR(D232="A",D232="B"),G232/80,IF(D232="A&amp;B",G232/160,"")))</f>
        <v>1.0</v>
      </c>
      <c r="I232" s="19" t="s">
        <v>63</v>
      </c>
      <c r="J232" t="str">
        <f>IF(I232="","",_xlfn.XLOOKUP(I232,Lists!$C:$C,Lists!$D:$D))</f>
        <v>Acetamiprid [20%]</v>
      </c>
      <c r="K232" s="19" t="s">
        <v>52</v>
      </c>
      <c r="L232" s="19">
        <v>50.0</v>
      </c>
      <c r="M232" s="19">
        <v>1200.0</v>
      </c>
      <c r="N232">
        <f>IF(OR(M232="",L232=""),"",(M232*L232)/100000)</f>
        <v>0.6</v>
      </c>
      <c r="O232" t="str">
        <f>IF(I232="","",_xlfn.XLOOKUP(I232,Lists!$C:$C,Lists!$J:$J))</f>
        <v>Kg</v>
      </c>
      <c r="P232">
        <f>IF(I232="","",_xlfn.XLOOKUP(I232,Lists!$C:$C,Lists!$E:$E))</f>
        <v>5.0</v>
      </c>
      <c r="Q232" s="21">
        <f>IF(OR(A232="",P232=""),"",A232+P232+1)</f>
        <v>46197.0</v>
      </c>
      <c r="R232" t="str">
        <f t="shared" si="24"/>
        <v>Allow</v>
      </c>
      <c r="S232" t="str">
        <f>IF(I232="","",_xlfn.XLOOKUP(I232,Lists!$C:$C,Lists!$I:$I))</f>
        <v>On-Label</v>
      </c>
    </row>
    <row r="233" spans="8:8">
      <c r="A233" s="18">
        <v>46191.0</v>
      </c>
      <c r="B233" s="19">
        <v>24.0</v>
      </c>
      <c r="C233">
        <f>_xlfn.XLOOKUP(B233,Lists!B:B,Lists!A:A,"")</f>
        <v>3.0</v>
      </c>
      <c r="D233" s="19" t="s">
        <v>234</v>
      </c>
      <c r="E233" s="19">
        <v>1.0</v>
      </c>
      <c r="F233" s="19">
        <v>160.0</v>
      </c>
      <c r="G233">
        <f>IF(OR(E233="",F233=""),"",F233-E233+1)</f>
        <v>160.0</v>
      </c>
      <c r="H233" s="20">
        <f>IF(D233="","",IF(OR(D233="A",D233="B"),G233/80,IF(D233="A&amp;B",G233/160,"")))</f>
        <v>1.0</v>
      </c>
      <c r="I233" s="19" t="s">
        <v>241</v>
      </c>
      <c r="J233" t="str">
        <f>IF(I233="","",_xlfn.XLOOKUP(I233,Lists!$C:$C,Lists!$D:$D))</f>
        <v>Lufenuron [5%]</v>
      </c>
      <c r="K233" s="19" t="s">
        <v>52</v>
      </c>
      <c r="L233" s="19">
        <v>50.0</v>
      </c>
      <c r="M233" s="19">
        <v>1200.0</v>
      </c>
      <c r="N233">
        <f>IF(OR(M233="",L233=""),"",(M233*L233)/100000)</f>
        <v>0.6</v>
      </c>
      <c r="O233">
        <f>IF(I233="","",_xlfn.XLOOKUP(I233,Lists!$C:$C,Lists!$J:$J))</f>
        <v>0.0</v>
      </c>
      <c r="P233">
        <f>IF(I233="","",_xlfn.XLOOKUP(I233,Lists!$C:$C,Lists!$E:$E))</f>
        <v>0.0</v>
      </c>
      <c r="Q233" s="21">
        <f>IF(OR(A233="",P233=""),"",A233+P233+1)</f>
        <v>46192.0</v>
      </c>
      <c r="R233" t="str">
        <f t="shared" si="24"/>
        <v>Allow</v>
      </c>
      <c r="S233">
        <f>IF(I233="","",_xlfn.XLOOKUP(I233,Lists!$C:$C,Lists!$I:$I))</f>
        <v>0.0</v>
      </c>
    </row>
    <row r="234" spans="8:8">
      <c r="A234" s="18">
        <v>46191.0</v>
      </c>
      <c r="B234" s="19">
        <v>29.0</v>
      </c>
      <c r="C234">
        <f>_xlfn.XLOOKUP(B234,Lists!B:B,Lists!A:A,"")</f>
        <v>3.0</v>
      </c>
      <c r="D234" s="19" t="s">
        <v>234</v>
      </c>
      <c r="E234" s="19">
        <v>1.0</v>
      </c>
      <c r="F234" s="19">
        <v>160.0</v>
      </c>
      <c r="G234">
        <f>IF(OR(E234="",F234=""),"",F234-E234+1)</f>
        <v>160.0</v>
      </c>
      <c r="H234" s="20">
        <f>IF(D234="","",IF(OR(D234="A",D234="B"),G234/80,IF(D234="A&amp;B",G234/160,"")))</f>
        <v>1.0</v>
      </c>
      <c r="I234" s="19" t="s">
        <v>63</v>
      </c>
      <c r="J234" t="str">
        <f>IF(I234="","",_xlfn.XLOOKUP(I234,Lists!$C:$C,Lists!$D:$D))</f>
        <v>Acetamiprid [20%]</v>
      </c>
      <c r="K234" s="19" t="s">
        <v>52</v>
      </c>
      <c r="L234" s="19">
        <v>50.0</v>
      </c>
      <c r="M234" s="19">
        <v>1200.0</v>
      </c>
      <c r="N234">
        <f>IF(OR(M234="",L234=""),"",(M234*L234)/100000)</f>
        <v>0.6</v>
      </c>
      <c r="O234" t="str">
        <f>IF(I234="","",_xlfn.XLOOKUP(I234,Lists!$C:$C,Lists!$J:$J))</f>
        <v>Kg</v>
      </c>
      <c r="P234">
        <f>IF(I234="","",_xlfn.XLOOKUP(I234,Lists!$C:$C,Lists!$E:$E))</f>
        <v>5.0</v>
      </c>
      <c r="Q234" s="21">
        <f>IF(OR(A234="",P234=""),"",A234+P234+1)</f>
        <v>46197.0</v>
      </c>
      <c r="R234" t="str">
        <f t="shared" si="24"/>
        <v>Allow</v>
      </c>
      <c r="S234" t="str">
        <f>IF(I234="","",_xlfn.XLOOKUP(I234,Lists!$C:$C,Lists!$I:$I))</f>
        <v>On-Label</v>
      </c>
    </row>
    <row r="235" spans="8:8">
      <c r="A235" s="18">
        <v>46191.0</v>
      </c>
      <c r="B235" s="19">
        <v>29.0</v>
      </c>
      <c r="C235">
        <f>_xlfn.XLOOKUP(B235,Lists!B:B,Lists!A:A,"")</f>
        <v>3.0</v>
      </c>
      <c r="D235" s="19" t="s">
        <v>234</v>
      </c>
      <c r="E235" s="19">
        <v>1.0</v>
      </c>
      <c r="F235" s="19">
        <v>160.0</v>
      </c>
      <c r="G235">
        <f>IF(OR(E235="",F235=""),"",F235-E235+1)</f>
        <v>160.0</v>
      </c>
      <c r="H235" s="20">
        <f>IF(D235="","",IF(OR(D235="A",D235="B"),G235/80,IF(D235="A&amp;B",G235/160,"")))</f>
        <v>1.0</v>
      </c>
      <c r="I235" s="19" t="s">
        <v>241</v>
      </c>
      <c r="J235" t="str">
        <f>IF(I235="","",_xlfn.XLOOKUP(I235,Lists!$C:$C,Lists!$D:$D))</f>
        <v>Lufenuron [5%]</v>
      </c>
      <c r="K235" s="19" t="s">
        <v>52</v>
      </c>
      <c r="L235" s="19">
        <v>50.0</v>
      </c>
      <c r="M235" s="19">
        <v>1200.0</v>
      </c>
      <c r="N235">
        <f>IF(OR(M235="",L235=""),"",(M235*L235)/100000)</f>
        <v>0.6</v>
      </c>
      <c r="O235">
        <f>IF(I235="","",_xlfn.XLOOKUP(I235,Lists!$C:$C,Lists!$J:$J))</f>
        <v>0.0</v>
      </c>
      <c r="P235">
        <f>IF(I235="","",_xlfn.XLOOKUP(I235,Lists!$C:$C,Lists!$E:$E))</f>
        <v>0.0</v>
      </c>
      <c r="Q235" s="21">
        <f>IF(OR(A235="",P235=""),"",A235+P235+1)</f>
        <v>46192.0</v>
      </c>
      <c r="R235" t="str">
        <f t="shared" si="24"/>
        <v>Allow</v>
      </c>
      <c r="S235">
        <f>IF(I235="","",_xlfn.XLOOKUP(I235,Lists!$C:$C,Lists!$I:$I))</f>
        <v>0.0</v>
      </c>
    </row>
    <row r="236" spans="8:8">
      <c r="A236" s="18">
        <v>46191.0</v>
      </c>
      <c r="B236" s="19">
        <v>39.0</v>
      </c>
      <c r="C236">
        <f>_xlfn.XLOOKUP(B236,Lists!B:B,Lists!A:A,"")</f>
        <v>5.0</v>
      </c>
      <c r="D236" s="19" t="s">
        <v>234</v>
      </c>
      <c r="E236" s="19">
        <v>1.0</v>
      </c>
      <c r="F236" s="19">
        <v>160.0</v>
      </c>
      <c r="G236">
        <f>IF(OR(E236="",F236=""),"",F236-E236+1)</f>
        <v>160.0</v>
      </c>
      <c r="H236" s="20">
        <f>IF(D236="","",IF(OR(D236="A",D236="B"),G236/80,IF(D236="A&amp;B",G236/160,"")))</f>
        <v>1.0</v>
      </c>
      <c r="I236" s="19" t="s">
        <v>63</v>
      </c>
      <c r="J236" t="str">
        <f>IF(I236="","",_xlfn.XLOOKUP(I236,Lists!$C:$C,Lists!$D:$D))</f>
        <v>Acetamiprid [20%]</v>
      </c>
      <c r="K236" s="19" t="s">
        <v>52</v>
      </c>
      <c r="L236" s="19">
        <v>50.0</v>
      </c>
      <c r="M236" s="19">
        <v>1200.0</v>
      </c>
      <c r="N236">
        <f>IF(OR(M236="",L236=""),"",(M236*L236)/100000)</f>
        <v>0.6</v>
      </c>
      <c r="O236" t="str">
        <f>IF(I236="","",_xlfn.XLOOKUP(I236,Lists!$C:$C,Lists!$J:$J))</f>
        <v>Kg</v>
      </c>
      <c r="P236">
        <f>IF(I236="","",_xlfn.XLOOKUP(I236,Lists!$C:$C,Lists!$E:$E))</f>
        <v>5.0</v>
      </c>
      <c r="Q236" s="21">
        <f>IF(OR(A236="",P236=""),"",A236+P236+1)</f>
        <v>46197.0</v>
      </c>
      <c r="R236" t="str">
        <f t="shared" si="24"/>
        <v>Allow</v>
      </c>
      <c r="S236" t="str">
        <f>IF(I236="","",_xlfn.XLOOKUP(I236,Lists!$C:$C,Lists!$I:$I))</f>
        <v>On-Label</v>
      </c>
    </row>
    <row r="237" spans="8:8">
      <c r="A237" s="18">
        <v>46191.0</v>
      </c>
      <c r="B237" s="19">
        <v>39.0</v>
      </c>
      <c r="C237">
        <f>_xlfn.XLOOKUP(B237,Lists!B:B,Lists!A:A,"")</f>
        <v>5.0</v>
      </c>
      <c r="D237" s="19" t="s">
        <v>234</v>
      </c>
      <c r="E237" s="19">
        <v>1.0</v>
      </c>
      <c r="F237" s="19">
        <v>160.0</v>
      </c>
      <c r="G237">
        <f>IF(OR(E237="",F237=""),"",F237-E237+1)</f>
        <v>160.0</v>
      </c>
      <c r="H237" s="20">
        <f>IF(D237="","",IF(OR(D237="A",D237="B"),G237/80,IF(D237="A&amp;B",G237/160,"")))</f>
        <v>1.0</v>
      </c>
      <c r="I237" s="19" t="s">
        <v>241</v>
      </c>
      <c r="J237" t="str">
        <f>IF(I237="","",_xlfn.XLOOKUP(I237,Lists!$C:$C,Lists!$D:$D))</f>
        <v>Lufenuron [5%]</v>
      </c>
      <c r="K237" s="19" t="s">
        <v>52</v>
      </c>
      <c r="L237" s="19">
        <v>50.0</v>
      </c>
      <c r="M237" s="19">
        <v>1200.0</v>
      </c>
      <c r="N237">
        <f>IF(OR(M237="",L237=""),"",(M237*L237)/100000)</f>
        <v>0.6</v>
      </c>
      <c r="O237">
        <f>IF(I237="","",_xlfn.XLOOKUP(I237,Lists!$C:$C,Lists!$J:$J))</f>
        <v>0.0</v>
      </c>
      <c r="P237">
        <f>IF(I237="","",_xlfn.XLOOKUP(I237,Lists!$C:$C,Lists!$E:$E))</f>
        <v>0.0</v>
      </c>
      <c r="Q237" s="21">
        <f>IF(OR(A237="",P237=""),"",A237+P237+1)</f>
        <v>46192.0</v>
      </c>
      <c r="R237" t="str">
        <f t="shared" si="24"/>
        <v>Allow</v>
      </c>
      <c r="S237">
        <f>IF(I237="","",_xlfn.XLOOKUP(I237,Lists!$C:$C,Lists!$I:$I))</f>
        <v>0.0</v>
      </c>
    </row>
    <row r="238" spans="8:8">
      <c r="A238" s="18">
        <v>46191.0</v>
      </c>
      <c r="B238" s="19">
        <v>52.0</v>
      </c>
      <c r="C238">
        <f>_xlfn.XLOOKUP(B238,Lists!B:B,Lists!A:A,"")</f>
        <v>4.0</v>
      </c>
      <c r="D238" s="19" t="s">
        <v>234</v>
      </c>
      <c r="E238" s="19">
        <v>1.0</v>
      </c>
      <c r="F238" s="19">
        <v>160.0</v>
      </c>
      <c r="G238">
        <f>IF(OR(E238="",F238=""),"",F238-E238+1)</f>
        <v>160.0</v>
      </c>
      <c r="H238" s="20">
        <f>IF(D238="","",IF(OR(D238="A",D238="B"),G238/80,IF(D238="A&amp;B",G238/160,"")))</f>
        <v>1.0</v>
      </c>
      <c r="I238" s="19" t="s">
        <v>63</v>
      </c>
      <c r="J238" t="str">
        <f>IF(I238="","",_xlfn.XLOOKUP(I238,Lists!$C:$C,Lists!$D:$D))</f>
        <v>Acetamiprid [20%]</v>
      </c>
      <c r="K238" s="19" t="s">
        <v>52</v>
      </c>
      <c r="L238" s="19">
        <v>50.0</v>
      </c>
      <c r="M238" s="19">
        <v>1200.0</v>
      </c>
      <c r="N238">
        <f>IF(OR(M238="",L238=""),"",(M238*L238)/100000)</f>
        <v>0.6</v>
      </c>
      <c r="O238" t="str">
        <f>IF(I238="","",_xlfn.XLOOKUP(I238,Lists!$C:$C,Lists!$J:$J))</f>
        <v>Kg</v>
      </c>
      <c r="P238">
        <f>IF(I238="","",_xlfn.XLOOKUP(I238,Lists!$C:$C,Lists!$E:$E))</f>
        <v>5.0</v>
      </c>
      <c r="Q238" s="21">
        <f>IF(OR(A238="",P238=""),"",A238+P238+1)</f>
        <v>46197.0</v>
      </c>
      <c r="R238" t="str">
        <f t="shared" si="24"/>
        <v>Allow</v>
      </c>
      <c r="S238" t="str">
        <f>IF(I238="","",_xlfn.XLOOKUP(I238,Lists!$C:$C,Lists!$I:$I))</f>
        <v>On-Label</v>
      </c>
    </row>
    <row r="239" spans="8:8">
      <c r="A239" s="18">
        <v>46191.0</v>
      </c>
      <c r="B239" s="19">
        <v>52.0</v>
      </c>
      <c r="C239">
        <f>_xlfn.XLOOKUP(B239,Lists!B:B,Lists!A:A,"")</f>
        <v>4.0</v>
      </c>
      <c r="D239" s="19" t="s">
        <v>234</v>
      </c>
      <c r="E239" s="19">
        <v>1.0</v>
      </c>
      <c r="F239" s="19">
        <v>160.0</v>
      </c>
      <c r="G239">
        <f>IF(OR(E239="",F239=""),"",F239-E239+1)</f>
        <v>160.0</v>
      </c>
      <c r="H239" s="20">
        <f>IF(D239="","",IF(OR(D239="A",D239="B"),G239/80,IF(D239="A&amp;B",G239/160,"")))</f>
        <v>1.0</v>
      </c>
      <c r="I239" s="19" t="s">
        <v>241</v>
      </c>
      <c r="J239" t="str">
        <f>IF(I239="","",_xlfn.XLOOKUP(I239,Lists!$C:$C,Lists!$D:$D))</f>
        <v>Lufenuron [5%]</v>
      </c>
      <c r="K239" s="19" t="s">
        <v>52</v>
      </c>
      <c r="L239" s="19">
        <v>50.0</v>
      </c>
      <c r="M239" s="19">
        <v>1200.0</v>
      </c>
      <c r="N239">
        <f>IF(OR(M239="",L239=""),"",(M239*L239)/100000)</f>
        <v>0.6</v>
      </c>
      <c r="O239">
        <f>IF(I239="","",_xlfn.XLOOKUP(I239,Lists!$C:$C,Lists!$J:$J))</f>
        <v>0.0</v>
      </c>
      <c r="P239">
        <f>IF(I239="","",_xlfn.XLOOKUP(I239,Lists!$C:$C,Lists!$E:$E))</f>
        <v>0.0</v>
      </c>
      <c r="Q239" s="21">
        <f>IF(OR(A239="",P239=""),"",A239+P239+1)</f>
        <v>46192.0</v>
      </c>
      <c r="R239" t="str">
        <f t="shared" si="24"/>
        <v>Allow</v>
      </c>
      <c r="S239">
        <f>IF(I239="","",_xlfn.XLOOKUP(I239,Lists!$C:$C,Lists!$I:$I))</f>
        <v>0.0</v>
      </c>
    </row>
    <row r="240" spans="8:8">
      <c r="A240" s="18">
        <v>46191.0</v>
      </c>
      <c r="B240" s="19">
        <v>57.0</v>
      </c>
      <c r="C240">
        <f>_xlfn.XLOOKUP(B240,Lists!B:B,Lists!A:A,"")</f>
        <v>4.0</v>
      </c>
      <c r="D240" s="19" t="s">
        <v>234</v>
      </c>
      <c r="E240" s="19">
        <v>1.0</v>
      </c>
      <c r="F240" s="19">
        <v>160.0</v>
      </c>
      <c r="G240">
        <f>IF(OR(E240="",F240=""),"",F240-E240+1)</f>
        <v>160.0</v>
      </c>
      <c r="H240" s="20">
        <f>IF(D240="","",IF(OR(D240="A",D240="B"),G240/80,IF(D240="A&amp;B",G240/160,"")))</f>
        <v>1.0</v>
      </c>
      <c r="I240" s="19" t="s">
        <v>63</v>
      </c>
      <c r="J240" t="str">
        <f>IF(I240="","",_xlfn.XLOOKUP(I240,Lists!$C:$C,Lists!$D:$D))</f>
        <v>Acetamiprid [20%]</v>
      </c>
      <c r="K240" s="19" t="s">
        <v>52</v>
      </c>
      <c r="L240" s="19">
        <v>50.0</v>
      </c>
      <c r="M240" s="19">
        <v>1200.0</v>
      </c>
      <c r="N240">
        <f>IF(OR(M240="",L240=""),"",(M240*L240)/100000)</f>
        <v>0.6</v>
      </c>
      <c r="O240" t="str">
        <f>IF(I240="","",_xlfn.XLOOKUP(I240,Lists!$C:$C,Lists!$J:$J))</f>
        <v>Kg</v>
      </c>
      <c r="P240">
        <f>IF(I240="","",_xlfn.XLOOKUP(I240,Lists!$C:$C,Lists!$E:$E))</f>
        <v>5.0</v>
      </c>
      <c r="Q240" s="21">
        <f>IF(OR(A240="",P240=""),"",A240+P240+1)</f>
        <v>46197.0</v>
      </c>
      <c r="R240" t="str">
        <f t="shared" si="24"/>
        <v>Allow</v>
      </c>
      <c r="S240" t="str">
        <f>IF(I240="","",_xlfn.XLOOKUP(I240,Lists!$C:$C,Lists!$I:$I))</f>
        <v>On-Label</v>
      </c>
    </row>
    <row r="241" spans="8:8">
      <c r="A241" s="18">
        <v>46191.0</v>
      </c>
      <c r="B241" s="19">
        <v>57.0</v>
      </c>
      <c r="C241">
        <f>_xlfn.XLOOKUP(B241,Lists!B:B,Lists!A:A,"")</f>
        <v>4.0</v>
      </c>
      <c r="D241" s="19" t="s">
        <v>234</v>
      </c>
      <c r="E241" s="19">
        <v>1.0</v>
      </c>
      <c r="F241" s="19">
        <v>160.0</v>
      </c>
      <c r="G241">
        <f>IF(OR(E241="",F241=""),"",F241-E241+1)</f>
        <v>160.0</v>
      </c>
      <c r="H241" s="20">
        <f>IF(D241="","",IF(OR(D241="A",D241="B"),G241/80,IF(D241="A&amp;B",G241/160,"")))</f>
        <v>1.0</v>
      </c>
      <c r="I241" s="19" t="s">
        <v>241</v>
      </c>
      <c r="J241" t="str">
        <f>IF(I241="","",_xlfn.XLOOKUP(I241,Lists!$C:$C,Lists!$D:$D))</f>
        <v>Lufenuron [5%]</v>
      </c>
      <c r="K241" s="19" t="s">
        <v>52</v>
      </c>
      <c r="L241" s="19">
        <v>50.0</v>
      </c>
      <c r="M241" s="19">
        <v>1200.0</v>
      </c>
      <c r="N241">
        <f>IF(OR(M241="",L241=""),"",(M241*L241)/100000)</f>
        <v>0.6</v>
      </c>
      <c r="O241">
        <f>IF(I241="","",_xlfn.XLOOKUP(I241,Lists!$C:$C,Lists!$J:$J))</f>
        <v>0.0</v>
      </c>
      <c r="P241">
        <f>IF(I241="","",_xlfn.XLOOKUP(I241,Lists!$C:$C,Lists!$E:$E))</f>
        <v>0.0</v>
      </c>
      <c r="Q241" s="21">
        <f>IF(OR(A241="",P241=""),"",A241+P241+1)</f>
        <v>46192.0</v>
      </c>
      <c r="R241" t="str">
        <f t="shared" si="24"/>
        <v>Allow</v>
      </c>
      <c r="S241">
        <f>IF(I241="","",_xlfn.XLOOKUP(I241,Lists!$C:$C,Lists!$I:$I))</f>
        <v>0.0</v>
      </c>
    </row>
    <row r="242" spans="8:8" ht="16.8">
      <c r="A242" s="18">
        <v>46192.0</v>
      </c>
      <c r="B242" s="19">
        <v>2.0</v>
      </c>
      <c r="C242">
        <f>_xlfn.XLOOKUP(B242,Lists!B:B,Lists!A:A,"")</f>
        <v>0.0</v>
      </c>
      <c r="D242" s="19" t="s">
        <v>234</v>
      </c>
      <c r="E242" s="19">
        <v>1.0</v>
      </c>
      <c r="F242" s="19">
        <v>160.0</v>
      </c>
      <c r="G242">
        <f>IF(OR(E242="",F242=""),"",F242-E242+1)</f>
        <v>160.0</v>
      </c>
      <c r="H242" s="20">
        <f>IF(D242="","",IF(OR(D242="A",D242="B"),G242/80,IF(D242="A&amp;B",G242/160,"")))</f>
        <v>1.0</v>
      </c>
      <c r="I242" s="19" t="s">
        <v>66</v>
      </c>
      <c r="J242" t="str">
        <f>IF(I242="","",_xlfn.XLOOKUP(I242,Lists!$C:$C,Lists!$D:$D))</f>
        <v/>
      </c>
      <c r="K242" s="19" t="s">
        <v>52</v>
      </c>
      <c r="L242" s="19">
        <v>100.0</v>
      </c>
      <c r="M242" s="19">
        <v>1200.0</v>
      </c>
      <c r="N242">
        <f>IF(OR(M242="",L242=""),"",(M242*L242)/100000)</f>
        <v>1.2</v>
      </c>
      <c r="O242" t="str">
        <f>IF(I242="","",_xlfn.XLOOKUP(I242,Lists!$C:$C,Lists!$J:$J))</f>
        <v/>
      </c>
      <c r="P242" t="str">
        <f>IF(I242="","",_xlfn.XLOOKUP(I242,Lists!$C:$C,Lists!$E:$E))</f>
        <v/>
      </c>
      <c r="Q242" s="21" t="str">
        <f>IF(OR(A242="",P242=""),"",A242+P242+1)</f>
        <v/>
      </c>
      <c r="R242" t="str">
        <f t="shared" si="24"/>
        <v/>
      </c>
      <c r="S242" t="str">
        <f>IF(I242="","",_xlfn.XLOOKUP(I242,Lists!$C:$C,Lists!$I:$I))</f>
        <v/>
      </c>
    </row>
    <row r="243" spans="8:8" ht="16.8">
      <c r="A243" s="18">
        <v>46192.0</v>
      </c>
      <c r="B243" s="19">
        <v>3.0</v>
      </c>
      <c r="C243">
        <f>_xlfn.XLOOKUP(B243,Lists!B:B,Lists!A:A,"")</f>
        <v>0.0</v>
      </c>
      <c r="D243" s="19" t="s">
        <v>234</v>
      </c>
      <c r="E243" s="19">
        <v>1.0</v>
      </c>
      <c r="F243" s="19">
        <v>160.0</v>
      </c>
      <c r="G243">
        <f>IF(OR(E243="",F243=""),"",F243-E243+1)</f>
        <v>160.0</v>
      </c>
      <c r="H243" s="20">
        <f>IF(D243="","",IF(OR(D243="A",D243="B"),G243/80,IF(D243="A&amp;B",G243/160,"")))</f>
        <v>1.0</v>
      </c>
      <c r="I243" s="19" t="s">
        <v>66</v>
      </c>
      <c r="J243" t="str">
        <f>IF(I243="","",_xlfn.XLOOKUP(I243,Lists!$C:$C,Lists!$D:$D))</f>
        <v/>
      </c>
      <c r="K243" s="19" t="s">
        <v>52</v>
      </c>
      <c r="L243" s="19">
        <v>100.0</v>
      </c>
      <c r="M243" s="19">
        <v>1200.0</v>
      </c>
      <c r="N243">
        <f>IF(OR(M243="",L243=""),"",(M243*L243)/100000)</f>
        <v>1.2</v>
      </c>
      <c r="O243" t="str">
        <f>IF(I243="","",_xlfn.XLOOKUP(I243,Lists!$C:$C,Lists!$J:$J))</f>
        <v/>
      </c>
      <c r="P243" t="str">
        <f>IF(I243="","",_xlfn.XLOOKUP(I243,Lists!$C:$C,Lists!$E:$E))</f>
        <v/>
      </c>
      <c r="Q243" s="21" t="str">
        <f>IF(OR(A243="",P243=""),"",A243+P243+1)</f>
        <v/>
      </c>
      <c r="R243" t="str">
        <f t="shared" si="24"/>
        <v/>
      </c>
      <c r="S243" t="str">
        <f>IF(I243="","",_xlfn.XLOOKUP(I243,Lists!$C:$C,Lists!$I:$I))</f>
        <v/>
      </c>
    </row>
    <row r="244" spans="8:8" ht="16.8">
      <c r="A244" s="18">
        <v>46192.0</v>
      </c>
      <c r="B244" s="19">
        <v>13.0</v>
      </c>
      <c r="C244">
        <f>_xlfn.XLOOKUP(B244,Lists!B:B,Lists!A:A,"")</f>
        <v>0.0</v>
      </c>
      <c r="D244" s="19" t="s">
        <v>234</v>
      </c>
      <c r="E244" s="19">
        <v>1.0</v>
      </c>
      <c r="F244" s="19">
        <v>160.0</v>
      </c>
      <c r="G244">
        <f>IF(OR(E244="",F244=""),"",F244-E244+1)</f>
        <v>160.0</v>
      </c>
      <c r="H244" s="20">
        <f>IF(D244="","",IF(OR(D244="A",D244="B"),G244/80,IF(D244="A&amp;B",G244/160,"")))</f>
        <v>1.0</v>
      </c>
      <c r="I244" s="19" t="s">
        <v>66</v>
      </c>
      <c r="J244" t="str">
        <f>IF(I244="","",_xlfn.XLOOKUP(I244,Lists!$C:$C,Lists!$D:$D))</f>
        <v/>
      </c>
      <c r="K244" s="19" t="s">
        <v>52</v>
      </c>
      <c r="L244" s="19">
        <v>100.0</v>
      </c>
      <c r="M244" s="19">
        <v>1200.0</v>
      </c>
      <c r="N244">
        <f>IF(OR(M244="",L244=""),"",(M244*L244)/100000)</f>
        <v>1.2</v>
      </c>
      <c r="O244" t="str">
        <f>IF(I244="","",_xlfn.XLOOKUP(I244,Lists!$C:$C,Lists!$J:$J))</f>
        <v/>
      </c>
      <c r="P244" t="str">
        <f>IF(I244="","",_xlfn.XLOOKUP(I244,Lists!$C:$C,Lists!$E:$E))</f>
        <v/>
      </c>
      <c r="Q244" s="21" t="str">
        <f>IF(OR(A244="",P244=""),"",A244+P244+1)</f>
        <v/>
      </c>
      <c r="R244" t="str">
        <f t="shared" si="24"/>
        <v/>
      </c>
      <c r="S244" t="str">
        <f>IF(I244="","",_xlfn.XLOOKUP(I244,Lists!$C:$C,Lists!$I:$I))</f>
        <v/>
      </c>
    </row>
    <row r="245" spans="8:8" ht="16.8">
      <c r="A245" s="18">
        <v>46192.0</v>
      </c>
      <c r="B245" s="19">
        <v>14.0</v>
      </c>
      <c r="C245">
        <f>_xlfn.XLOOKUP(B245,Lists!B:B,Lists!A:A,"")</f>
        <v>0.0</v>
      </c>
      <c r="D245" s="19" t="s">
        <v>234</v>
      </c>
      <c r="E245" s="19">
        <v>1.0</v>
      </c>
      <c r="F245" s="19">
        <v>160.0</v>
      </c>
      <c r="G245">
        <f>IF(OR(E245="",F245=""),"",F245-E245+1)</f>
        <v>160.0</v>
      </c>
      <c r="H245" s="20">
        <f>IF(D245="","",IF(OR(D245="A",D245="B"),G245/80,IF(D245="A&amp;B",G245/160,"")))</f>
        <v>1.0</v>
      </c>
      <c r="I245" s="19" t="s">
        <v>66</v>
      </c>
      <c r="J245" t="str">
        <f>IF(I245="","",_xlfn.XLOOKUP(I245,Lists!$C:$C,Lists!$D:$D))</f>
        <v/>
      </c>
      <c r="K245" s="19" t="s">
        <v>52</v>
      </c>
      <c r="L245" s="19">
        <v>100.0</v>
      </c>
      <c r="M245" s="19">
        <v>1200.0</v>
      </c>
      <c r="N245">
        <f>IF(OR(M245="",L245=""),"",(M245*L245)/100000)</f>
        <v>1.2</v>
      </c>
      <c r="O245" t="str">
        <f>IF(I245="","",_xlfn.XLOOKUP(I245,Lists!$C:$C,Lists!$J:$J))</f>
        <v/>
      </c>
      <c r="P245" t="str">
        <f>IF(I245="","",_xlfn.XLOOKUP(I245,Lists!$C:$C,Lists!$E:$E))</f>
        <v/>
      </c>
      <c r="Q245" s="21" t="str">
        <f>IF(OR(A245="",P245=""),"",A245+P245+1)</f>
        <v/>
      </c>
      <c r="R245" t="str">
        <f t="shared" si="24"/>
        <v/>
      </c>
      <c r="S245" t="str">
        <f>IF(I245="","",_xlfn.XLOOKUP(I245,Lists!$C:$C,Lists!$I:$I))</f>
        <v/>
      </c>
    </row>
    <row r="246" spans="8:8" ht="17.15">
      <c r="A246" s="18">
        <v>46192.0</v>
      </c>
      <c r="B246" s="19">
        <v>27.0</v>
      </c>
      <c r="C246">
        <f>_xlfn.XLOOKUP(B246,Lists!B:B,Lists!A:A,"")</f>
        <v>0.0</v>
      </c>
      <c r="D246" s="19" t="s">
        <v>234</v>
      </c>
      <c r="E246" s="19">
        <v>1.0</v>
      </c>
      <c r="F246" s="19">
        <v>160.0</v>
      </c>
      <c r="G246">
        <f>IF(OR(E246="",F246=""),"",F246-E246+1)</f>
        <v>160.0</v>
      </c>
      <c r="H246" s="20">
        <f>IF(D246="","",IF(OR(D246="A",D246="B"),G246/80,IF(D246="A&amp;B",G246/160,"")))</f>
        <v>1.0</v>
      </c>
      <c r="I246" s="19" t="s">
        <v>241</v>
      </c>
      <c r="J246" t="str">
        <f>IF(I246="","",_xlfn.XLOOKUP(I246,Lists!$C:$C,Lists!$D:$D))</f>
        <v/>
      </c>
      <c r="K246" s="19" t="s">
        <v>52</v>
      </c>
      <c r="L246" s="19">
        <v>50.0</v>
      </c>
      <c r="M246" s="19">
        <v>1200.0</v>
      </c>
      <c r="N246">
        <f>IF(OR(M246="",L246=""),"",(M246*L246)/100000)</f>
        <v>0.6</v>
      </c>
      <c r="O246" t="str">
        <f>IF(I246="","",_xlfn.XLOOKUP(I246,Lists!$C:$C,Lists!$J:$J))</f>
        <v/>
      </c>
      <c r="P246" t="str">
        <f>IF(I246="","",_xlfn.XLOOKUP(I246,Lists!$C:$C,Lists!$E:$E))</f>
        <v/>
      </c>
      <c r="Q246" s="21" t="str">
        <f>IF(OR(A246="",P246=""),"",A246+P246+1)</f>
        <v/>
      </c>
      <c r="R246" t="str">
        <f t="shared" si="24"/>
        <v/>
      </c>
      <c r="S246" t="str">
        <f>IF(I246="","",_xlfn.XLOOKUP(I246,Lists!$C:$C,Lists!$I:$I))</f>
        <v/>
      </c>
    </row>
    <row r="247" spans="8:8" ht="17.15">
      <c r="A247" s="18">
        <v>46192.0</v>
      </c>
      <c r="B247" s="19">
        <v>27.0</v>
      </c>
      <c r="C247">
        <f>_xlfn.XLOOKUP(B247,Lists!B:B,Lists!A:A,"")</f>
        <v>0.0</v>
      </c>
      <c r="D247" s="19" t="s">
        <v>234</v>
      </c>
      <c r="E247" s="19">
        <v>1.0</v>
      </c>
      <c r="F247" s="19">
        <v>160.0</v>
      </c>
      <c r="G247">
        <f>IF(OR(E247="",F247=""),"",F247-E247+1)</f>
        <v>160.0</v>
      </c>
      <c r="H247" s="20">
        <f>IF(D247="","",IF(OR(D247="A",D247="B"),G247/80,IF(D247="A&amp;B",G247/160,"")))</f>
        <v>1.0</v>
      </c>
      <c r="I247" s="19" t="s">
        <v>63</v>
      </c>
      <c r="J247" t="str">
        <f>IF(I247="","",_xlfn.XLOOKUP(I247,Lists!$C:$C,Lists!$D:$D))</f>
        <v/>
      </c>
      <c r="K247" s="19" t="s">
        <v>52</v>
      </c>
      <c r="L247" s="19">
        <v>50.0</v>
      </c>
      <c r="M247" s="19">
        <v>1200.0</v>
      </c>
      <c r="N247">
        <f>IF(OR(M247="",L247=""),"",(M247*L247)/100000)</f>
        <v>0.6</v>
      </c>
      <c r="O247" t="str">
        <f>IF(I247="","",_xlfn.XLOOKUP(I247,Lists!$C:$C,Lists!$J:$J))</f>
        <v/>
      </c>
      <c r="P247" t="str">
        <f>IF(I247="","",_xlfn.XLOOKUP(I247,Lists!$C:$C,Lists!$E:$E))</f>
        <v/>
      </c>
      <c r="Q247" s="21" t="str">
        <f>IF(OR(A247="",P247=""),"",A247+P247+1)</f>
        <v/>
      </c>
      <c r="R247" t="str">
        <f t="shared" si="24"/>
        <v/>
      </c>
      <c r="S247" t="str">
        <f>IF(I247="","",_xlfn.XLOOKUP(I247,Lists!$C:$C,Lists!$I:$I))</f>
        <v/>
      </c>
    </row>
    <row r="248" spans="8:8" ht="17.15">
      <c r="A248" s="18">
        <v>46192.0</v>
      </c>
      <c r="B248" s="19">
        <v>28.0</v>
      </c>
      <c r="C248">
        <f>_xlfn.XLOOKUP(B248,Lists!B:B,Lists!A:A,"")</f>
        <v>0.0</v>
      </c>
      <c r="D248" s="19" t="s">
        <v>234</v>
      </c>
      <c r="E248" s="19">
        <v>1.0</v>
      </c>
      <c r="F248" s="19">
        <v>160.0</v>
      </c>
      <c r="G248">
        <f>IF(OR(E248="",F248=""),"",F248-E248+1)</f>
        <v>160.0</v>
      </c>
      <c r="H248" s="20">
        <f>IF(D248="","",IF(OR(D248="A",D248="B"),G248/80,IF(D248="A&amp;B",G248/160,"")))</f>
        <v>1.0</v>
      </c>
      <c r="I248" s="19" t="s">
        <v>66</v>
      </c>
      <c r="J248" t="str">
        <f>IF(I248="","",_xlfn.XLOOKUP(I248,Lists!$C:$C,Lists!$D:$D))</f>
        <v/>
      </c>
      <c r="K248" s="19" t="s">
        <v>52</v>
      </c>
      <c r="L248" s="19">
        <v>100.0</v>
      </c>
      <c r="M248" s="19">
        <v>1200.0</v>
      </c>
      <c r="N248">
        <f>IF(OR(M248="",L248=""),"",(M248*L248)/100000)</f>
        <v>1.2</v>
      </c>
      <c r="O248" t="str">
        <f>IF(I248="","",_xlfn.XLOOKUP(I248,Lists!$C:$C,Lists!$J:$J))</f>
        <v/>
      </c>
      <c r="P248" t="str">
        <f>IF(I248="","",_xlfn.XLOOKUP(I248,Lists!$C:$C,Lists!$E:$E))</f>
        <v/>
      </c>
      <c r="Q248" s="21" t="str">
        <f>IF(OR(A248="",P248=""),"",A248+P248+1)</f>
        <v/>
      </c>
      <c r="R248" t="str">
        <f t="shared" si="24"/>
        <v/>
      </c>
      <c r="S248" t="str">
        <f>IF(I248="","",_xlfn.XLOOKUP(I248,Lists!$C:$C,Lists!$I:$I))</f>
        <v/>
      </c>
    </row>
    <row r="249" spans="8:8" ht="17.15">
      <c r="A249" s="18">
        <v>46192.0</v>
      </c>
      <c r="B249" s="19">
        <v>33.0</v>
      </c>
      <c r="C249">
        <f>_xlfn.XLOOKUP(B249,Lists!B:B,Lists!A:A,"")</f>
        <v>0.0</v>
      </c>
      <c r="D249" s="19" t="s">
        <v>234</v>
      </c>
      <c r="E249" s="19">
        <v>1.0</v>
      </c>
      <c r="F249" s="19">
        <v>160.0</v>
      </c>
      <c r="G249">
        <f>IF(OR(E249="",F249=""),"",F249-E249+1)</f>
        <v>160.0</v>
      </c>
      <c r="H249" s="20">
        <f>IF(D249="","",IF(OR(D249="A",D249="B"),G249/80,IF(D249="A&amp;B",G249/160,"")))</f>
        <v>1.0</v>
      </c>
      <c r="I249" s="19" t="s">
        <v>241</v>
      </c>
      <c r="J249" t="str">
        <f>IF(I249="","",_xlfn.XLOOKUP(I249,Lists!$C:$C,Lists!$D:$D))</f>
        <v/>
      </c>
      <c r="K249" s="19" t="s">
        <v>52</v>
      </c>
      <c r="L249" s="19">
        <v>50.0</v>
      </c>
      <c r="M249" s="19">
        <v>1200.0</v>
      </c>
      <c r="N249">
        <f>IF(OR(M249="",L249=""),"",(M249*L249)/100000)</f>
        <v>0.6</v>
      </c>
      <c r="O249" t="str">
        <f>IF(I249="","",_xlfn.XLOOKUP(I249,Lists!$C:$C,Lists!$J:$J))</f>
        <v/>
      </c>
      <c r="P249" t="str">
        <f>IF(I249="","",_xlfn.XLOOKUP(I249,Lists!$C:$C,Lists!$E:$E))</f>
        <v/>
      </c>
      <c r="Q249" s="21" t="str">
        <f>IF(OR(A249="",P249=""),"",A249+P249+1)</f>
        <v/>
      </c>
      <c r="R249" t="str">
        <f t="shared" si="24"/>
        <v/>
      </c>
      <c r="S249" t="str">
        <f>IF(I249="","",_xlfn.XLOOKUP(I249,Lists!$C:$C,Lists!$I:$I))</f>
        <v/>
      </c>
    </row>
    <row r="250" spans="8:8" ht="17.15">
      <c r="A250" s="18">
        <v>46192.0</v>
      </c>
      <c r="B250" s="19">
        <v>33.0</v>
      </c>
      <c r="C250">
        <f>_xlfn.XLOOKUP(B250,Lists!B:B,Lists!A:A,"")</f>
        <v>0.0</v>
      </c>
      <c r="D250" s="19" t="s">
        <v>234</v>
      </c>
      <c r="E250" s="19">
        <v>1.0</v>
      </c>
      <c r="F250" s="19">
        <v>160.0</v>
      </c>
      <c r="G250">
        <f>IF(OR(E250="",F250=""),"",F250-E250+1)</f>
        <v>160.0</v>
      </c>
      <c r="H250" s="20">
        <f>IF(D250="","",IF(OR(D250="A",D250="B"),G250/80,IF(D250="A&amp;B",G250/160,"")))</f>
        <v>1.0</v>
      </c>
      <c r="I250" s="19" t="s">
        <v>63</v>
      </c>
      <c r="J250" t="str">
        <f>IF(I250="","",_xlfn.XLOOKUP(I250,Lists!$C:$C,Lists!$D:$D))</f>
        <v/>
      </c>
      <c r="K250" s="19" t="s">
        <v>52</v>
      </c>
      <c r="L250" s="19">
        <v>50.0</v>
      </c>
      <c r="M250" s="19">
        <v>1200.0</v>
      </c>
      <c r="N250">
        <f>IF(OR(M250="",L250=""),"",(M250*L250)/100000)</f>
        <v>0.6</v>
      </c>
      <c r="O250" t="str">
        <f>IF(I250="","",_xlfn.XLOOKUP(I250,Lists!$C:$C,Lists!$J:$J))</f>
        <v/>
      </c>
      <c r="P250" t="str">
        <f>IF(I250="","",_xlfn.XLOOKUP(I250,Lists!$C:$C,Lists!$E:$E))</f>
        <v/>
      </c>
      <c r="Q250" s="21" t="str">
        <f>IF(OR(A250="",P250=""),"",A250+P250+1)</f>
        <v/>
      </c>
      <c r="R250" t="str">
        <f t="shared" si="24"/>
        <v/>
      </c>
      <c r="S250" t="str">
        <f>IF(I250="","",_xlfn.XLOOKUP(I250,Lists!$C:$C,Lists!$I:$I))</f>
        <v/>
      </c>
    </row>
    <row r="251" spans="8:8" ht="17.15">
      <c r="A251" s="18">
        <v>46192.0</v>
      </c>
      <c r="B251" s="19">
        <v>42.0</v>
      </c>
      <c r="C251">
        <f>_xlfn.XLOOKUP(B251,Lists!B:B,Lists!A:A,"")</f>
        <v>0.0</v>
      </c>
      <c r="D251" s="19" t="s">
        <v>234</v>
      </c>
      <c r="E251" s="19">
        <v>1.0</v>
      </c>
      <c r="F251" s="19">
        <v>160.0</v>
      </c>
      <c r="G251">
        <f>IF(OR(E251="",F251=""),"",F251-E251+1)</f>
        <v>160.0</v>
      </c>
      <c r="H251" s="20">
        <f>IF(D251="","",IF(OR(D251="A",D251="B"),G251/80,IF(D251="A&amp;B",G251/160,"")))</f>
        <v>1.0</v>
      </c>
      <c r="I251" s="19" t="s">
        <v>241</v>
      </c>
      <c r="J251" t="str">
        <f>IF(I251="","",_xlfn.XLOOKUP(I251,Lists!$C:$C,Lists!$D:$D))</f>
        <v/>
      </c>
      <c r="K251" s="19" t="s">
        <v>52</v>
      </c>
      <c r="L251" s="19">
        <v>50.0</v>
      </c>
      <c r="M251" s="19">
        <v>1200.0</v>
      </c>
      <c r="N251">
        <f>IF(OR(M251="",L251=""),"",(M251*L251)/100000)</f>
        <v>0.6</v>
      </c>
      <c r="O251" t="str">
        <f>IF(I251="","",_xlfn.XLOOKUP(I251,Lists!$C:$C,Lists!$J:$J))</f>
        <v/>
      </c>
      <c r="P251" t="str">
        <f>IF(I251="","",_xlfn.XLOOKUP(I251,Lists!$C:$C,Lists!$E:$E))</f>
        <v/>
      </c>
      <c r="Q251" s="21" t="str">
        <f>IF(OR(A251="",P251=""),"",A251+P251+1)</f>
        <v/>
      </c>
      <c r="R251" t="str">
        <f t="shared" si="24"/>
        <v/>
      </c>
      <c r="S251" t="str">
        <f>IF(I251="","",_xlfn.XLOOKUP(I251,Lists!$C:$C,Lists!$I:$I))</f>
        <v/>
      </c>
    </row>
    <row r="252" spans="8:8" ht="17.15">
      <c r="A252" s="18">
        <v>46192.0</v>
      </c>
      <c r="B252" s="19">
        <v>42.0</v>
      </c>
      <c r="C252">
        <f>_xlfn.XLOOKUP(B252,Lists!B:B,Lists!A:A,"")</f>
        <v>0.0</v>
      </c>
      <c r="D252" s="19" t="s">
        <v>234</v>
      </c>
      <c r="E252" s="19">
        <v>1.0</v>
      </c>
      <c r="F252" s="19">
        <v>160.0</v>
      </c>
      <c r="G252">
        <f>IF(OR(E252="",F252=""),"",F252-E252+1)</f>
        <v>160.0</v>
      </c>
      <c r="H252" s="20">
        <f>IF(D252="","",IF(OR(D252="A",D252="B"),G252/80,IF(D252="A&amp;B",G252/160,"")))</f>
        <v>1.0</v>
      </c>
      <c r="I252" s="19" t="s">
        <v>63</v>
      </c>
      <c r="J252" t="str">
        <f>IF(I252="","",_xlfn.XLOOKUP(I252,Lists!$C:$C,Lists!$D:$D))</f>
        <v/>
      </c>
      <c r="K252" s="19" t="s">
        <v>52</v>
      </c>
      <c r="L252" s="19">
        <v>50.0</v>
      </c>
      <c r="M252" s="19">
        <v>1200.0</v>
      </c>
      <c r="N252">
        <f>IF(OR(M252="",L252=""),"",(M252*L252)/100000)</f>
        <v>0.6</v>
      </c>
      <c r="O252" t="str">
        <f>IF(I252="","",_xlfn.XLOOKUP(I252,Lists!$C:$C,Lists!$J:$J))</f>
        <v/>
      </c>
      <c r="P252" t="str">
        <f>IF(I252="","",_xlfn.XLOOKUP(I252,Lists!$C:$C,Lists!$E:$E))</f>
        <v/>
      </c>
      <c r="Q252" s="21" t="str">
        <f>IF(OR(A252="",P252=""),"",A252+P252+1)</f>
        <v/>
      </c>
      <c r="R252" t="str">
        <f t="shared" si="24"/>
        <v/>
      </c>
      <c r="S252" t="str">
        <f>IF(I252="","",_xlfn.XLOOKUP(I252,Lists!$C:$C,Lists!$I:$I))</f>
        <v/>
      </c>
    </row>
    <row r="253" spans="8:8" ht="17.15">
      <c r="A253" s="18">
        <v>46192.0</v>
      </c>
      <c r="B253" s="19">
        <v>61.0</v>
      </c>
      <c r="C253">
        <f>_xlfn.XLOOKUP(B253,Lists!B:B,Lists!A:A,"")</f>
        <v>0.0</v>
      </c>
      <c r="D253" s="19" t="s">
        <v>234</v>
      </c>
      <c r="E253" s="19">
        <v>1.0</v>
      </c>
      <c r="F253" s="19">
        <v>160.0</v>
      </c>
      <c r="G253">
        <f>IF(OR(E253="",F253=""),"",F253-E253+1)</f>
        <v>160.0</v>
      </c>
      <c r="H253" s="20">
        <f>IF(D253="","",IF(OR(D253="A",D253="B"),G253/80,IF(D253="A&amp;B",G253/160,"")))</f>
        <v>1.0</v>
      </c>
      <c r="I253" s="19" t="s">
        <v>241</v>
      </c>
      <c r="J253" t="str">
        <f>IF(I253="","",_xlfn.XLOOKUP(I253,Lists!$C:$C,Lists!$D:$D))</f>
        <v/>
      </c>
      <c r="K253" s="19" t="s">
        <v>52</v>
      </c>
      <c r="L253" s="19">
        <v>50.0</v>
      </c>
      <c r="M253" s="19">
        <v>1200.0</v>
      </c>
      <c r="N253">
        <f>IF(OR(M253="",L253=""),"",(M253*L253)/100000)</f>
        <v>0.6</v>
      </c>
      <c r="O253" t="str">
        <f>IF(I253="","",_xlfn.XLOOKUP(I253,Lists!$C:$C,Lists!$J:$J))</f>
        <v/>
      </c>
      <c r="P253" t="str">
        <f>IF(I253="","",_xlfn.XLOOKUP(I253,Lists!$C:$C,Lists!$E:$E))</f>
        <v/>
      </c>
      <c r="Q253" s="21" t="str">
        <f>IF(OR(A253="",P253=""),"",A253+P253+1)</f>
        <v/>
      </c>
      <c r="R253" t="str">
        <f t="shared" si="24"/>
        <v/>
      </c>
      <c r="S253" t="str">
        <f>IF(I253="","",_xlfn.XLOOKUP(I253,Lists!$C:$C,Lists!$I:$I))</f>
        <v/>
      </c>
    </row>
    <row r="254" spans="8:8" ht="17.15">
      <c r="A254" s="18">
        <v>46192.0</v>
      </c>
      <c r="B254" s="19">
        <v>61.0</v>
      </c>
      <c r="C254">
        <f>_xlfn.XLOOKUP(B254,Lists!B:B,Lists!A:A,"")</f>
        <v>0.0</v>
      </c>
      <c r="D254" s="19" t="s">
        <v>234</v>
      </c>
      <c r="E254" s="19">
        <v>1.0</v>
      </c>
      <c r="F254" s="19">
        <v>160.0</v>
      </c>
      <c r="G254">
        <f>IF(OR(E254="",F254=""),"",F254-E254+1)</f>
        <v>160.0</v>
      </c>
      <c r="H254" s="20">
        <f>IF(D254="","",IF(OR(D254="A",D254="B"),G254/80,IF(D254="A&amp;B",G254/160,"")))</f>
        <v>1.0</v>
      </c>
      <c r="I254" s="19" t="s">
        <v>63</v>
      </c>
      <c r="J254" t="str">
        <f>IF(I254="","",_xlfn.XLOOKUP(I254,Lists!$C:$C,Lists!$D:$D))</f>
        <v/>
      </c>
      <c r="K254" s="19" t="s">
        <v>52</v>
      </c>
      <c r="L254" s="19">
        <v>50.0</v>
      </c>
      <c r="M254" s="19">
        <v>1200.0</v>
      </c>
      <c r="N254">
        <f>IF(OR(M254="",L254=""),"",(M254*L254)/100000)</f>
        <v>0.6</v>
      </c>
      <c r="O254" t="str">
        <f>IF(I254="","",_xlfn.XLOOKUP(I254,Lists!$C:$C,Lists!$J:$J))</f>
        <v/>
      </c>
      <c r="P254" t="str">
        <f>IF(I254="","",_xlfn.XLOOKUP(I254,Lists!$C:$C,Lists!$E:$E))</f>
        <v/>
      </c>
      <c r="Q254" s="21" t="str">
        <f>IF(OR(A254="",P254=""),"",A254+P254+1)</f>
        <v/>
      </c>
      <c r="R254" t="str">
        <f t="shared" si="24"/>
        <v/>
      </c>
      <c r="S254" t="str">
        <f>IF(I254="","",_xlfn.XLOOKUP(I254,Lists!$C:$C,Lists!$I:$I))</f>
        <v/>
      </c>
    </row>
    <row r="255" spans="8:8" ht="17.15">
      <c r="A255" s="18">
        <v>46192.0</v>
      </c>
      <c r="B255" s="19">
        <v>63.0</v>
      </c>
      <c r="C255">
        <f>_xlfn.XLOOKUP(B255,Lists!B:B,Lists!A:A,"")</f>
        <v>0.0</v>
      </c>
      <c r="D255" s="19" t="s">
        <v>234</v>
      </c>
      <c r="E255" s="19">
        <v>1.0</v>
      </c>
      <c r="F255" s="19">
        <v>160.0</v>
      </c>
      <c r="G255">
        <f>IF(OR(E255="",F255=""),"",F255-E255+1)</f>
        <v>160.0</v>
      </c>
      <c r="H255" s="20">
        <f>IF(D255="","",IF(OR(D255="A",D255="B"),G255/80,IF(D255="A&amp;B",G255/160,"")))</f>
        <v>1.0</v>
      </c>
      <c r="I255" s="19" t="s">
        <v>241</v>
      </c>
      <c r="J255" t="str">
        <f>IF(I255="","",_xlfn.XLOOKUP(I255,Lists!$C:$C,Lists!$D:$D))</f>
        <v/>
      </c>
      <c r="K255" s="19" t="s">
        <v>52</v>
      </c>
      <c r="L255" s="19">
        <v>50.0</v>
      </c>
      <c r="M255" s="19">
        <v>1200.0</v>
      </c>
      <c r="N255">
        <f>IF(OR(M255="",L255=""),"",(M255*L255)/100000)</f>
        <v>0.6</v>
      </c>
      <c r="O255" t="str">
        <f>IF(I255="","",_xlfn.XLOOKUP(I255,Lists!$C:$C,Lists!$J:$J))</f>
        <v/>
      </c>
      <c r="P255" t="str">
        <f>IF(I255="","",_xlfn.XLOOKUP(I255,Lists!$C:$C,Lists!$E:$E))</f>
        <v/>
      </c>
      <c r="Q255" s="21" t="str">
        <f>IF(OR(A255="",P255=""),"",A255+P255+1)</f>
        <v/>
      </c>
      <c r="R255" t="str">
        <f t="shared" si="24"/>
        <v/>
      </c>
      <c r="S255" t="str">
        <f>IF(I255="","",_xlfn.XLOOKUP(I255,Lists!$C:$C,Lists!$I:$I))</f>
        <v/>
      </c>
    </row>
    <row r="256" spans="8:8" ht="17.15">
      <c r="A256" s="18">
        <v>46192.0</v>
      </c>
      <c r="B256" s="19">
        <v>63.0</v>
      </c>
      <c r="C256">
        <f>_xlfn.XLOOKUP(B256,Lists!B:B,Lists!A:A,"")</f>
        <v>0.0</v>
      </c>
      <c r="D256" s="19" t="s">
        <v>234</v>
      </c>
      <c r="E256" s="19">
        <v>1.0</v>
      </c>
      <c r="F256" s="19">
        <v>160.0</v>
      </c>
      <c r="G256">
        <f>IF(OR(E256="",F256=""),"",F256-E256+1)</f>
        <v>160.0</v>
      </c>
      <c r="H256" s="20">
        <f>IF(D256="","",IF(OR(D256="A",D256="B"),G256/80,IF(D256="A&amp;B",G256/160,"")))</f>
        <v>1.0</v>
      </c>
      <c r="I256" s="19" t="s">
        <v>63</v>
      </c>
      <c r="J256" t="str">
        <f>IF(I256="","",_xlfn.XLOOKUP(I256,Lists!$C:$C,Lists!$D:$D))</f>
        <v/>
      </c>
      <c r="K256" s="19" t="s">
        <v>52</v>
      </c>
      <c r="L256" s="19">
        <v>50.0</v>
      </c>
      <c r="M256" s="19">
        <v>1200.0</v>
      </c>
      <c r="N256">
        <f>IF(OR(M256="",L256=""),"",(M256*L256)/100000)</f>
        <v>0.6</v>
      </c>
      <c r="O256" t="str">
        <f>IF(I256="","",_xlfn.XLOOKUP(I256,Lists!$C:$C,Lists!$J:$J))</f>
        <v/>
      </c>
      <c r="P256" t="str">
        <f>IF(I256="","",_xlfn.XLOOKUP(I256,Lists!$C:$C,Lists!$E:$E))</f>
        <v/>
      </c>
      <c r="Q256" s="21" t="str">
        <f>IF(OR(A256="",P256=""),"",A256+P256+1)</f>
        <v/>
      </c>
      <c r="R256" t="str">
        <f t="shared" si="24"/>
        <v/>
      </c>
      <c r="S256" t="str">
        <f>IF(I256="","",_xlfn.XLOOKUP(I256,Lists!$C:$C,Lists!$I:$I))</f>
        <v/>
      </c>
    </row>
    <row r="257" spans="8:8" ht="24.35">
      <c r="A257" s="18">
        <v>46193.0</v>
      </c>
      <c r="B257" s="19">
        <v>1.0</v>
      </c>
      <c r="C257">
        <f>_xlfn.XLOOKUP(B257,Lists!B:B,Lists!A:A,"")</f>
        <v>0.0</v>
      </c>
      <c r="D257" s="19" t="s">
        <v>234</v>
      </c>
      <c r="E257" s="19">
        <v>1.0</v>
      </c>
      <c r="F257" s="27">
        <v>160.0</v>
      </c>
      <c r="G257">
        <f>IF(OR(E257="",F257=""),"",F257-E257+1)</f>
        <v>160.0</v>
      </c>
      <c r="H257" s="20">
        <f>IF(D257="","",IF(OR(D257="A",D257="B"),G257/80,IF(D257="A&amp;B",G257/160,"")))</f>
        <v>1.0</v>
      </c>
      <c r="I257" s="19" t="s">
        <v>65</v>
      </c>
      <c r="J257" t="str">
        <f>IF(I257="","",_xlfn.XLOOKUP(I257,Lists!$C:$C,Lists!$D:$D))</f>
        <v/>
      </c>
      <c r="K257" s="19" t="s">
        <v>52</v>
      </c>
      <c r="L257" s="19">
        <v>100.0</v>
      </c>
      <c r="M257" s="19">
        <v>900.0</v>
      </c>
      <c r="N257">
        <f>IF(OR(M257="",L257=""),"",(M257*L257)/100000)</f>
        <v>0.9</v>
      </c>
      <c r="O257" t="str">
        <f>IF(I257="","",_xlfn.XLOOKUP(I257,Lists!$C:$C,Lists!$J:$J))</f>
        <v/>
      </c>
      <c r="P257" t="str">
        <f>IF(I257="","",_xlfn.XLOOKUP(I257,Lists!$C:$C,Lists!$E:$E))</f>
        <v/>
      </c>
      <c r="Q257" s="21" t="str">
        <f>IF(OR(A257="",P257=""),"",A257+P257+1)</f>
        <v/>
      </c>
      <c r="R257" t="str">
        <f t="shared" si="24"/>
        <v/>
      </c>
      <c r="S257" t="str">
        <f>IF(I257="","",_xlfn.XLOOKUP(I257,Lists!$C:$C,Lists!$I:$I))</f>
        <v/>
      </c>
    </row>
    <row r="258" spans="8:8" ht="24.35">
      <c r="A258" s="18">
        <v>46193.0</v>
      </c>
      <c r="B258" s="19">
        <v>10.0</v>
      </c>
      <c r="C258">
        <f>_xlfn.XLOOKUP(B258,Lists!B:B,Lists!A:A,"")</f>
        <v>0.0</v>
      </c>
      <c r="D258" s="19" t="s">
        <v>234</v>
      </c>
      <c r="E258" s="19">
        <v>1.0</v>
      </c>
      <c r="F258" s="27">
        <v>160.0</v>
      </c>
      <c r="G258">
        <f>IF(OR(E258="",F258=""),"",F258-E258+1)</f>
        <v>160.0</v>
      </c>
      <c r="H258" s="20">
        <f>IF(D258="","",IF(OR(D258="A",D258="B"),G258/80,IF(D258="A&amp;B",G258/160,"")))</f>
        <v>1.0</v>
      </c>
      <c r="I258" s="19" t="s">
        <v>66</v>
      </c>
      <c r="J258" t="str">
        <f>IF(I258="","",_xlfn.XLOOKUP(I258,Lists!$C:$C,Lists!$D:$D))</f>
        <v/>
      </c>
      <c r="K258" s="19" t="s">
        <v>52</v>
      </c>
      <c r="L258" s="19">
        <v>100.0</v>
      </c>
      <c r="M258" s="19">
        <v>1200.0</v>
      </c>
      <c r="N258">
        <f>IF(OR(M258="",L258=""),"",(M258*L258)/100000)</f>
        <v>1.2</v>
      </c>
      <c r="O258" t="str">
        <f>IF(I258="","",_xlfn.XLOOKUP(I258,Lists!$C:$C,Lists!$J:$J))</f>
        <v/>
      </c>
      <c r="P258" t="str">
        <f>IF(I258="","",_xlfn.XLOOKUP(I258,Lists!$C:$C,Lists!$E:$E))</f>
        <v/>
      </c>
      <c r="Q258" s="21" t="str">
        <f>IF(OR(A258="",P258=""),"",A258+P258+1)</f>
        <v/>
      </c>
      <c r="R258" t="str">
        <f t="shared" si="24"/>
        <v/>
      </c>
      <c r="S258" t="str">
        <f>IF(I258="","",_xlfn.XLOOKUP(I258,Lists!$C:$C,Lists!$I:$I))</f>
        <v/>
      </c>
    </row>
    <row r="259" spans="8:8" ht="24.35">
      <c r="A259" s="18">
        <v>46193.0</v>
      </c>
      <c r="B259" s="19">
        <v>11.0</v>
      </c>
      <c r="C259">
        <f>_xlfn.XLOOKUP(B259,Lists!B:B,Lists!A:A,"")</f>
        <v>0.0</v>
      </c>
      <c r="D259" s="19" t="s">
        <v>234</v>
      </c>
      <c r="E259" s="19">
        <v>1.0</v>
      </c>
      <c r="F259" s="27">
        <v>160.0</v>
      </c>
      <c r="G259">
        <f>IF(OR(E259="",F259=""),"",F259-E259+1)</f>
        <v>160.0</v>
      </c>
      <c r="H259" s="20">
        <f>IF(D259="","",IF(OR(D259="A",D259="B"),G259/80,IF(D259="A&amp;B",G259/160,"")))</f>
        <v>1.0</v>
      </c>
      <c r="I259" s="19" t="s">
        <v>65</v>
      </c>
      <c r="J259" t="str">
        <f>IF(I259="","",_xlfn.XLOOKUP(I259,Lists!$C:$C,Lists!$D:$D))</f>
        <v/>
      </c>
      <c r="K259" s="19" t="s">
        <v>52</v>
      </c>
      <c r="L259" s="19">
        <v>100.0</v>
      </c>
      <c r="M259" s="19">
        <v>900.0</v>
      </c>
      <c r="N259">
        <f>IF(OR(M259="",L259=""),"",(M259*L259)/100000)</f>
        <v>0.9</v>
      </c>
      <c r="O259" t="str">
        <f>IF(I259="","",_xlfn.XLOOKUP(I259,Lists!$C:$C,Lists!$J:$J))</f>
        <v/>
      </c>
      <c r="P259" t="str">
        <f>IF(I259="","",_xlfn.XLOOKUP(I259,Lists!$C:$C,Lists!$E:$E))</f>
        <v/>
      </c>
      <c r="Q259" s="21" t="str">
        <f>IF(OR(A259="",P259=""),"",A259+P259+1)</f>
        <v/>
      </c>
      <c r="R259" t="str">
        <f t="shared" si="24"/>
        <v/>
      </c>
      <c r="S259" t="str">
        <f>IF(I259="","",_xlfn.XLOOKUP(I259,Lists!$C:$C,Lists!$I:$I))</f>
        <v/>
      </c>
    </row>
    <row r="260" spans="8:8" ht="24.35">
      <c r="A260" s="18">
        <v>46193.0</v>
      </c>
      <c r="B260" s="19">
        <v>26.0</v>
      </c>
      <c r="C260">
        <f>_xlfn.XLOOKUP(B260,Lists!B:B,Lists!A:A,"")</f>
        <v>0.0</v>
      </c>
      <c r="D260" s="19" t="s">
        <v>234</v>
      </c>
      <c r="E260" s="19">
        <v>1.0</v>
      </c>
      <c r="F260" s="27">
        <v>160.0</v>
      </c>
      <c r="G260">
        <f>IF(OR(E260="",F260=""),"",F260-E260+1)</f>
        <v>160.0</v>
      </c>
      <c r="H260" s="20">
        <f>IF(D260="","",IF(OR(D260="A",D260="B"),G260/80,IF(D260="A&amp;B",G260/160,"")))</f>
        <v>1.0</v>
      </c>
      <c r="I260" s="19" t="s">
        <v>26</v>
      </c>
      <c r="J260" t="str">
        <f>IF(I260="","",_xlfn.XLOOKUP(I260,Lists!$C:$C,Lists!$D:$D))</f>
        <v/>
      </c>
      <c r="K260" s="19" t="s">
        <v>52</v>
      </c>
      <c r="L260" s="19">
        <v>50.0</v>
      </c>
      <c r="M260" s="19">
        <v>1200.0</v>
      </c>
      <c r="N260">
        <f>IF(OR(M260="",L260=""),"",(M260*L260)/100000)</f>
        <v>0.6</v>
      </c>
      <c r="O260" t="str">
        <f>IF(I260="","",_xlfn.XLOOKUP(I260,Lists!$C:$C,Lists!$J:$J))</f>
        <v/>
      </c>
      <c r="P260" t="str">
        <f>IF(I260="","",_xlfn.XLOOKUP(I260,Lists!$C:$C,Lists!$E:$E))</f>
        <v/>
      </c>
      <c r="Q260" s="21" t="str">
        <f>IF(OR(A260="",P260=""),"",A260+P260+1)</f>
        <v/>
      </c>
      <c r="R260" t="str">
        <f t="shared" si="24"/>
        <v/>
      </c>
      <c r="S260" t="str">
        <f>IF(I260="","",_xlfn.XLOOKUP(I260,Lists!$C:$C,Lists!$I:$I))</f>
        <v/>
      </c>
    </row>
    <row r="261" spans="8:8" ht="24.35">
      <c r="A261" s="18">
        <v>46193.0</v>
      </c>
      <c r="B261" s="19">
        <v>32.0</v>
      </c>
      <c r="C261">
        <f>_xlfn.XLOOKUP(B261,Lists!B:B,Lists!A:A,"")</f>
        <v>0.0</v>
      </c>
      <c r="D261" s="19" t="s">
        <v>234</v>
      </c>
      <c r="E261" s="19">
        <v>1.0</v>
      </c>
      <c r="F261" s="27">
        <v>160.0</v>
      </c>
      <c r="G261">
        <f>IF(OR(E261="",F261=""),"",F261-E261+1)</f>
        <v>160.0</v>
      </c>
      <c r="H261" s="20">
        <f>IF(D261="","",IF(OR(D261="A",D261="B"),G261/80,IF(D261="A&amp;B",G261/160,"")))</f>
        <v>1.0</v>
      </c>
      <c r="I261" s="19" t="s">
        <v>66</v>
      </c>
      <c r="J261" t="str">
        <f>IF(I261="","",_xlfn.XLOOKUP(I261,Lists!$C:$C,Lists!$D:$D))</f>
        <v/>
      </c>
      <c r="K261" s="19" t="s">
        <v>52</v>
      </c>
      <c r="L261" s="19">
        <v>100.0</v>
      </c>
      <c r="M261" s="19">
        <v>1200.0</v>
      </c>
      <c r="N261">
        <f>IF(OR(M261="",L261=""),"",(M261*L261)/100000)</f>
        <v>1.2</v>
      </c>
      <c r="O261" t="str">
        <f>IF(I261="","",_xlfn.XLOOKUP(I261,Lists!$C:$C,Lists!$J:$J))</f>
        <v/>
      </c>
      <c r="P261" t="str">
        <f>IF(I261="","",_xlfn.XLOOKUP(I261,Lists!$C:$C,Lists!$E:$E))</f>
        <v/>
      </c>
      <c r="Q261" s="21" t="str">
        <f>IF(OR(A261="",P261=""),"",A261+P261+1)</f>
        <v/>
      </c>
      <c r="R261" t="str">
        <f t="shared" si="24"/>
        <v/>
      </c>
      <c r="S261" t="str">
        <f>IF(I261="","",_xlfn.XLOOKUP(I261,Lists!$C:$C,Lists!$I:$I))</f>
        <v/>
      </c>
    </row>
    <row r="262" spans="8:8" ht="24.35">
      <c r="A262" s="18">
        <v>46193.0</v>
      </c>
      <c r="B262" s="19">
        <v>47.0</v>
      </c>
      <c r="C262">
        <f>_xlfn.XLOOKUP(B262,Lists!B:B,Lists!A:A,"")</f>
        <v>0.0</v>
      </c>
      <c r="D262" s="19" t="s">
        <v>234</v>
      </c>
      <c r="E262" s="19">
        <v>1.0</v>
      </c>
      <c r="F262" s="27">
        <v>160.0</v>
      </c>
      <c r="G262">
        <f>IF(OR(E262="",F262=""),"",F262-E262+1)</f>
        <v>160.0</v>
      </c>
      <c r="H262" s="20">
        <f>IF(D262="","",IF(OR(D262="A",D262="B"),G262/80,IF(D262="A&amp;B",G262/160,"")))</f>
        <v>1.0</v>
      </c>
      <c r="I262" s="19" t="s">
        <v>66</v>
      </c>
      <c r="J262" t="str">
        <f>IF(I262="","",_xlfn.XLOOKUP(I262,Lists!$C:$C,Lists!$D:$D))</f>
        <v/>
      </c>
      <c r="K262" s="19" t="s">
        <v>52</v>
      </c>
      <c r="L262" s="19">
        <v>100.0</v>
      </c>
      <c r="M262" s="19">
        <v>1200.0</v>
      </c>
      <c r="N262">
        <f>IF(OR(M262="",L262=""),"",(M262*L262)/100000)</f>
        <v>1.2</v>
      </c>
      <c r="O262" t="str">
        <f>IF(I262="","",_xlfn.XLOOKUP(I262,Lists!$C:$C,Lists!$J:$J))</f>
        <v/>
      </c>
      <c r="P262" t="str">
        <f>IF(I262="","",_xlfn.XLOOKUP(I262,Lists!$C:$C,Lists!$E:$E))</f>
        <v/>
      </c>
      <c r="Q262" s="21" t="str">
        <f>IF(OR(A262="",P262=""),"",A262+P262+1)</f>
        <v/>
      </c>
      <c r="R262" t="str">
        <f t="shared" si="24"/>
        <v/>
      </c>
      <c r="S262" t="str">
        <f>IF(I262="","",_xlfn.XLOOKUP(I262,Lists!$C:$C,Lists!$I:$I))</f>
        <v/>
      </c>
    </row>
    <row r="263" spans="8:8" ht="24.35">
      <c r="A263" s="18">
        <v>46193.0</v>
      </c>
      <c r="B263" s="19">
        <v>8.0</v>
      </c>
      <c r="C263">
        <f>_xlfn.XLOOKUP(B263,Lists!B:B,Lists!A:A,"")</f>
        <v>0.0</v>
      </c>
      <c r="D263" s="19" t="s">
        <v>234</v>
      </c>
      <c r="E263" s="19">
        <v>1.0</v>
      </c>
      <c r="F263" s="27">
        <v>160.0</v>
      </c>
      <c r="G263">
        <f>IF(OR(E263="",F263=""),"",F263-E263+1)</f>
        <v>160.0</v>
      </c>
      <c r="H263" s="20">
        <f>IF(D263="","",IF(OR(D263="A",D263="B"),G263/80,IF(D263="A&amp;B",G263/160,"")))</f>
        <v>1.0</v>
      </c>
      <c r="I263" s="19" t="s">
        <v>241</v>
      </c>
      <c r="J263" t="str">
        <f>IF(I263="","",_xlfn.XLOOKUP(I263,Lists!$C:$C,Lists!$D:$D))</f>
        <v/>
      </c>
      <c r="K263" s="19" t="s">
        <v>52</v>
      </c>
      <c r="L263" s="19">
        <v>50.0</v>
      </c>
      <c r="M263" s="19">
        <v>1200.0</v>
      </c>
      <c r="N263">
        <f>IF(OR(M263="",L263=""),"",(M263*L263)/100000)</f>
        <v>0.6</v>
      </c>
      <c r="O263" t="str">
        <f>IF(I263="","",_xlfn.XLOOKUP(I263,Lists!$C:$C,Lists!$J:$J))</f>
        <v/>
      </c>
      <c r="P263" t="str">
        <f>IF(I263="","",_xlfn.XLOOKUP(I263,Lists!$C:$C,Lists!$E:$E))</f>
        <v/>
      </c>
      <c r="Q263" s="21" t="str">
        <f>IF(OR(A263="",P263=""),"",A263+P263+1)</f>
        <v/>
      </c>
      <c r="R263" t="str">
        <f t="shared" si="24"/>
        <v/>
      </c>
      <c r="S263" t="str">
        <f>IF(I263="","",_xlfn.XLOOKUP(I263,Lists!$C:$C,Lists!$I:$I))</f>
        <v/>
      </c>
    </row>
    <row r="264" spans="8:8" ht="24.35">
      <c r="A264" s="18">
        <v>46193.0</v>
      </c>
      <c r="B264" s="19">
        <v>8.0</v>
      </c>
      <c r="C264">
        <f>_xlfn.XLOOKUP(B264,Lists!B:B,Lists!A:A,"")</f>
        <v>0.0</v>
      </c>
      <c r="D264" s="19" t="s">
        <v>234</v>
      </c>
      <c r="E264" s="19">
        <v>1.0</v>
      </c>
      <c r="F264" s="27">
        <v>160.0</v>
      </c>
      <c r="G264">
        <f>IF(OR(E264="",F264=""),"",F264-E264+1)</f>
        <v>160.0</v>
      </c>
      <c r="H264" s="20">
        <f>IF(D264="","",IF(OR(D264="A",D264="B"),G264/80,IF(D264="A&amp;B",G264/160,"")))</f>
        <v>1.0</v>
      </c>
      <c r="I264" s="19" t="s">
        <v>63</v>
      </c>
      <c r="J264" t="str">
        <f>IF(I264="","",_xlfn.XLOOKUP(I264,Lists!$C:$C,Lists!$D:$D))</f>
        <v/>
      </c>
      <c r="K264" s="19" t="s">
        <v>52</v>
      </c>
      <c r="L264" s="19">
        <v>50.0</v>
      </c>
      <c r="M264" s="19">
        <v>1200.0</v>
      </c>
      <c r="N264">
        <f>IF(OR(M264="",L264=""),"",(M264*L264)/100000)</f>
        <v>0.6</v>
      </c>
      <c r="O264" t="str">
        <f>IF(I264="","",_xlfn.XLOOKUP(I264,Lists!$C:$C,Lists!$J:$J))</f>
        <v/>
      </c>
      <c r="P264" t="str">
        <f>IF(I264="","",_xlfn.XLOOKUP(I264,Lists!$C:$C,Lists!$E:$E))</f>
        <v/>
      </c>
      <c r="Q264" s="21" t="str">
        <f>IF(OR(A264="",P264=""),"",A264+P264+1)</f>
        <v/>
      </c>
      <c r="R264" t="str">
        <f t="shared" si="24"/>
        <v/>
      </c>
      <c r="S264" t="str">
        <f>IF(I264="","",_xlfn.XLOOKUP(I264,Lists!$C:$C,Lists!$I:$I))</f>
        <v/>
      </c>
    </row>
    <row r="265" spans="8:8" ht="24.35">
      <c r="A265" s="18">
        <v>46193.0</v>
      </c>
      <c r="B265" s="19">
        <v>9.0</v>
      </c>
      <c r="C265">
        <f>_xlfn.XLOOKUP(B265,Lists!B:B,Lists!A:A,"")</f>
        <v>0.0</v>
      </c>
      <c r="D265" s="19" t="s">
        <v>234</v>
      </c>
      <c r="E265" s="19">
        <v>1.0</v>
      </c>
      <c r="F265" s="27">
        <v>160.0</v>
      </c>
      <c r="G265">
        <f>IF(OR(E265="",F265=""),"",F265-E265+1)</f>
        <v>160.0</v>
      </c>
      <c r="H265" s="20">
        <f>IF(D265="","",IF(OR(D265="A",D265="B"),G265/80,IF(D265="A&amp;B",G265/160,"")))</f>
        <v>1.0</v>
      </c>
      <c r="I265" s="19" t="s">
        <v>241</v>
      </c>
      <c r="J265" t="str">
        <f>IF(I265="","",_xlfn.XLOOKUP(I265,Lists!$C:$C,Lists!$D:$D))</f>
        <v/>
      </c>
      <c r="K265" s="19" t="s">
        <v>52</v>
      </c>
      <c r="L265" s="19">
        <v>50.0</v>
      </c>
      <c r="M265" s="19">
        <v>1200.0</v>
      </c>
      <c r="N265">
        <f>IF(OR(M265="",L265=""),"",(M265*L265)/100000)</f>
        <v>0.6</v>
      </c>
      <c r="O265" t="str">
        <f>IF(I265="","",_xlfn.XLOOKUP(I265,Lists!$C:$C,Lists!$J:$J))</f>
        <v/>
      </c>
      <c r="P265" t="str">
        <f>IF(I265="","",_xlfn.XLOOKUP(I265,Lists!$C:$C,Lists!$E:$E))</f>
        <v/>
      </c>
      <c r="Q265" s="21" t="str">
        <f>IF(OR(A265="",P265=""),"",A265+P265+1)</f>
        <v/>
      </c>
      <c r="R265" t="str">
        <f t="shared" si="24"/>
        <v/>
      </c>
      <c r="S265" t="str">
        <f>IF(I265="","",_xlfn.XLOOKUP(I265,Lists!$C:$C,Lists!$I:$I))</f>
        <v/>
      </c>
    </row>
    <row r="266" spans="8:8" ht="24.35">
      <c r="A266" s="18">
        <v>46193.0</v>
      </c>
      <c r="B266" s="19">
        <v>9.0</v>
      </c>
      <c r="C266">
        <f>_xlfn.XLOOKUP(B266,Lists!B:B,Lists!A:A,"")</f>
        <v>0.0</v>
      </c>
      <c r="D266" s="19" t="s">
        <v>234</v>
      </c>
      <c r="E266" s="19">
        <v>1.0</v>
      </c>
      <c r="F266" s="27">
        <v>160.0</v>
      </c>
      <c r="G266">
        <f>IF(OR(E266="",F266=""),"",F266-E266+1)</f>
        <v>160.0</v>
      </c>
      <c r="H266" s="20">
        <f>IF(D266="","",IF(OR(D266="A",D266="B"),G266/80,IF(D266="A&amp;B",G266/160,"")))</f>
        <v>1.0</v>
      </c>
      <c r="I266" s="19" t="s">
        <v>63</v>
      </c>
      <c r="J266" t="str">
        <f>IF(I266="","",_xlfn.XLOOKUP(I266,Lists!$C:$C,Lists!$D:$D))</f>
        <v/>
      </c>
      <c r="K266" s="19" t="s">
        <v>52</v>
      </c>
      <c r="L266" s="19">
        <v>50.0</v>
      </c>
      <c r="M266" s="19">
        <v>1200.0</v>
      </c>
      <c r="N266">
        <f>IF(OR(M266="",L266=""),"",(M266*L266)/100000)</f>
        <v>0.6</v>
      </c>
      <c r="O266" t="str">
        <f>IF(I266="","",_xlfn.XLOOKUP(I266,Lists!$C:$C,Lists!$J:$J))</f>
        <v/>
      </c>
      <c r="P266" t="str">
        <f>IF(I266="","",_xlfn.XLOOKUP(I266,Lists!$C:$C,Lists!$E:$E))</f>
        <v/>
      </c>
      <c r="Q266" s="21" t="str">
        <f>IF(OR(A266="",P266=""),"",A266+P266+1)</f>
        <v/>
      </c>
      <c r="R266" t="str">
        <f t="shared" si="24"/>
        <v/>
      </c>
      <c r="S266" t="str">
        <f>IF(I266="","",_xlfn.XLOOKUP(I266,Lists!$C:$C,Lists!$I:$I))</f>
        <v/>
      </c>
    </row>
    <row r="267" spans="8:8" ht="24.35">
      <c r="A267" s="18">
        <v>46193.0</v>
      </c>
      <c r="B267" s="19">
        <v>59.0</v>
      </c>
      <c r="C267">
        <f>_xlfn.XLOOKUP(B267,Lists!B:B,Lists!A:A,"")</f>
        <v>0.0</v>
      </c>
      <c r="D267" s="19" t="s">
        <v>234</v>
      </c>
      <c r="E267" s="19">
        <v>1.0</v>
      </c>
      <c r="F267" s="27">
        <v>160.0</v>
      </c>
      <c r="G267">
        <f>IF(OR(E267="",F267=""),"",F267-E267+1)</f>
        <v>160.0</v>
      </c>
      <c r="H267" s="20">
        <f>IF(D267="","",IF(OR(D267="A",D267="B"),G267/80,IF(D267="A&amp;B",G267/160,"")))</f>
        <v>1.0</v>
      </c>
      <c r="I267" s="19" t="s">
        <v>241</v>
      </c>
      <c r="J267" t="str">
        <f>IF(I267="","",_xlfn.XLOOKUP(I267,Lists!$C:$C,Lists!$D:$D))</f>
        <v/>
      </c>
      <c r="K267" s="19" t="s">
        <v>52</v>
      </c>
      <c r="L267" s="19">
        <v>50.0</v>
      </c>
      <c r="M267" s="19">
        <v>1200.0</v>
      </c>
      <c r="N267">
        <f>IF(OR(M267="",L267=""),"",(M267*L267)/100000)</f>
        <v>0.6</v>
      </c>
      <c r="O267" t="str">
        <f>IF(I267="","",_xlfn.XLOOKUP(I267,Lists!$C:$C,Lists!$J:$J))</f>
        <v/>
      </c>
      <c r="P267" t="str">
        <f>IF(I267="","",_xlfn.XLOOKUP(I267,Lists!$C:$C,Lists!$E:$E))</f>
        <v/>
      </c>
      <c r="Q267" s="21" t="str">
        <f>IF(OR(A267="",P267=""),"",A267+P267+1)</f>
        <v/>
      </c>
      <c r="R267" t="str">
        <f t="shared" si="24"/>
        <v/>
      </c>
      <c r="S267" t="str">
        <f>IF(I267="","",_xlfn.XLOOKUP(I267,Lists!$C:$C,Lists!$I:$I))</f>
        <v/>
      </c>
    </row>
    <row r="268" spans="8:8" ht="24.35">
      <c r="A268" s="18">
        <v>46193.0</v>
      </c>
      <c r="B268" s="19">
        <v>59.0</v>
      </c>
      <c r="C268">
        <f>_xlfn.XLOOKUP(B268,Lists!B:B,Lists!A:A,"")</f>
        <v>0.0</v>
      </c>
      <c r="D268" s="19" t="s">
        <v>234</v>
      </c>
      <c r="E268" s="19">
        <v>1.0</v>
      </c>
      <c r="F268" s="27">
        <v>160.0</v>
      </c>
      <c r="G268">
        <f>IF(OR(E268="",F268=""),"",F268-E268+1)</f>
        <v>160.0</v>
      </c>
      <c r="H268" s="20">
        <f>IF(D268="","",IF(OR(D268="A",D268="B"),G268/80,IF(D268="A&amp;B",G268/160,"")))</f>
        <v>1.0</v>
      </c>
      <c r="I268" s="19" t="s">
        <v>63</v>
      </c>
      <c r="J268" t="str">
        <f>IF(I268="","",_xlfn.XLOOKUP(I268,Lists!$C:$C,Lists!$D:$D))</f>
        <v/>
      </c>
      <c r="K268" s="19" t="s">
        <v>52</v>
      </c>
      <c r="L268" s="19">
        <v>50.0</v>
      </c>
      <c r="M268" s="19">
        <v>1200.0</v>
      </c>
      <c r="N268">
        <f>IF(OR(M268="",L268=""),"",(M268*L268)/100000)</f>
        <v>0.6</v>
      </c>
      <c r="O268" t="str">
        <f>IF(I268="","",_xlfn.XLOOKUP(I268,Lists!$C:$C,Lists!$J:$J))</f>
        <v/>
      </c>
      <c r="P268" t="str">
        <f>IF(I268="","",_xlfn.XLOOKUP(I268,Lists!$C:$C,Lists!$E:$E))</f>
        <v/>
      </c>
      <c r="Q268" s="21" t="str">
        <f>IF(OR(A268="",P268=""),"",A268+P268+1)</f>
        <v/>
      </c>
      <c r="R268" t="str">
        <f t="shared" si="24"/>
        <v/>
      </c>
      <c r="S268" t="str">
        <f>IF(I268="","",_xlfn.XLOOKUP(I268,Lists!$C:$C,Lists!$I:$I))</f>
        <v/>
      </c>
    </row>
    <row r="269" spans="8:8" ht="24.35">
      <c r="A269" s="18">
        <v>46193.0</v>
      </c>
      <c r="B269" s="19">
        <v>62.0</v>
      </c>
      <c r="C269">
        <f>_xlfn.XLOOKUP(B269,Lists!B:B,Lists!A:A,"")</f>
        <v>0.0</v>
      </c>
      <c r="D269" s="19" t="s">
        <v>234</v>
      </c>
      <c r="E269" s="19">
        <v>1.0</v>
      </c>
      <c r="F269" s="27">
        <v>160.0</v>
      </c>
      <c r="G269">
        <f>IF(OR(E269="",F269=""),"",F269-E269+1)</f>
        <v>160.0</v>
      </c>
      <c r="H269" s="20">
        <f>IF(D269="","",IF(OR(D269="A",D269="B"),G269/80,IF(D269="A&amp;B",G269/160,"")))</f>
        <v>1.0</v>
      </c>
      <c r="I269" s="19" t="s">
        <v>241</v>
      </c>
      <c r="J269" t="str">
        <f>IF(I269="","",_xlfn.XLOOKUP(I269,Lists!$C:$C,Lists!$D:$D))</f>
        <v/>
      </c>
      <c r="K269" s="19" t="s">
        <v>52</v>
      </c>
      <c r="L269" s="19">
        <v>50.0</v>
      </c>
      <c r="M269" s="19">
        <v>1200.0</v>
      </c>
      <c r="N269">
        <f>IF(OR(M269="",L269=""),"",(M269*L269)/100000)</f>
        <v>0.6</v>
      </c>
      <c r="O269" t="str">
        <f>IF(I269="","",_xlfn.XLOOKUP(I269,Lists!$C:$C,Lists!$J:$J))</f>
        <v/>
      </c>
      <c r="P269" t="str">
        <f>IF(I269="","",_xlfn.XLOOKUP(I269,Lists!$C:$C,Lists!$E:$E))</f>
        <v/>
      </c>
      <c r="Q269" s="21" t="str">
        <f>IF(OR(A269="",P269=""),"",A269+P269+1)</f>
        <v/>
      </c>
      <c r="R269" t="str">
        <f t="shared" si="24"/>
        <v/>
      </c>
      <c r="S269" t="str">
        <f>IF(I269="","",_xlfn.XLOOKUP(I269,Lists!$C:$C,Lists!$I:$I))</f>
        <v/>
      </c>
    </row>
    <row r="270" spans="8:8" ht="24.35">
      <c r="A270" s="18">
        <v>46193.0</v>
      </c>
      <c r="B270" s="19">
        <v>62.0</v>
      </c>
      <c r="C270">
        <f>_xlfn.XLOOKUP(B270,Lists!B:B,Lists!A:A,"")</f>
        <v>0.0</v>
      </c>
      <c r="D270" s="19" t="s">
        <v>234</v>
      </c>
      <c r="E270" s="19">
        <v>1.0</v>
      </c>
      <c r="F270" s="27">
        <v>160.0</v>
      </c>
      <c r="G270">
        <f>IF(OR(E270="",F270=""),"",F270-E270+1)</f>
        <v>160.0</v>
      </c>
      <c r="H270" s="20">
        <f>IF(D270="","",IF(OR(D270="A",D270="B"),G270/80,IF(D270="A&amp;B",G270/160,"")))</f>
        <v>1.0</v>
      </c>
      <c r="I270" s="19" t="s">
        <v>63</v>
      </c>
      <c r="J270" t="str">
        <f>IF(I270="","",_xlfn.XLOOKUP(I270,Lists!$C:$C,Lists!$D:$D))</f>
        <v/>
      </c>
      <c r="K270" s="19" t="s">
        <v>52</v>
      </c>
      <c r="L270" s="19">
        <v>50.0</v>
      </c>
      <c r="M270" s="19">
        <v>1200.0</v>
      </c>
      <c r="N270">
        <f>IF(OR(M270="",L270=""),"",(M270*L270)/100000)</f>
        <v>0.6</v>
      </c>
      <c r="O270" t="str">
        <f>IF(I270="","",_xlfn.XLOOKUP(I270,Lists!$C:$C,Lists!$J:$J))</f>
        <v/>
      </c>
      <c r="P270" t="str">
        <f>IF(I270="","",_xlfn.XLOOKUP(I270,Lists!$C:$C,Lists!$E:$E))</f>
        <v/>
      </c>
      <c r="Q270" s="21" t="str">
        <f>IF(OR(A270="",P270=""),"",A270+P270+1)</f>
        <v/>
      </c>
      <c r="R270" t="str">
        <f t="shared" si="24"/>
        <v/>
      </c>
      <c r="S270" t="str">
        <f>IF(I270="","",_xlfn.XLOOKUP(I270,Lists!$C:$C,Lists!$I:$I))</f>
        <v/>
      </c>
    </row>
    <row r="271" spans="8:8" ht="24.35">
      <c r="A271" s="18">
        <v>46194.0</v>
      </c>
      <c r="B271" s="19">
        <v>2.0</v>
      </c>
      <c r="C271">
        <f>_xlfn.XLOOKUP(B271,Lists!B:B,Lists!A:A,"")</f>
        <v>0.0</v>
      </c>
      <c r="D271" s="19" t="s">
        <v>234</v>
      </c>
      <c r="E271" s="19">
        <v>1.0</v>
      </c>
      <c r="F271" s="27">
        <v>160.0</v>
      </c>
      <c r="G271">
        <f>IF(OR(E271="",F271=""),"",F271-E271+1)</f>
        <v>160.0</v>
      </c>
      <c r="H271" s="20">
        <f>IF(D271="","",IF(OR(D271="A",D271="B"),G271/80,IF(D271="A&amp;B",G271/160,"")))</f>
        <v>1.0</v>
      </c>
      <c r="I271" s="19" t="s">
        <v>65</v>
      </c>
      <c r="J271" t="str">
        <f>IF(I271="","",_xlfn.XLOOKUP(I271,Lists!$C:$C,Lists!$D:$D))</f>
        <v/>
      </c>
      <c r="K271" s="19" t="s">
        <v>52</v>
      </c>
      <c r="L271" s="19">
        <v>100.0</v>
      </c>
      <c r="M271" s="19">
        <v>900.0</v>
      </c>
      <c r="N271">
        <f>IF(OR(M271="",L271=""),"",(M271*L271)/100000)</f>
        <v>0.9</v>
      </c>
      <c r="O271" t="str">
        <f>IF(I271="","",_xlfn.XLOOKUP(I271,Lists!$C:$C,Lists!$J:$J))</f>
        <v/>
      </c>
      <c r="P271" t="str">
        <f>IF(I271="","",_xlfn.XLOOKUP(I271,Lists!$C:$C,Lists!$E:$E))</f>
        <v/>
      </c>
      <c r="Q271" s="21" t="str">
        <f>IF(OR(A271="",P271=""),"",A271+P271+1)</f>
        <v/>
      </c>
      <c r="R271" t="str">
        <f t="shared" si="24"/>
        <v/>
      </c>
      <c r="S271" t="str">
        <f>IF(I271="","",_xlfn.XLOOKUP(I271,Lists!$C:$C,Lists!$I:$I))</f>
        <v/>
      </c>
    </row>
    <row r="272" spans="8:8" ht="24.35">
      <c r="A272" s="18">
        <v>46194.0</v>
      </c>
      <c r="B272" s="19">
        <v>7.0</v>
      </c>
      <c r="C272">
        <f>_xlfn.XLOOKUP(B272,Lists!B:B,Lists!A:A,"")</f>
        <v>0.0</v>
      </c>
      <c r="D272" s="19" t="s">
        <v>234</v>
      </c>
      <c r="E272" s="19">
        <v>1.0</v>
      </c>
      <c r="F272" s="27">
        <v>160.0</v>
      </c>
      <c r="G272">
        <f>IF(OR(E272="",F272=""),"",F272-E272+1)</f>
        <v>160.0</v>
      </c>
      <c r="H272" s="20">
        <f>IF(D272="","",IF(OR(D272="A",D272="B"),G272/80,IF(D272="A&amp;B",G272/160,"")))</f>
        <v>1.0</v>
      </c>
      <c r="I272" s="19" t="s">
        <v>66</v>
      </c>
      <c r="J272" t="str">
        <f>IF(I272="","",_xlfn.XLOOKUP(I272,Lists!$C:$C,Lists!$D:$D))</f>
        <v/>
      </c>
      <c r="K272" s="19" t="s">
        <v>52</v>
      </c>
      <c r="L272" s="19">
        <v>100.0</v>
      </c>
      <c r="M272" s="19">
        <v>1200.0</v>
      </c>
      <c r="N272">
        <f>IF(OR(M272="",L272=""),"",(M272*L272)/100000)</f>
        <v>1.2</v>
      </c>
      <c r="O272" t="str">
        <f>IF(I272="","",_xlfn.XLOOKUP(I272,Lists!$C:$C,Lists!$J:$J))</f>
        <v/>
      </c>
      <c r="P272" t="str">
        <f>IF(I272="","",_xlfn.XLOOKUP(I272,Lists!$C:$C,Lists!$E:$E))</f>
        <v/>
      </c>
      <c r="Q272" s="21" t="str">
        <f>IF(OR(A272="",P272=""),"",A272+P272+1)</f>
        <v/>
      </c>
      <c r="R272" t="str">
        <f t="shared" si="24"/>
        <v/>
      </c>
      <c r="S272" t="str">
        <f>IF(I272="","",_xlfn.XLOOKUP(I272,Lists!$C:$C,Lists!$I:$I))</f>
        <v/>
      </c>
    </row>
    <row r="273" spans="8:8" ht="24.35">
      <c r="A273" s="18">
        <v>46194.0</v>
      </c>
      <c r="B273" s="19">
        <v>12.0</v>
      </c>
      <c r="C273">
        <f>_xlfn.XLOOKUP(B273,Lists!B:B,Lists!A:A,"")</f>
        <v>0.0</v>
      </c>
      <c r="D273" s="19" t="s">
        <v>234</v>
      </c>
      <c r="E273" s="19">
        <v>1.0</v>
      </c>
      <c r="F273" s="27">
        <v>160.0</v>
      </c>
      <c r="G273">
        <f>IF(OR(E273="",F273=""),"",F273-E273+1)</f>
        <v>160.0</v>
      </c>
      <c r="H273" s="20">
        <f>IF(D273="","",IF(OR(D273="A",D273="B"),G273/80,IF(D273="A&amp;B",G273/160,"")))</f>
        <v>1.0</v>
      </c>
      <c r="I273" s="19" t="s">
        <v>65</v>
      </c>
      <c r="J273" t="str">
        <f>IF(I273="","",_xlfn.XLOOKUP(I273,Lists!$C:$C,Lists!$D:$D))</f>
        <v/>
      </c>
      <c r="K273" s="19" t="s">
        <v>52</v>
      </c>
      <c r="L273" s="19">
        <v>100.0</v>
      </c>
      <c r="M273" s="19">
        <v>900.0</v>
      </c>
      <c r="N273">
        <f>IF(OR(M273="",L273=""),"",(M273*L273)/100000)</f>
        <v>0.9</v>
      </c>
      <c r="O273" t="str">
        <f>IF(I273="","",_xlfn.XLOOKUP(I273,Lists!$C:$C,Lists!$J:$J))</f>
        <v/>
      </c>
      <c r="P273" t="str">
        <f>IF(I273="","",_xlfn.XLOOKUP(I273,Lists!$C:$C,Lists!$E:$E))</f>
        <v/>
      </c>
      <c r="Q273" s="21" t="str">
        <f>IF(OR(A273="",P273=""),"",A273+P273+1)</f>
        <v/>
      </c>
      <c r="R273" t="str">
        <f t="shared" si="24"/>
        <v/>
      </c>
      <c r="S273" t="str">
        <f>IF(I273="","",_xlfn.XLOOKUP(I273,Lists!$C:$C,Lists!$I:$I))</f>
        <v/>
      </c>
    </row>
    <row r="274" spans="8:8" ht="24.35">
      <c r="A274" s="18">
        <v>46194.0</v>
      </c>
      <c r="B274" s="19">
        <v>20.0</v>
      </c>
      <c r="C274">
        <f>_xlfn.XLOOKUP(B274,Lists!B:B,Lists!A:A,"")</f>
        <v>0.0</v>
      </c>
      <c r="D274" s="19" t="s">
        <v>234</v>
      </c>
      <c r="E274" s="19">
        <v>1.0</v>
      </c>
      <c r="F274" s="27">
        <v>160.0</v>
      </c>
      <c r="G274">
        <f>IF(OR(E274="",F274=""),"",F274-E274+1)</f>
        <v>160.0</v>
      </c>
      <c r="H274" s="20">
        <f>IF(D274="","",IF(OR(D274="A",D274="B"),G274/80,IF(D274="A&amp;B",G274/160,"")))</f>
        <v>1.0</v>
      </c>
      <c r="I274" s="19" t="s">
        <v>66</v>
      </c>
      <c r="J274" t="str">
        <f>IF(I274="","",_xlfn.XLOOKUP(I274,Lists!$C:$C,Lists!$D:$D))</f>
        <v/>
      </c>
      <c r="K274" s="19" t="s">
        <v>52</v>
      </c>
      <c r="L274" s="19">
        <v>100.0</v>
      </c>
      <c r="M274" s="19">
        <v>1200.0</v>
      </c>
      <c r="N274">
        <f>IF(OR(M274="",L274=""),"",(M274*L274)/100000)</f>
        <v>1.2</v>
      </c>
      <c r="O274" t="str">
        <f>IF(I274="","",_xlfn.XLOOKUP(I274,Lists!$C:$C,Lists!$J:$J))</f>
        <v/>
      </c>
      <c r="P274" t="str">
        <f>IF(I274="","",_xlfn.XLOOKUP(I274,Lists!$C:$C,Lists!$E:$E))</f>
        <v/>
      </c>
      <c r="Q274" s="21" t="str">
        <f>IF(OR(A274="",P274=""),"",A274+P274+1)</f>
        <v/>
      </c>
      <c r="R274" t="str">
        <f t="shared" si="24"/>
        <v/>
      </c>
      <c r="S274" t="str">
        <f>IF(I274="","",_xlfn.XLOOKUP(I274,Lists!$C:$C,Lists!$I:$I))</f>
        <v/>
      </c>
    </row>
    <row r="275" spans="8:8" ht="24.35">
      <c r="A275" s="18">
        <v>46194.0</v>
      </c>
      <c r="B275" s="19">
        <v>37.0</v>
      </c>
      <c r="C275">
        <f>_xlfn.XLOOKUP(B275,Lists!B:B,Lists!A:A,"")</f>
        <v>0.0</v>
      </c>
      <c r="D275" s="19" t="s">
        <v>234</v>
      </c>
      <c r="E275" s="19">
        <v>1.0</v>
      </c>
      <c r="F275" s="27">
        <v>160.0</v>
      </c>
      <c r="G275">
        <f>IF(OR(E275="",F275=""),"",F275-E275+1)</f>
        <v>160.0</v>
      </c>
      <c r="H275" s="20">
        <f>IF(D275="","",IF(OR(D275="A",D275="B"),G275/80,IF(D275="A&amp;B",G275/160,"")))</f>
        <v>1.0</v>
      </c>
      <c r="I275" s="19" t="s">
        <v>66</v>
      </c>
      <c r="J275" t="str">
        <f>IF(I275="","",_xlfn.XLOOKUP(I275,Lists!$C:$C,Lists!$D:$D))</f>
        <v/>
      </c>
      <c r="K275" s="19" t="s">
        <v>52</v>
      </c>
      <c r="L275" s="19">
        <v>100.0</v>
      </c>
      <c r="M275" s="19">
        <v>1200.0</v>
      </c>
      <c r="N275">
        <f>IF(OR(M275="",L275=""),"",(M275*L275)/100000)</f>
        <v>1.2</v>
      </c>
      <c r="O275" t="str">
        <f>IF(I275="","",_xlfn.XLOOKUP(I275,Lists!$C:$C,Lists!$J:$J))</f>
        <v/>
      </c>
      <c r="P275" t="str">
        <f>IF(I275="","",_xlfn.XLOOKUP(I275,Lists!$C:$C,Lists!$E:$E))</f>
        <v/>
      </c>
      <c r="Q275" s="21" t="str">
        <f>IF(OR(A275="",P275=""),"",A275+P275+1)</f>
        <v/>
      </c>
      <c r="R275" t="str">
        <f t="shared" si="24"/>
        <v/>
      </c>
      <c r="S275" t="str">
        <f>IF(I275="","",_xlfn.XLOOKUP(I275,Lists!$C:$C,Lists!$I:$I))</f>
        <v/>
      </c>
    </row>
    <row r="276" spans="8:8" ht="24.35">
      <c r="A276" s="18">
        <v>46194.0</v>
      </c>
      <c r="B276" s="19">
        <v>56.0</v>
      </c>
      <c r="C276">
        <f>_xlfn.XLOOKUP(B276,Lists!B:B,Lists!A:A,"")</f>
        <v>0.0</v>
      </c>
      <c r="D276" s="19" t="s">
        <v>234</v>
      </c>
      <c r="E276" s="19">
        <v>1.0</v>
      </c>
      <c r="F276" s="27">
        <v>160.0</v>
      </c>
      <c r="G276">
        <f>IF(OR(E276="",F276=""),"",F276-E276+1)</f>
        <v>160.0</v>
      </c>
      <c r="H276" s="20">
        <f>IF(D276="","",IF(OR(D276="A",D276="B"),G276/80,IF(D276="A&amp;B",G276/160,"")))</f>
        <v>1.0</v>
      </c>
      <c r="I276" s="19" t="s">
        <v>66</v>
      </c>
      <c r="J276" t="str">
        <f>IF(I276="","",_xlfn.XLOOKUP(I276,Lists!$C:$C,Lists!$D:$D))</f>
        <v/>
      </c>
      <c r="K276" s="19" t="s">
        <v>52</v>
      </c>
      <c r="L276" s="19">
        <v>100.0</v>
      </c>
      <c r="M276" s="19">
        <v>1200.0</v>
      </c>
      <c r="N276">
        <f>IF(OR(M276="",L276=""),"",(M276*L276)/100000)</f>
        <v>1.2</v>
      </c>
      <c r="O276" t="str">
        <f>IF(I276="","",_xlfn.XLOOKUP(I276,Lists!$C:$C,Lists!$J:$J))</f>
        <v/>
      </c>
      <c r="P276" t="str">
        <f>IF(I276="","",_xlfn.XLOOKUP(I276,Lists!$C:$C,Lists!$E:$E))</f>
        <v/>
      </c>
      <c r="Q276" s="21" t="str">
        <f>IF(OR(A276="",P276=""),"",A276+P276+1)</f>
        <v/>
      </c>
      <c r="R276" t="str">
        <f t="shared" si="24"/>
        <v/>
      </c>
      <c r="S276" t="str">
        <f>IF(I276="","",_xlfn.XLOOKUP(I276,Lists!$C:$C,Lists!$I:$I))</f>
        <v/>
      </c>
    </row>
    <row r="277" spans="8:8" ht="24.35">
      <c r="A277" s="18">
        <v>46194.0</v>
      </c>
      <c r="B277" s="19">
        <v>21.0</v>
      </c>
      <c r="C277">
        <f>_xlfn.XLOOKUP(B277,Lists!B:B,Lists!A:A,"")</f>
        <v>0.0</v>
      </c>
      <c r="D277" s="19" t="s">
        <v>234</v>
      </c>
      <c r="E277" s="19">
        <v>1.0</v>
      </c>
      <c r="F277" s="27">
        <v>160.0</v>
      </c>
      <c r="G277">
        <f>IF(OR(E277="",F277=""),"",F277-E277+1)</f>
        <v>160.0</v>
      </c>
      <c r="H277" s="20">
        <f>IF(D277="","",IF(OR(D277="A",D277="B"),G277/80,IF(D277="A&amp;B",G277/160,"")))</f>
        <v>1.0</v>
      </c>
      <c r="I277" s="19" t="s">
        <v>241</v>
      </c>
      <c r="J277" t="str">
        <f>IF(I277="","",_xlfn.XLOOKUP(I277,Lists!$C:$C,Lists!$D:$D))</f>
        <v/>
      </c>
      <c r="K277" s="19" t="s">
        <v>52</v>
      </c>
      <c r="L277" s="19">
        <v>50.0</v>
      </c>
      <c r="M277" s="19">
        <v>1200.0</v>
      </c>
      <c r="N277">
        <f>IF(OR(M277="",L277=""),"",(M277*L277)/100000)</f>
        <v>0.6</v>
      </c>
      <c r="O277" t="str">
        <f>IF(I277="","",_xlfn.XLOOKUP(I277,Lists!$C:$C,Lists!$J:$J))</f>
        <v/>
      </c>
      <c r="P277" t="str">
        <f>IF(I277="","",_xlfn.XLOOKUP(I277,Lists!$C:$C,Lists!$E:$E))</f>
        <v/>
      </c>
      <c r="Q277" s="21" t="str">
        <f>IF(OR(A277="",P277=""),"",A277+P277+1)</f>
        <v/>
      </c>
      <c r="R277" t="str">
        <f t="shared" si="24"/>
        <v/>
      </c>
      <c r="S277" t="str">
        <f>IF(I277="","",_xlfn.XLOOKUP(I277,Lists!$C:$C,Lists!$I:$I))</f>
        <v/>
      </c>
    </row>
    <row r="278" spans="8:8" ht="24.35">
      <c r="A278" s="18">
        <v>46194.0</v>
      </c>
      <c r="B278" s="19">
        <v>21.0</v>
      </c>
      <c r="C278">
        <f>_xlfn.XLOOKUP(B278,Lists!B:B,Lists!A:A,"")</f>
        <v>0.0</v>
      </c>
      <c r="D278" s="19" t="s">
        <v>234</v>
      </c>
      <c r="E278" s="19">
        <v>1.0</v>
      </c>
      <c r="F278" s="27">
        <v>160.0</v>
      </c>
      <c r="G278">
        <f>IF(OR(E278="",F278=""),"",F278-E278+1)</f>
        <v>160.0</v>
      </c>
      <c r="H278" s="20">
        <f>IF(D278="","",IF(OR(D278="A",D278="B"),G278/80,IF(D278="A&amp;B",G278/160,"")))</f>
        <v>1.0</v>
      </c>
      <c r="I278" s="19" t="s">
        <v>63</v>
      </c>
      <c r="J278" t="str">
        <f>IF(I278="","",_xlfn.XLOOKUP(I278,Lists!$C:$C,Lists!$D:$D))</f>
        <v/>
      </c>
      <c r="K278" s="19" t="s">
        <v>52</v>
      </c>
      <c r="L278" s="19">
        <v>50.0</v>
      </c>
      <c r="M278" s="19">
        <v>1200.0</v>
      </c>
      <c r="N278">
        <f>IF(OR(M278="",L278=""),"",(M278*L278)/100000)</f>
        <v>0.6</v>
      </c>
      <c r="O278" t="str">
        <f>IF(I278="","",_xlfn.XLOOKUP(I278,Lists!$C:$C,Lists!$J:$J))</f>
        <v/>
      </c>
      <c r="P278" t="str">
        <f>IF(I278="","",_xlfn.XLOOKUP(I278,Lists!$C:$C,Lists!$E:$E))</f>
        <v/>
      </c>
      <c r="Q278" s="21" t="str">
        <f>IF(OR(A278="",P278=""),"",A278+P278+1)</f>
        <v/>
      </c>
      <c r="R278" t="str">
        <f t="shared" si="24"/>
        <v/>
      </c>
      <c r="S278" t="str">
        <f>IF(I278="","",_xlfn.XLOOKUP(I278,Lists!$C:$C,Lists!$I:$I))</f>
        <v/>
      </c>
    </row>
    <row r="279" spans="8:8" ht="24.35">
      <c r="A279" s="18">
        <v>46194.0</v>
      </c>
      <c r="B279" s="19">
        <v>30.0</v>
      </c>
      <c r="C279">
        <f>_xlfn.XLOOKUP(B279,Lists!B:B,Lists!A:A,"")</f>
        <v>0.0</v>
      </c>
      <c r="D279" s="19" t="s">
        <v>234</v>
      </c>
      <c r="E279" s="19">
        <v>1.0</v>
      </c>
      <c r="F279" s="27">
        <v>160.0</v>
      </c>
      <c r="G279">
        <f>IF(OR(E279="",F279=""),"",F279-E279+1)</f>
        <v>160.0</v>
      </c>
      <c r="H279" s="20">
        <f>IF(D279="","",IF(OR(D279="A",D279="B"),G279/80,IF(D279="A&amp;B",G279/160,"")))</f>
        <v>1.0</v>
      </c>
      <c r="I279" s="19" t="s">
        <v>241</v>
      </c>
      <c r="J279" t="str">
        <f>IF(I279="","",_xlfn.XLOOKUP(I279,Lists!$C:$C,Lists!$D:$D))</f>
        <v/>
      </c>
      <c r="K279" s="19" t="s">
        <v>52</v>
      </c>
      <c r="L279" s="19">
        <v>50.0</v>
      </c>
      <c r="M279" s="19">
        <v>1200.0</v>
      </c>
      <c r="N279">
        <f>IF(OR(M279="",L279=""),"",(M279*L279)/100000)</f>
        <v>0.6</v>
      </c>
      <c r="O279" t="str">
        <f>IF(I279="","",_xlfn.XLOOKUP(I279,Lists!$C:$C,Lists!$J:$J))</f>
        <v/>
      </c>
      <c r="P279" t="str">
        <f>IF(I279="","",_xlfn.XLOOKUP(I279,Lists!$C:$C,Lists!$E:$E))</f>
        <v/>
      </c>
      <c r="Q279" s="21" t="str">
        <f>IF(OR(A279="",P279=""),"",A279+P279+1)</f>
        <v/>
      </c>
      <c r="R279" t="str">
        <f t="shared" si="24"/>
        <v/>
      </c>
      <c r="S279" t="str">
        <f>IF(I279="","",_xlfn.XLOOKUP(I279,Lists!$C:$C,Lists!$I:$I))</f>
        <v/>
      </c>
    </row>
    <row r="280" spans="8:8" ht="24.35">
      <c r="A280" s="18">
        <v>46194.0</v>
      </c>
      <c r="B280" s="19">
        <v>30.0</v>
      </c>
      <c r="C280">
        <f>_xlfn.XLOOKUP(B280,Lists!B:B,Lists!A:A,"")</f>
        <v>0.0</v>
      </c>
      <c r="D280" s="19" t="s">
        <v>234</v>
      </c>
      <c r="E280" s="19">
        <v>1.0</v>
      </c>
      <c r="F280" s="27">
        <v>160.0</v>
      </c>
      <c r="G280">
        <f>IF(OR(E280="",F280=""),"",F280-E280+1)</f>
        <v>160.0</v>
      </c>
      <c r="H280" s="20">
        <f>IF(D280="","",IF(OR(D280="A",D280="B"),G280/80,IF(D280="A&amp;B",G280/160,"")))</f>
        <v>1.0</v>
      </c>
      <c r="I280" s="19" t="s">
        <v>63</v>
      </c>
      <c r="J280" t="str">
        <f>IF(I280="","",_xlfn.XLOOKUP(I280,Lists!$C:$C,Lists!$D:$D))</f>
        <v/>
      </c>
      <c r="K280" s="19" t="s">
        <v>52</v>
      </c>
      <c r="L280" s="19">
        <v>50.0</v>
      </c>
      <c r="M280" s="19">
        <v>1200.0</v>
      </c>
      <c r="N280">
        <f>IF(OR(M280="",L280=""),"",(M280*L280)/100000)</f>
        <v>0.6</v>
      </c>
      <c r="O280" t="str">
        <f>IF(I280="","",_xlfn.XLOOKUP(I280,Lists!$C:$C,Lists!$J:$J))</f>
        <v/>
      </c>
      <c r="P280" t="str">
        <f>IF(I280="","",_xlfn.XLOOKUP(I280,Lists!$C:$C,Lists!$E:$E))</f>
        <v/>
      </c>
      <c r="Q280" s="21" t="str">
        <f>IF(OR(A280="",P280=""),"",A280+P280+1)</f>
        <v/>
      </c>
      <c r="R280" t="str">
        <f t="shared" si="24"/>
        <v/>
      </c>
      <c r="S280" t="str">
        <f>IF(I280="","",_xlfn.XLOOKUP(I280,Lists!$C:$C,Lists!$I:$I))</f>
        <v/>
      </c>
    </row>
    <row r="281" spans="8:8" ht="24.35">
      <c r="A281" s="18">
        <v>46194.0</v>
      </c>
      <c r="B281" s="19">
        <v>43.0</v>
      </c>
      <c r="C281">
        <f>_xlfn.XLOOKUP(B281,Lists!B:B,Lists!A:A,"")</f>
        <v>0.0</v>
      </c>
      <c r="D281" s="19" t="s">
        <v>234</v>
      </c>
      <c r="E281" s="19">
        <v>1.0</v>
      </c>
      <c r="F281" s="27">
        <v>160.0</v>
      </c>
      <c r="G281">
        <f>IF(OR(E281="",F281=""),"",F281-E281+1)</f>
        <v>160.0</v>
      </c>
      <c r="H281" s="20">
        <f>IF(D281="","",IF(OR(D281="A",D281="B"),G281/80,IF(D281="A&amp;B",G281/160,"")))</f>
        <v>1.0</v>
      </c>
      <c r="I281" s="19" t="s">
        <v>241</v>
      </c>
      <c r="J281" t="str">
        <f>IF(I281="","",_xlfn.XLOOKUP(I281,Lists!$C:$C,Lists!$D:$D))</f>
        <v/>
      </c>
      <c r="K281" s="19" t="s">
        <v>52</v>
      </c>
      <c r="L281" s="19">
        <v>50.0</v>
      </c>
      <c r="M281" s="19">
        <v>1200.0</v>
      </c>
      <c r="N281">
        <f>IF(OR(M281="",L281=""),"",(M281*L281)/100000)</f>
        <v>0.6</v>
      </c>
      <c r="O281" t="str">
        <f>IF(I281="","",_xlfn.XLOOKUP(I281,Lists!$C:$C,Lists!$J:$J))</f>
        <v/>
      </c>
      <c r="P281" t="str">
        <f>IF(I281="","",_xlfn.XLOOKUP(I281,Lists!$C:$C,Lists!$E:$E))</f>
        <v/>
      </c>
      <c r="Q281" s="21" t="str">
        <f>IF(OR(A281="",P281=""),"",A281+P281+1)</f>
        <v/>
      </c>
      <c r="R281" t="str">
        <f t="shared" si="24"/>
        <v/>
      </c>
      <c r="S281" t="str">
        <f>IF(I281="","",_xlfn.XLOOKUP(I281,Lists!$C:$C,Lists!$I:$I))</f>
        <v/>
      </c>
    </row>
    <row r="282" spans="8:8" ht="24.35">
      <c r="A282" s="18">
        <v>46194.0</v>
      </c>
      <c r="B282" s="19">
        <v>43.0</v>
      </c>
      <c r="C282">
        <f>_xlfn.XLOOKUP(B282,Lists!B:B,Lists!A:A,"")</f>
        <v>0.0</v>
      </c>
      <c r="D282" s="19" t="s">
        <v>234</v>
      </c>
      <c r="E282" s="19">
        <v>1.0</v>
      </c>
      <c r="F282" s="27">
        <v>160.0</v>
      </c>
      <c r="G282">
        <f>IF(OR(E282="",F282=""),"",F282-E282+1)</f>
        <v>160.0</v>
      </c>
      <c r="H282" s="20">
        <f>IF(D282="","",IF(OR(D282="A",D282="B"),G282/80,IF(D282="A&amp;B",G282/160,"")))</f>
        <v>1.0</v>
      </c>
      <c r="I282" s="19" t="s">
        <v>63</v>
      </c>
      <c r="J282" t="str">
        <f>IF(I282="","",_xlfn.XLOOKUP(I282,Lists!$C:$C,Lists!$D:$D))</f>
        <v/>
      </c>
      <c r="K282" s="19" t="s">
        <v>52</v>
      </c>
      <c r="L282" s="19">
        <v>50.0</v>
      </c>
      <c r="M282" s="19">
        <v>1200.0</v>
      </c>
      <c r="N282">
        <f>IF(OR(M282="",L282=""),"",(M282*L282)/100000)</f>
        <v>0.6</v>
      </c>
      <c r="O282" t="str">
        <f>IF(I282="","",_xlfn.XLOOKUP(I282,Lists!$C:$C,Lists!$J:$J))</f>
        <v/>
      </c>
      <c r="P282" t="str">
        <f>IF(I282="","",_xlfn.XLOOKUP(I282,Lists!$C:$C,Lists!$E:$E))</f>
        <v/>
      </c>
      <c r="Q282" s="21" t="str">
        <f>IF(OR(A282="",P282=""),"",A282+P282+1)</f>
        <v/>
      </c>
      <c r="R282" t="str">
        <f t="shared" si="24"/>
        <v/>
      </c>
      <c r="S282" t="str">
        <f>IF(I282="","",_xlfn.XLOOKUP(I282,Lists!$C:$C,Lists!$I:$I))</f>
        <v/>
      </c>
    </row>
    <row r="283" spans="8:8" ht="24.35">
      <c r="A283" s="18">
        <v>46194.0</v>
      </c>
      <c r="B283" s="19">
        <v>53.0</v>
      </c>
      <c r="C283">
        <f>_xlfn.XLOOKUP(B283,Lists!B:B,Lists!A:A,"")</f>
        <v>0.0</v>
      </c>
      <c r="D283" s="19" t="s">
        <v>234</v>
      </c>
      <c r="E283" s="19">
        <v>1.0</v>
      </c>
      <c r="F283" s="27">
        <v>160.0</v>
      </c>
      <c r="G283">
        <f>IF(OR(E283="",F283=""),"",F283-E283+1)</f>
        <v>160.0</v>
      </c>
      <c r="H283" s="20">
        <f>IF(D283="","",IF(OR(D283="A",D283="B"),G283/80,IF(D283="A&amp;B",G283/160,"")))</f>
        <v>1.0</v>
      </c>
      <c r="I283" s="19" t="s">
        <v>241</v>
      </c>
      <c r="J283" t="str">
        <f>IF(I283="","",_xlfn.XLOOKUP(I283,Lists!$C:$C,Lists!$D:$D))</f>
        <v/>
      </c>
      <c r="K283" s="19" t="s">
        <v>52</v>
      </c>
      <c r="L283" s="19">
        <v>50.0</v>
      </c>
      <c r="M283" s="19">
        <v>1200.0</v>
      </c>
      <c r="N283">
        <f>IF(OR(M283="",L283=""),"",(M283*L283)/100000)</f>
        <v>0.6</v>
      </c>
      <c r="O283" t="str">
        <f>IF(I283="","",_xlfn.XLOOKUP(I283,Lists!$C:$C,Lists!$J:$J))</f>
        <v/>
      </c>
      <c r="P283" t="str">
        <f>IF(I283="","",_xlfn.XLOOKUP(I283,Lists!$C:$C,Lists!$E:$E))</f>
        <v/>
      </c>
      <c r="Q283" s="21" t="str">
        <f>IF(OR(A283="",P283=""),"",A283+P283+1)</f>
        <v/>
      </c>
      <c r="R283" t="str">
        <f t="shared" si="25" ref="R283:R346">IF(Q283="","",IF(Q283&lt;=TODAY(),"Allow","Not Allow"))</f>
        <v/>
      </c>
      <c r="S283" t="str">
        <f>IF(I283="","",_xlfn.XLOOKUP(I283,Lists!$C:$C,Lists!$I:$I))</f>
        <v/>
      </c>
    </row>
    <row r="284" spans="8:8" ht="24.35">
      <c r="A284" s="18">
        <v>46194.0</v>
      </c>
      <c r="B284" s="19">
        <v>53.0</v>
      </c>
      <c r="C284">
        <f>_xlfn.XLOOKUP(B284,Lists!B:B,Lists!A:A,"")</f>
        <v>0.0</v>
      </c>
      <c r="D284" s="19" t="s">
        <v>234</v>
      </c>
      <c r="E284" s="19">
        <v>1.0</v>
      </c>
      <c r="F284" s="27">
        <v>160.0</v>
      </c>
      <c r="G284">
        <f>IF(OR(E284="",F284=""),"",F284-E284+1)</f>
        <v>160.0</v>
      </c>
      <c r="H284" s="20">
        <f>IF(D284="","",IF(OR(D284="A",D284="B"),G284/80,IF(D284="A&amp;B",G284/160,"")))</f>
        <v>1.0</v>
      </c>
      <c r="I284" s="19" t="s">
        <v>63</v>
      </c>
      <c r="J284" t="str">
        <f>IF(I284="","",_xlfn.XLOOKUP(I284,Lists!$C:$C,Lists!$D:$D))</f>
        <v/>
      </c>
      <c r="K284" s="19" t="s">
        <v>52</v>
      </c>
      <c r="L284" s="19">
        <v>50.0</v>
      </c>
      <c r="M284" s="19">
        <v>1200.0</v>
      </c>
      <c r="N284">
        <f>IF(OR(M284="",L284=""),"",(M284*L284)/100000)</f>
        <v>0.6</v>
      </c>
      <c r="O284" t="str">
        <f>IF(I284="","",_xlfn.XLOOKUP(I284,Lists!$C:$C,Lists!$J:$J))</f>
        <v/>
      </c>
      <c r="P284" t="str">
        <f>IF(I284="","",_xlfn.XLOOKUP(I284,Lists!$C:$C,Lists!$E:$E))</f>
        <v/>
      </c>
      <c r="Q284" s="21" t="str">
        <f>IF(OR(A284="",P284=""),"",A284+P284+1)</f>
        <v/>
      </c>
      <c r="R284" t="str">
        <f t="shared" si="25"/>
        <v/>
      </c>
      <c r="S284" t="str">
        <f>IF(I284="","",_xlfn.XLOOKUP(I284,Lists!$C:$C,Lists!$I:$I))</f>
        <v/>
      </c>
    </row>
    <row r="285" spans="8:8" ht="25.55">
      <c r="A285" s="18">
        <v>46195.0</v>
      </c>
      <c r="B285" s="19">
        <v>3.0</v>
      </c>
      <c r="C285">
        <f>_xlfn.XLOOKUP(B285,Lists!B:B,Lists!A:A,"")</f>
        <v>0.0</v>
      </c>
      <c r="D285" s="19" t="s">
        <v>234</v>
      </c>
      <c r="E285" s="19">
        <v>1.0</v>
      </c>
      <c r="F285" s="27">
        <v>160.0</v>
      </c>
      <c r="G285">
        <f>IF(OR(E285="",F285=""),"",F285-E285+1)</f>
        <v>160.0</v>
      </c>
      <c r="H285" s="20">
        <f>IF(D285="","",IF(OR(D285="A",D285="B"),G285/80,IF(D285="A&amp;B",G285/160,"")))</f>
        <v>1.0</v>
      </c>
      <c r="I285" s="19" t="s">
        <v>65</v>
      </c>
      <c r="J285" t="str">
        <f>IF(I285="","",_xlfn.XLOOKUP(I285,Lists!$C:$C,Lists!$D:$D))</f>
        <v/>
      </c>
      <c r="K285" s="19" t="s">
        <v>52</v>
      </c>
      <c r="L285" s="19">
        <v>100.0</v>
      </c>
      <c r="M285" s="19">
        <v>900.0</v>
      </c>
      <c r="N285">
        <f>IF(OR(M285="",L285=""),"",(M285*L285)/100000)</f>
        <v>0.9</v>
      </c>
      <c r="O285" t="str">
        <f>IF(I285="","",_xlfn.XLOOKUP(I285,Lists!$C:$C,Lists!$J:$J))</f>
        <v/>
      </c>
      <c r="P285" t="str">
        <f>IF(I285="","",_xlfn.XLOOKUP(I285,Lists!$C:$C,Lists!$E:$E))</f>
        <v/>
      </c>
      <c r="Q285" s="21" t="str">
        <f>IF(OR(A285="",P285=""),"",A285+P285+1)</f>
        <v/>
      </c>
      <c r="R285" t="str">
        <f t="shared" si="25"/>
        <v/>
      </c>
      <c r="S285" t="str">
        <f>IF(I285="","",_xlfn.XLOOKUP(I285,Lists!$C:$C,Lists!$I:$I))</f>
        <v/>
      </c>
    </row>
    <row r="286" spans="8:8" ht="25.55">
      <c r="A286" s="18">
        <v>46195.0</v>
      </c>
      <c r="B286" s="19">
        <v>4.0</v>
      </c>
      <c r="C286">
        <f>_xlfn.XLOOKUP(B286,Lists!B:B,Lists!A:A,"")</f>
        <v>0.0</v>
      </c>
      <c r="D286" s="19" t="s">
        <v>234</v>
      </c>
      <c r="E286" s="19">
        <v>1.0</v>
      </c>
      <c r="F286" s="27">
        <v>160.0</v>
      </c>
      <c r="G286">
        <f>IF(OR(E286="",F286=""),"",F286-E286+1)</f>
        <v>160.0</v>
      </c>
      <c r="H286" s="20">
        <f>IF(D286="","",IF(OR(D286="A",D286="B"),G286/80,IF(D286="A&amp;B",G286/160,"")))</f>
        <v>1.0</v>
      </c>
      <c r="I286" s="19" t="s">
        <v>66</v>
      </c>
      <c r="J286" t="str">
        <f>IF(I286="","",_xlfn.XLOOKUP(I286,Lists!$C:$C,Lists!$D:$D))</f>
        <v/>
      </c>
      <c r="K286" s="19" t="s">
        <v>52</v>
      </c>
      <c r="L286" s="19">
        <v>100.0</v>
      </c>
      <c r="M286" s="19">
        <v>1200.0</v>
      </c>
      <c r="N286">
        <f>IF(OR(M286="",L286=""),"",(M286*L286)/100000)</f>
        <v>1.2</v>
      </c>
      <c r="O286" t="str">
        <f>IF(I286="","",_xlfn.XLOOKUP(I286,Lists!$C:$C,Lists!$J:$J))</f>
        <v/>
      </c>
      <c r="P286" t="str">
        <f>IF(I286="","",_xlfn.XLOOKUP(I286,Lists!$C:$C,Lists!$E:$E))</f>
        <v/>
      </c>
      <c r="Q286" s="21" t="str">
        <f>IF(OR(A286="",P286=""),"",A286+P286+1)</f>
        <v/>
      </c>
      <c r="R286" t="str">
        <f t="shared" si="25"/>
        <v/>
      </c>
      <c r="S286" t="str">
        <f>IF(I286="","",_xlfn.XLOOKUP(I286,Lists!$C:$C,Lists!$I:$I))</f>
        <v/>
      </c>
    </row>
    <row r="287" spans="8:8" ht="25.55">
      <c r="A287" s="18">
        <v>46195.0</v>
      </c>
      <c r="B287" s="19">
        <v>6.0</v>
      </c>
      <c r="C287">
        <f>_xlfn.XLOOKUP(B287,Lists!B:B,Lists!A:A,"")</f>
        <v>0.0</v>
      </c>
      <c r="D287" s="19" t="s">
        <v>234</v>
      </c>
      <c r="E287" s="19">
        <v>1.0</v>
      </c>
      <c r="F287" s="27">
        <v>160.0</v>
      </c>
      <c r="G287">
        <f>IF(OR(E287="",F287=""),"",F287-E287+1)</f>
        <v>160.0</v>
      </c>
      <c r="H287" s="20">
        <f>IF(D287="","",IF(OR(D287="A",D287="B"),G287/80,IF(D287="A&amp;B",G287/160,"")))</f>
        <v>1.0</v>
      </c>
      <c r="I287" s="19" t="s">
        <v>66</v>
      </c>
      <c r="J287" t="str">
        <f>IF(I287="","",_xlfn.XLOOKUP(I287,Lists!$C:$C,Lists!$D:$D))</f>
        <v/>
      </c>
      <c r="K287" s="19" t="s">
        <v>52</v>
      </c>
      <c r="L287" s="19">
        <v>100.0</v>
      </c>
      <c r="M287" s="19">
        <v>1200.0</v>
      </c>
      <c r="N287">
        <f>IF(OR(M287="",L287=""),"",(M287*L287)/100000)</f>
        <v>1.2</v>
      </c>
      <c r="O287" t="str">
        <f>IF(I287="","",_xlfn.XLOOKUP(I287,Lists!$C:$C,Lists!$J:$J))</f>
        <v/>
      </c>
      <c r="P287" t="str">
        <f>IF(I287="","",_xlfn.XLOOKUP(I287,Lists!$C:$C,Lists!$E:$E))</f>
        <v/>
      </c>
      <c r="Q287" s="21" t="str">
        <f>IF(OR(A287="",P287=""),"",A287+P287+1)</f>
        <v/>
      </c>
      <c r="R287" t="str">
        <f t="shared" si="25"/>
        <v/>
      </c>
      <c r="S287" t="str">
        <f>IF(I287="","",_xlfn.XLOOKUP(I287,Lists!$C:$C,Lists!$I:$I))</f>
        <v/>
      </c>
    </row>
    <row r="288" spans="8:8" ht="25.55">
      <c r="A288" s="18">
        <v>46195.0</v>
      </c>
      <c r="B288" s="19">
        <v>13.0</v>
      </c>
      <c r="C288">
        <f>_xlfn.XLOOKUP(B288,Lists!B:B,Lists!A:A,"")</f>
        <v>0.0</v>
      </c>
      <c r="D288" s="19" t="s">
        <v>234</v>
      </c>
      <c r="E288" s="19">
        <v>1.0</v>
      </c>
      <c r="F288" s="27">
        <v>160.0</v>
      </c>
      <c r="G288">
        <f>IF(OR(E288="",F288=""),"",F288-E288+1)</f>
        <v>160.0</v>
      </c>
      <c r="H288" s="20">
        <f>IF(D288="","",IF(OR(D288="A",D288="B"),G288/80,IF(D288="A&amp;B",G288/160,"")))</f>
        <v>1.0</v>
      </c>
      <c r="I288" s="19" t="s">
        <v>65</v>
      </c>
      <c r="J288" t="str">
        <f>IF(I288="","",_xlfn.XLOOKUP(I288,Lists!$C:$C,Lists!$D:$D))</f>
        <v/>
      </c>
      <c r="K288" s="19" t="s">
        <v>52</v>
      </c>
      <c r="L288" s="19">
        <v>100.0</v>
      </c>
      <c r="M288" s="19">
        <v>900.0</v>
      </c>
      <c r="N288">
        <f>IF(OR(M288="",L288=""),"",(M288*L288)/100000)</f>
        <v>0.9</v>
      </c>
      <c r="O288" t="str">
        <f>IF(I288="","",_xlfn.XLOOKUP(I288,Lists!$C:$C,Lists!$J:$J))</f>
        <v/>
      </c>
      <c r="P288" t="str">
        <f>IF(I288="","",_xlfn.XLOOKUP(I288,Lists!$C:$C,Lists!$E:$E))</f>
        <v/>
      </c>
      <c r="Q288" s="21" t="str">
        <f>IF(OR(A288="",P288=""),"",A288+P288+1)</f>
        <v/>
      </c>
      <c r="R288" t="str">
        <f t="shared" si="25"/>
        <v/>
      </c>
      <c r="S288" t="str">
        <f>IF(I288="","",_xlfn.XLOOKUP(I288,Lists!$C:$C,Lists!$I:$I))</f>
        <v/>
      </c>
    </row>
    <row r="289" spans="8:8" ht="25.55">
      <c r="A289" s="18">
        <v>46195.0</v>
      </c>
      <c r="B289" s="19">
        <v>64.0</v>
      </c>
      <c r="C289">
        <f>_xlfn.XLOOKUP(B289,Lists!B:B,Lists!A:A,"")</f>
        <v>0.0</v>
      </c>
      <c r="D289" s="19" t="s">
        <v>234</v>
      </c>
      <c r="E289" s="19">
        <v>1.0</v>
      </c>
      <c r="F289" s="27">
        <v>160.0</v>
      </c>
      <c r="G289">
        <f>IF(OR(E289="",F289=""),"",F289-E289+1)</f>
        <v>160.0</v>
      </c>
      <c r="H289" s="20">
        <f>IF(D289="","",IF(OR(D289="A",D289="B"),G289/80,IF(D289="A&amp;B",G289/160,"")))</f>
        <v>1.0</v>
      </c>
      <c r="I289" s="19" t="s">
        <v>66</v>
      </c>
      <c r="J289" t="str">
        <f>IF(I289="","",_xlfn.XLOOKUP(I289,Lists!$C:$C,Lists!$D:$D))</f>
        <v/>
      </c>
      <c r="K289" s="19" t="s">
        <v>52</v>
      </c>
      <c r="L289" s="19">
        <v>100.0</v>
      </c>
      <c r="M289" s="19">
        <v>1200.0</v>
      </c>
      <c r="N289">
        <f>IF(OR(M289="",L289=""),"",(M289*L289)/100000)</f>
        <v>1.2</v>
      </c>
      <c r="O289" t="str">
        <f>IF(I289="","",_xlfn.XLOOKUP(I289,Lists!$C:$C,Lists!$J:$J))</f>
        <v/>
      </c>
      <c r="P289" t="str">
        <f>IF(I289="","",_xlfn.XLOOKUP(I289,Lists!$C:$C,Lists!$E:$E))</f>
        <v/>
      </c>
      <c r="Q289" s="21" t="str">
        <f>IF(OR(A289="",P289=""),"",A289+P289+1)</f>
        <v/>
      </c>
      <c r="R289" t="str">
        <f t="shared" si="25"/>
        <v/>
      </c>
      <c r="S289" t="str">
        <f>IF(I289="","",_xlfn.XLOOKUP(I289,Lists!$C:$C,Lists!$I:$I))</f>
        <v/>
      </c>
    </row>
    <row r="290" spans="8:8" ht="25.55">
      <c r="A290" s="18">
        <v>46195.0</v>
      </c>
      <c r="B290" s="19">
        <v>34.0</v>
      </c>
      <c r="C290">
        <f>_xlfn.XLOOKUP(B290,Lists!B:B,Lists!A:A,"")</f>
        <v>0.0</v>
      </c>
      <c r="D290" s="19" t="s">
        <v>234</v>
      </c>
      <c r="E290" s="19">
        <v>1.0</v>
      </c>
      <c r="F290" s="27">
        <v>160.0</v>
      </c>
      <c r="G290">
        <f>IF(OR(E290="",F290=""),"",F290-E290+1)</f>
        <v>160.0</v>
      </c>
      <c r="H290" s="20">
        <f>IF(D290="","",IF(OR(D290="A",D290="B"),G290/80,IF(D290="A&amp;B",G290/160,"")))</f>
        <v>1.0</v>
      </c>
      <c r="I290" s="19" t="s">
        <v>241</v>
      </c>
      <c r="J290" t="str">
        <f>IF(I290="","",_xlfn.XLOOKUP(I290,Lists!$C:$C,Lists!$D:$D))</f>
        <v/>
      </c>
      <c r="K290" s="19" t="s">
        <v>52</v>
      </c>
      <c r="L290" s="19">
        <v>50.0</v>
      </c>
      <c r="M290" s="19">
        <v>1200.0</v>
      </c>
      <c r="N290">
        <f>IF(OR(M290="",L290=""),"",(M290*L290)/100000)</f>
        <v>0.6</v>
      </c>
      <c r="O290" t="str">
        <f>IF(I290="","",_xlfn.XLOOKUP(I290,Lists!$C:$C,Lists!$J:$J))</f>
        <v/>
      </c>
      <c r="P290" t="str">
        <f>IF(I290="","",_xlfn.XLOOKUP(I290,Lists!$C:$C,Lists!$E:$E))</f>
        <v/>
      </c>
      <c r="Q290" s="21" t="str">
        <f>IF(OR(A290="",P290=""),"",A290+P290+1)</f>
        <v/>
      </c>
      <c r="R290" t="str">
        <f t="shared" si="25"/>
        <v/>
      </c>
      <c r="S290" t="str">
        <f>IF(I290="","",_xlfn.XLOOKUP(I290,Lists!$C:$C,Lists!$I:$I))</f>
        <v/>
      </c>
    </row>
    <row r="291" spans="8:8" ht="25.55">
      <c r="A291" s="18">
        <v>46195.0</v>
      </c>
      <c r="B291" s="19">
        <v>34.0</v>
      </c>
      <c r="C291">
        <f>_xlfn.XLOOKUP(B291,Lists!B:B,Lists!A:A,"")</f>
        <v>0.0</v>
      </c>
      <c r="D291" s="19" t="s">
        <v>234</v>
      </c>
      <c r="E291" s="19">
        <v>1.0</v>
      </c>
      <c r="F291" s="27">
        <v>160.0</v>
      </c>
      <c r="G291">
        <f>IF(OR(E291="",F291=""),"",F291-E291+1)</f>
        <v>160.0</v>
      </c>
      <c r="H291" s="20">
        <f>IF(D291="","",IF(OR(D291="A",D291="B"),G291/80,IF(D291="A&amp;B",G291/160,"")))</f>
        <v>1.0</v>
      </c>
      <c r="I291" s="19" t="s">
        <v>63</v>
      </c>
      <c r="J291" t="str">
        <f>IF(I291="","",_xlfn.XLOOKUP(I291,Lists!$C:$C,Lists!$D:$D))</f>
        <v/>
      </c>
      <c r="K291" s="19" t="s">
        <v>52</v>
      </c>
      <c r="L291" s="19">
        <v>50.0</v>
      </c>
      <c r="M291" s="19">
        <v>1200.0</v>
      </c>
      <c r="N291">
        <f>IF(OR(M291="",L291=""),"",(M291*L291)/100000)</f>
        <v>0.6</v>
      </c>
      <c r="O291" t="str">
        <f>IF(I291="","",_xlfn.XLOOKUP(I291,Lists!$C:$C,Lists!$J:$J))</f>
        <v/>
      </c>
      <c r="P291" t="str">
        <f>IF(I291="","",_xlfn.XLOOKUP(I291,Lists!$C:$C,Lists!$E:$E))</f>
        <v/>
      </c>
      <c r="Q291" s="21" t="str">
        <f>IF(OR(A291="",P291=""),"",A291+P291+1)</f>
        <v/>
      </c>
      <c r="R291" t="str">
        <f t="shared" si="25"/>
        <v/>
      </c>
      <c r="S291" t="str">
        <f>IF(I291="","",_xlfn.XLOOKUP(I291,Lists!$C:$C,Lists!$I:$I))</f>
        <v/>
      </c>
    </row>
    <row r="292" spans="8:8" ht="25.55">
      <c r="A292" s="18">
        <v>46195.0</v>
      </c>
      <c r="B292" s="19">
        <v>44.0</v>
      </c>
      <c r="C292">
        <f>_xlfn.XLOOKUP(B292,Lists!B:B,Lists!A:A,"")</f>
        <v>0.0</v>
      </c>
      <c r="D292" s="19" t="s">
        <v>234</v>
      </c>
      <c r="E292" s="19">
        <v>1.0</v>
      </c>
      <c r="F292" s="27">
        <v>160.0</v>
      </c>
      <c r="G292">
        <f>IF(OR(E292="",F292=""),"",F292-E292+1)</f>
        <v>160.0</v>
      </c>
      <c r="H292" s="20">
        <f>IF(D292="","",IF(OR(D292="A",D292="B"),G292/80,IF(D292="A&amp;B",G292/160,"")))</f>
        <v>1.0</v>
      </c>
      <c r="I292" s="19" t="s">
        <v>241</v>
      </c>
      <c r="J292" t="str">
        <f>IF(I292="","",_xlfn.XLOOKUP(I292,Lists!$C:$C,Lists!$D:$D))</f>
        <v/>
      </c>
      <c r="K292" s="19" t="s">
        <v>52</v>
      </c>
      <c r="L292" s="19">
        <v>50.0</v>
      </c>
      <c r="M292" s="19">
        <v>1200.0</v>
      </c>
      <c r="N292">
        <f>IF(OR(M292="",L292=""),"",(M292*L292)/100000)</f>
        <v>0.6</v>
      </c>
      <c r="O292" t="str">
        <f>IF(I292="","",_xlfn.XLOOKUP(I292,Lists!$C:$C,Lists!$J:$J))</f>
        <v/>
      </c>
      <c r="P292" t="str">
        <f>IF(I292="","",_xlfn.XLOOKUP(I292,Lists!$C:$C,Lists!$E:$E))</f>
        <v/>
      </c>
      <c r="Q292" s="21" t="str">
        <f>IF(OR(A292="",P292=""),"",A292+P292+1)</f>
        <v/>
      </c>
      <c r="R292" t="str">
        <f t="shared" si="25"/>
        <v/>
      </c>
      <c r="S292" t="str">
        <f>IF(I292="","",_xlfn.XLOOKUP(I292,Lists!$C:$C,Lists!$I:$I))</f>
        <v/>
      </c>
    </row>
    <row r="293" spans="8:8" ht="25.55">
      <c r="A293" s="18">
        <v>46195.0</v>
      </c>
      <c r="B293" s="19">
        <v>44.0</v>
      </c>
      <c r="C293">
        <f>_xlfn.XLOOKUP(B293,Lists!B:B,Lists!A:A,"")</f>
        <v>0.0</v>
      </c>
      <c r="D293" s="19" t="s">
        <v>234</v>
      </c>
      <c r="E293" s="19">
        <v>1.0</v>
      </c>
      <c r="F293" s="27">
        <v>160.0</v>
      </c>
      <c r="G293">
        <f>IF(OR(E293="",F293=""),"",F293-E293+1)</f>
        <v>160.0</v>
      </c>
      <c r="H293" s="20">
        <f>IF(D293="","",IF(OR(D293="A",D293="B"),G293/80,IF(D293="A&amp;B",G293/160,"")))</f>
        <v>1.0</v>
      </c>
      <c r="I293" s="19" t="s">
        <v>63</v>
      </c>
      <c r="J293" t="str">
        <f>IF(I293="","",_xlfn.XLOOKUP(I293,Lists!$C:$C,Lists!$D:$D))</f>
        <v/>
      </c>
      <c r="K293" s="19" t="s">
        <v>52</v>
      </c>
      <c r="L293" s="19">
        <v>50.0</v>
      </c>
      <c r="M293" s="19">
        <v>1200.0</v>
      </c>
      <c r="N293">
        <f>IF(OR(M293="",L293=""),"",(M293*L293)/100000)</f>
        <v>0.6</v>
      </c>
      <c r="O293" t="str">
        <f>IF(I293="","",_xlfn.XLOOKUP(I293,Lists!$C:$C,Lists!$J:$J))</f>
        <v/>
      </c>
      <c r="P293" t="str">
        <f>IF(I293="","",_xlfn.XLOOKUP(I293,Lists!$C:$C,Lists!$E:$E))</f>
        <v/>
      </c>
      <c r="Q293" s="21" t="str">
        <f>IF(OR(A293="",P293=""),"",A293+P293+1)</f>
        <v/>
      </c>
      <c r="R293" t="str">
        <f t="shared" si="25"/>
        <v/>
      </c>
      <c r="S293" t="str">
        <f>IF(I293="","",_xlfn.XLOOKUP(I293,Lists!$C:$C,Lists!$I:$I))</f>
        <v/>
      </c>
    </row>
    <row r="294" spans="8:8" ht="25.55">
      <c r="A294" s="18">
        <v>46195.0</v>
      </c>
      <c r="B294" s="19">
        <v>48.0</v>
      </c>
      <c r="C294">
        <f>_xlfn.XLOOKUP(B294,Lists!B:B,Lists!A:A,"")</f>
        <v>0.0</v>
      </c>
      <c r="D294" s="19" t="s">
        <v>234</v>
      </c>
      <c r="E294" s="19">
        <v>1.0</v>
      </c>
      <c r="F294" s="27">
        <v>160.0</v>
      </c>
      <c r="G294">
        <f>IF(OR(E294="",F294=""),"",F294-E294+1)</f>
        <v>160.0</v>
      </c>
      <c r="H294" s="20">
        <f>IF(D294="","",IF(OR(D294="A",D294="B"),G294/80,IF(D294="A&amp;B",G294/160,"")))</f>
        <v>1.0</v>
      </c>
      <c r="I294" s="19" t="s">
        <v>241</v>
      </c>
      <c r="J294" t="str">
        <f>IF(I294="","",_xlfn.XLOOKUP(I294,Lists!$C:$C,Lists!$D:$D))</f>
        <v/>
      </c>
      <c r="K294" s="19" t="s">
        <v>52</v>
      </c>
      <c r="L294" s="19">
        <v>50.0</v>
      </c>
      <c r="M294" s="19">
        <v>1200.0</v>
      </c>
      <c r="N294">
        <f>IF(OR(M294="",L294=""),"",(M294*L294)/100000)</f>
        <v>0.6</v>
      </c>
      <c r="O294" t="str">
        <f>IF(I294="","",_xlfn.XLOOKUP(I294,Lists!$C:$C,Lists!$J:$J))</f>
        <v/>
      </c>
      <c r="P294" t="str">
        <f>IF(I294="","",_xlfn.XLOOKUP(I294,Lists!$C:$C,Lists!$E:$E))</f>
        <v/>
      </c>
      <c r="Q294" s="21" t="str">
        <f>IF(OR(A294="",P294=""),"",A294+P294+1)</f>
        <v/>
      </c>
      <c r="R294" t="str">
        <f t="shared" si="25"/>
        <v/>
      </c>
      <c r="S294" t="str">
        <f>IF(I294="","",_xlfn.XLOOKUP(I294,Lists!$C:$C,Lists!$I:$I))</f>
        <v/>
      </c>
    </row>
    <row r="295" spans="8:8" ht="25.55">
      <c r="A295" s="18">
        <v>46195.0</v>
      </c>
      <c r="B295" s="19">
        <v>48.0</v>
      </c>
      <c r="C295">
        <f>_xlfn.XLOOKUP(B295,Lists!B:B,Lists!A:A,"")</f>
        <v>0.0</v>
      </c>
      <c r="D295" s="19" t="s">
        <v>234</v>
      </c>
      <c r="E295" s="19">
        <v>1.0</v>
      </c>
      <c r="F295" s="27">
        <v>160.0</v>
      </c>
      <c r="G295">
        <f>IF(OR(E295="",F295=""),"",F295-E295+1)</f>
        <v>160.0</v>
      </c>
      <c r="H295" s="20">
        <f>IF(D295="","",IF(OR(D295="A",D295="B"),G295/80,IF(D295="A&amp;B",G295/160,"")))</f>
        <v>1.0</v>
      </c>
      <c r="I295" s="19" t="s">
        <v>63</v>
      </c>
      <c r="J295" t="str">
        <f>IF(I295="","",_xlfn.XLOOKUP(I295,Lists!$C:$C,Lists!$D:$D))</f>
        <v/>
      </c>
      <c r="K295" s="19" t="s">
        <v>52</v>
      </c>
      <c r="L295" s="19">
        <v>50.0</v>
      </c>
      <c r="M295" s="19">
        <v>1200.0</v>
      </c>
      <c r="N295">
        <f>IF(OR(M295="",L295=""),"",(M295*L295)/100000)</f>
        <v>0.6</v>
      </c>
      <c r="O295" t="str">
        <f>IF(I295="","",_xlfn.XLOOKUP(I295,Lists!$C:$C,Lists!$J:$J))</f>
        <v/>
      </c>
      <c r="P295" t="str">
        <f>IF(I295="","",_xlfn.XLOOKUP(I295,Lists!$C:$C,Lists!$E:$E))</f>
        <v/>
      </c>
      <c r="Q295" s="21" t="str">
        <f>IF(OR(A295="",P295=""),"",A295+P295+1)</f>
        <v/>
      </c>
      <c r="R295" t="str">
        <f t="shared" si="25"/>
        <v/>
      </c>
      <c r="S295" t="str">
        <f>IF(I295="","",_xlfn.XLOOKUP(I295,Lists!$C:$C,Lists!$I:$I))</f>
        <v/>
      </c>
    </row>
    <row r="296" spans="8:8" ht="25.55">
      <c r="A296" s="18">
        <v>46195.0</v>
      </c>
      <c r="B296" s="19">
        <v>58.0</v>
      </c>
      <c r="C296">
        <f>_xlfn.XLOOKUP(B296,Lists!B:B,Lists!A:A,"")</f>
        <v>0.0</v>
      </c>
      <c r="D296" s="19" t="s">
        <v>234</v>
      </c>
      <c r="E296" s="19">
        <v>1.0</v>
      </c>
      <c r="F296" s="27">
        <v>160.0</v>
      </c>
      <c r="G296">
        <f>IF(OR(E296="",F296=""),"",F296-E296+1)</f>
        <v>160.0</v>
      </c>
      <c r="H296" s="20">
        <f>IF(D296="","",IF(OR(D296="A",D296="B"),G296/80,IF(D296="A&amp;B",G296/160,"")))</f>
        <v>1.0</v>
      </c>
      <c r="I296" s="19" t="s">
        <v>241</v>
      </c>
      <c r="J296" t="str">
        <f>IF(I296="","",_xlfn.XLOOKUP(I296,Lists!$C:$C,Lists!$D:$D))</f>
        <v/>
      </c>
      <c r="K296" s="19" t="s">
        <v>52</v>
      </c>
      <c r="L296" s="19">
        <v>50.0</v>
      </c>
      <c r="M296" s="19">
        <v>1200.0</v>
      </c>
      <c r="N296">
        <f>IF(OR(M296="",L296=""),"",(M296*L296)/100000)</f>
        <v>0.6</v>
      </c>
      <c r="O296" t="str">
        <f>IF(I296="","",_xlfn.XLOOKUP(I296,Lists!$C:$C,Lists!$J:$J))</f>
        <v/>
      </c>
      <c r="P296" t="str">
        <f>IF(I296="","",_xlfn.XLOOKUP(I296,Lists!$C:$C,Lists!$E:$E))</f>
        <v/>
      </c>
      <c r="Q296" s="21" t="str">
        <f>IF(OR(A296="",P296=""),"",A296+P296+1)</f>
        <v/>
      </c>
      <c r="R296" t="str">
        <f t="shared" si="25"/>
        <v/>
      </c>
      <c r="S296" t="str">
        <f>IF(I296="","",_xlfn.XLOOKUP(I296,Lists!$C:$C,Lists!$I:$I))</f>
        <v/>
      </c>
    </row>
    <row r="297" spans="8:8" ht="25.55">
      <c r="A297" s="18">
        <v>46195.0</v>
      </c>
      <c r="B297" s="19">
        <v>58.0</v>
      </c>
      <c r="C297">
        <f>_xlfn.XLOOKUP(B297,Lists!B:B,Lists!A:A,"")</f>
        <v>0.0</v>
      </c>
      <c r="D297" s="19" t="s">
        <v>234</v>
      </c>
      <c r="E297" s="19">
        <v>1.0</v>
      </c>
      <c r="F297" s="27">
        <v>160.0</v>
      </c>
      <c r="G297">
        <f>IF(OR(E297="",F297=""),"",F297-E297+1)</f>
        <v>160.0</v>
      </c>
      <c r="H297" s="20">
        <f>IF(D297="","",IF(OR(D297="A",D297="B"),G297/80,IF(D297="A&amp;B",G297/160,"")))</f>
        <v>1.0</v>
      </c>
      <c r="I297" s="19" t="s">
        <v>63</v>
      </c>
      <c r="J297" t="str">
        <f>IF(I297="","",_xlfn.XLOOKUP(I297,Lists!$C:$C,Lists!$D:$D))</f>
        <v/>
      </c>
      <c r="K297" s="19" t="s">
        <v>52</v>
      </c>
      <c r="L297" s="19">
        <v>50.0</v>
      </c>
      <c r="M297" s="19">
        <v>1200.0</v>
      </c>
      <c r="N297">
        <f>IF(OR(M297="",L297=""),"",(M297*L297)/100000)</f>
        <v>0.6</v>
      </c>
      <c r="O297" t="str">
        <f>IF(I297="","",_xlfn.XLOOKUP(I297,Lists!$C:$C,Lists!$J:$J))</f>
        <v/>
      </c>
      <c r="P297" t="str">
        <f>IF(I297="","",_xlfn.XLOOKUP(I297,Lists!$C:$C,Lists!$E:$E))</f>
        <v/>
      </c>
      <c r="Q297" s="21" t="str">
        <f>IF(OR(A297="",P297=""),"",A297+P297+1)</f>
        <v/>
      </c>
      <c r="R297" t="str">
        <f t="shared" si="25"/>
        <v/>
      </c>
      <c r="S297" t="str">
        <f>IF(I297="","",_xlfn.XLOOKUP(I297,Lists!$C:$C,Lists!$I:$I))</f>
        <v/>
      </c>
    </row>
    <row r="298" spans="8:8" ht="20.55">
      <c r="A298" s="18">
        <v>46196.0</v>
      </c>
      <c r="B298" s="19">
        <v>5.0</v>
      </c>
      <c r="C298">
        <f>_xlfn.XLOOKUP(B298,Lists!B:B,Lists!A:A,"")</f>
        <v>0.0</v>
      </c>
      <c r="D298" s="19" t="s">
        <v>234</v>
      </c>
      <c r="E298" s="19">
        <v>1.0</v>
      </c>
      <c r="F298" s="27">
        <v>160.0</v>
      </c>
      <c r="G298">
        <f>IF(OR(E298="",F298=""),"",F298-E298+1)</f>
        <v>160.0</v>
      </c>
      <c r="H298" s="20">
        <f>IF(D298="","",IF(OR(D298="A",D298="B"),G298/80,IF(D298="A&amp;B",G298/160,"")))</f>
        <v>1.0</v>
      </c>
      <c r="I298" s="19" t="s">
        <v>65</v>
      </c>
      <c r="J298" t="str">
        <f>IF(I298="","",_xlfn.XLOOKUP(I298,Lists!$C:$C,Lists!$D:$D))</f>
        <v/>
      </c>
      <c r="K298" s="19" t="s">
        <v>52</v>
      </c>
      <c r="L298" s="19">
        <v>100.0</v>
      </c>
      <c r="M298" s="19">
        <v>900.0</v>
      </c>
      <c r="N298">
        <f>IF(OR(M298="",L298=""),"",(M298*L298)/100000)</f>
        <v>0.9</v>
      </c>
      <c r="O298" t="str">
        <f>IF(I298="","",_xlfn.XLOOKUP(I298,Lists!$C:$C,Lists!$J:$J))</f>
        <v/>
      </c>
      <c r="P298" t="str">
        <f>IF(I298="","",_xlfn.XLOOKUP(I298,Lists!$C:$C,Lists!$E:$E))</f>
        <v/>
      </c>
      <c r="Q298" s="21" t="str">
        <f>IF(OR(A298="",P298=""),"",A298+P298+1)</f>
        <v/>
      </c>
      <c r="R298" t="str">
        <f t="shared" si="25"/>
        <v/>
      </c>
      <c r="S298" t="str">
        <f>IF(I298="","",_xlfn.XLOOKUP(I298,Lists!$C:$C,Lists!$I:$I))</f>
        <v/>
      </c>
    </row>
    <row r="299" spans="8:8" ht="20.55">
      <c r="A299" s="18">
        <v>46196.0</v>
      </c>
      <c r="B299" s="19">
        <v>17.0</v>
      </c>
      <c r="C299">
        <f>_xlfn.XLOOKUP(B299,Lists!B:B,Lists!A:A,"")</f>
        <v>0.0</v>
      </c>
      <c r="D299" s="19" t="s">
        <v>234</v>
      </c>
      <c r="E299" s="19">
        <v>1.0</v>
      </c>
      <c r="F299" s="27">
        <v>160.0</v>
      </c>
      <c r="G299">
        <f>IF(OR(E299="",F299=""),"",F299-E299+1)</f>
        <v>160.0</v>
      </c>
      <c r="H299" s="20">
        <f>IF(D299="","",IF(OR(D299="A",D299="B"),G299/80,IF(D299="A&amp;B",G299/160,"")))</f>
        <v>1.0</v>
      </c>
      <c r="I299" s="19" t="s">
        <v>66</v>
      </c>
      <c r="J299" t="str">
        <f>IF(I299="","",_xlfn.XLOOKUP(I299,Lists!$C:$C,Lists!$D:$D))</f>
        <v/>
      </c>
      <c r="K299" s="19" t="s">
        <v>52</v>
      </c>
      <c r="L299" s="19">
        <v>100.0</v>
      </c>
      <c r="M299" s="19">
        <v>1200.0</v>
      </c>
      <c r="N299">
        <f>IF(OR(M299="",L299=""),"",(M299*L299)/100000)</f>
        <v>1.2</v>
      </c>
      <c r="O299" t="str">
        <f>IF(I299="","",_xlfn.XLOOKUP(I299,Lists!$C:$C,Lists!$J:$J))</f>
        <v/>
      </c>
      <c r="P299" t="str">
        <f>IF(I299="","",_xlfn.XLOOKUP(I299,Lists!$C:$C,Lists!$E:$E))</f>
        <v/>
      </c>
      <c r="Q299" s="21" t="str">
        <f>IF(OR(A299="",P299=""),"",A299+P299+1)</f>
        <v/>
      </c>
      <c r="R299" t="str">
        <f t="shared" si="25"/>
        <v/>
      </c>
      <c r="S299" t="str">
        <f>IF(I299="","",_xlfn.XLOOKUP(I299,Lists!$C:$C,Lists!$I:$I))</f>
        <v/>
      </c>
    </row>
    <row r="300" spans="8:8" ht="20.55">
      <c r="A300" s="18">
        <v>46196.0</v>
      </c>
      <c r="B300" s="19">
        <v>20.0</v>
      </c>
      <c r="C300">
        <f>_xlfn.XLOOKUP(B300,Lists!B:B,Lists!A:A,"")</f>
        <v>0.0</v>
      </c>
      <c r="D300" s="19" t="s">
        <v>234</v>
      </c>
      <c r="E300" s="19">
        <v>1.0</v>
      </c>
      <c r="F300" s="27">
        <v>160.0</v>
      </c>
      <c r="G300">
        <f>IF(OR(E300="",F300=""),"",F300-E300+1)</f>
        <v>160.0</v>
      </c>
      <c r="H300" s="20">
        <f>IF(D300="","",IF(OR(D300="A",D300="B"),G300/80,IF(D300="A&amp;B",G300/160,"")))</f>
        <v>1.0</v>
      </c>
      <c r="I300" s="19" t="s">
        <v>65</v>
      </c>
      <c r="J300" t="str">
        <f>IF(I300="","",_xlfn.XLOOKUP(I300,Lists!$C:$C,Lists!$D:$D))</f>
        <v/>
      </c>
      <c r="K300" s="19" t="s">
        <v>52</v>
      </c>
      <c r="L300" s="19">
        <v>100.0</v>
      </c>
      <c r="M300" s="19">
        <v>900.0</v>
      </c>
      <c r="N300">
        <f>IF(OR(M300="",L300=""),"",(M300*L300)/100000)</f>
        <v>0.9</v>
      </c>
      <c r="O300" t="str">
        <f>IF(I300="","",_xlfn.XLOOKUP(I300,Lists!$C:$C,Lists!$J:$J))</f>
        <v/>
      </c>
      <c r="P300" t="str">
        <f>IF(I300="","",_xlfn.XLOOKUP(I300,Lists!$C:$C,Lists!$E:$E))</f>
        <v/>
      </c>
      <c r="Q300" s="21" t="str">
        <f>IF(OR(A300="",P300=""),"",A300+P300+1)</f>
        <v/>
      </c>
      <c r="R300" t="str">
        <f t="shared" si="25"/>
        <v/>
      </c>
      <c r="S300" t="str">
        <f>IF(I300="","",_xlfn.XLOOKUP(I300,Lists!$C:$C,Lists!$I:$I))</f>
        <v/>
      </c>
    </row>
    <row r="301" spans="8:8" ht="20.55">
      <c r="A301" s="18">
        <v>46196.0</v>
      </c>
      <c r="B301" s="19">
        <v>46.0</v>
      </c>
      <c r="C301">
        <f>_xlfn.XLOOKUP(B301,Lists!B:B,Lists!A:A,"")</f>
        <v>0.0</v>
      </c>
      <c r="D301" s="19" t="s">
        <v>234</v>
      </c>
      <c r="E301" s="19">
        <v>1.0</v>
      </c>
      <c r="F301" s="27">
        <v>160.0</v>
      </c>
      <c r="G301">
        <f>IF(OR(E301="",F301=""),"",F301-E301+1)</f>
        <v>160.0</v>
      </c>
      <c r="H301" s="20">
        <f>IF(D301="","",IF(OR(D301="A",D301="B"),G301/80,IF(D301="A&amp;B",G301/160,"")))</f>
        <v>1.0</v>
      </c>
      <c r="I301" s="19" t="s">
        <v>66</v>
      </c>
      <c r="J301" t="str">
        <f>IF(I301="","",_xlfn.XLOOKUP(I301,Lists!$C:$C,Lists!$D:$D))</f>
        <v/>
      </c>
      <c r="K301" s="19" t="s">
        <v>52</v>
      </c>
      <c r="L301" s="19">
        <v>100.0</v>
      </c>
      <c r="M301" s="19">
        <v>1200.0</v>
      </c>
      <c r="N301">
        <f>IF(OR(M301="",L301=""),"",(M301*L301)/100000)</f>
        <v>1.2</v>
      </c>
      <c r="O301" t="str">
        <f>IF(I301="","",_xlfn.XLOOKUP(I301,Lists!$C:$C,Lists!$J:$J))</f>
        <v/>
      </c>
      <c r="P301" t="str">
        <f>IF(I301="","",_xlfn.XLOOKUP(I301,Lists!$C:$C,Lists!$E:$E))</f>
        <v/>
      </c>
      <c r="Q301" s="21" t="str">
        <f>IF(OR(A301="",P301=""),"",A301+P301+1)</f>
        <v/>
      </c>
      <c r="R301" t="str">
        <f t="shared" si="25"/>
        <v/>
      </c>
      <c r="S301" t="str">
        <f>IF(I301="","",_xlfn.XLOOKUP(I301,Lists!$C:$C,Lists!$I:$I))</f>
        <v/>
      </c>
    </row>
    <row r="302" spans="8:8" ht="20.55">
      <c r="A302" s="18">
        <v>46196.0</v>
      </c>
      <c r="B302" s="19">
        <v>52.0</v>
      </c>
      <c r="C302">
        <f>_xlfn.XLOOKUP(B302,Lists!B:B,Lists!A:A,"")</f>
        <v>0.0</v>
      </c>
      <c r="D302" s="19" t="s">
        <v>234</v>
      </c>
      <c r="E302" s="19">
        <v>1.0</v>
      </c>
      <c r="F302" s="27">
        <v>160.0</v>
      </c>
      <c r="G302">
        <f>IF(OR(E302="",F302=""),"",F302-E302+1)</f>
        <v>160.0</v>
      </c>
      <c r="H302" s="20">
        <f>IF(D302="","",IF(OR(D302="A",D302="B"),G302/80,IF(D302="A&amp;B",G302/160,"")))</f>
        <v>1.0</v>
      </c>
      <c r="I302" s="19" t="s">
        <v>66</v>
      </c>
      <c r="J302" t="str">
        <f>IF(I302="","",_xlfn.XLOOKUP(I302,Lists!$C:$C,Lists!$D:$D))</f>
        <v/>
      </c>
      <c r="K302" s="19" t="s">
        <v>52</v>
      </c>
      <c r="L302" s="19">
        <v>100.0</v>
      </c>
      <c r="M302" s="19">
        <v>1200.0</v>
      </c>
      <c r="N302">
        <f>IF(OR(M302="",L302=""),"",(M302*L302)/100000)</f>
        <v>1.2</v>
      </c>
      <c r="O302" t="str">
        <f>IF(I302="","",_xlfn.XLOOKUP(I302,Lists!$C:$C,Lists!$J:$J))</f>
        <v/>
      </c>
      <c r="P302" t="str">
        <f>IF(I302="","",_xlfn.XLOOKUP(I302,Lists!$C:$C,Lists!$E:$E))</f>
        <v/>
      </c>
      <c r="Q302" s="21" t="str">
        <f>IF(OR(A302="",P302=""),"",A302+P302+1)</f>
        <v/>
      </c>
      <c r="R302" t="str">
        <f t="shared" si="25"/>
        <v/>
      </c>
      <c r="S302" t="str">
        <f>IF(I302="","",_xlfn.XLOOKUP(I302,Lists!$C:$C,Lists!$I:$I))</f>
        <v/>
      </c>
    </row>
    <row r="303" spans="8:8" ht="20.55">
      <c r="A303" s="18">
        <v>46196.0</v>
      </c>
      <c r="B303" s="19">
        <v>26.0</v>
      </c>
      <c r="C303">
        <f>_xlfn.XLOOKUP(B303,Lists!B:B,Lists!A:A,"")</f>
        <v>0.0</v>
      </c>
      <c r="D303" s="19" t="s">
        <v>234</v>
      </c>
      <c r="E303" s="19">
        <v>1.0</v>
      </c>
      <c r="F303" s="27">
        <v>160.0</v>
      </c>
      <c r="G303">
        <f>IF(OR(E303="",F303=""),"",F303-E303+1)</f>
        <v>160.0</v>
      </c>
      <c r="H303" s="20">
        <f>IF(D303="","",IF(OR(D303="A",D303="B"),G303/80,IF(D303="A&amp;B",G303/160,"")))</f>
        <v>1.0</v>
      </c>
      <c r="I303" s="19" t="s">
        <v>241</v>
      </c>
      <c r="J303" t="str">
        <f>IF(I303="","",_xlfn.XLOOKUP(I303,Lists!$C:$C,Lists!$D:$D))</f>
        <v/>
      </c>
      <c r="K303" s="19" t="s">
        <v>52</v>
      </c>
      <c r="L303" s="19">
        <v>50.0</v>
      </c>
      <c r="M303" s="19">
        <v>1200.0</v>
      </c>
      <c r="N303">
        <f>IF(OR(M303="",L303=""),"",(M303*L303)/100000)</f>
        <v>0.6</v>
      </c>
      <c r="O303" t="str">
        <f>IF(I303="","",_xlfn.XLOOKUP(I303,Lists!$C:$C,Lists!$J:$J))</f>
        <v/>
      </c>
      <c r="P303" t="str">
        <f>IF(I303="","",_xlfn.XLOOKUP(I303,Lists!$C:$C,Lists!$E:$E))</f>
        <v/>
      </c>
      <c r="Q303" s="21" t="str">
        <f>IF(OR(A303="",P303=""),"",A303+P303+1)</f>
        <v/>
      </c>
      <c r="R303" t="str">
        <f t="shared" si="25"/>
        <v/>
      </c>
      <c r="S303" t="str">
        <f>IF(I303="","",_xlfn.XLOOKUP(I303,Lists!$C:$C,Lists!$I:$I))</f>
        <v/>
      </c>
    </row>
    <row r="304" spans="8:8" ht="20.55">
      <c r="A304" s="18">
        <v>46196.0</v>
      </c>
      <c r="B304" s="19">
        <v>26.0</v>
      </c>
      <c r="C304">
        <f>_xlfn.XLOOKUP(B304,Lists!B:B,Lists!A:A,"")</f>
        <v>0.0</v>
      </c>
      <c r="D304" s="19" t="s">
        <v>234</v>
      </c>
      <c r="E304" s="19">
        <v>1.0</v>
      </c>
      <c r="F304" s="27">
        <v>160.0</v>
      </c>
      <c r="G304">
        <f>IF(OR(E304="",F304=""),"",F304-E304+1)</f>
        <v>160.0</v>
      </c>
      <c r="H304" s="20">
        <f>IF(D304="","",IF(OR(D304="A",D304="B"),G304/80,IF(D304="A&amp;B",G304/160,"")))</f>
        <v>1.0</v>
      </c>
      <c r="I304" s="19" t="s">
        <v>63</v>
      </c>
      <c r="J304" t="str">
        <f>IF(I304="","",_xlfn.XLOOKUP(I304,Lists!$C:$C,Lists!$D:$D))</f>
        <v/>
      </c>
      <c r="K304" s="19" t="s">
        <v>52</v>
      </c>
      <c r="L304" s="19">
        <v>50.0</v>
      </c>
      <c r="M304" s="19">
        <v>1200.0</v>
      </c>
      <c r="N304">
        <f>IF(OR(M304="",L304=""),"",(M304*L304)/100000)</f>
        <v>0.6</v>
      </c>
      <c r="O304" t="str">
        <f>IF(I304="","",_xlfn.XLOOKUP(I304,Lists!$C:$C,Lists!$J:$J))</f>
        <v/>
      </c>
      <c r="P304" t="str">
        <f>IF(I304="","",_xlfn.XLOOKUP(I304,Lists!$C:$C,Lists!$E:$E))</f>
        <v/>
      </c>
      <c r="Q304" s="21" t="str">
        <f>IF(OR(A304="",P304=""),"",A304+P304+1)</f>
        <v/>
      </c>
      <c r="R304" t="str">
        <f t="shared" si="25"/>
        <v/>
      </c>
      <c r="S304" t="str">
        <f>IF(I304="","",_xlfn.XLOOKUP(I304,Lists!$C:$C,Lists!$I:$I))</f>
        <v/>
      </c>
    </row>
    <row r="305" spans="8:8" ht="26.2">
      <c r="A305" s="18">
        <v>46197.0</v>
      </c>
      <c r="B305" s="19">
        <v>4.0</v>
      </c>
      <c r="C305">
        <f>_xlfn.XLOOKUP(B305,Lists!B:B,Lists!A:A,"")</f>
        <v>0.0</v>
      </c>
      <c r="D305" s="19" t="s">
        <v>234</v>
      </c>
      <c r="E305" s="19">
        <v>1.0</v>
      </c>
      <c r="F305" s="27">
        <v>160.0</v>
      </c>
      <c r="G305">
        <f>IF(OR(E305="",F305=""),"",F305-E305+1)</f>
        <v>160.0</v>
      </c>
      <c r="H305" s="20">
        <f>IF(D305="","",IF(OR(D305="A",D305="B"),G305/80,IF(D305="A&amp;B",G305/160,"")))</f>
        <v>1.0</v>
      </c>
      <c r="I305" s="19" t="s">
        <v>65</v>
      </c>
      <c r="J305" t="str">
        <f>IF(I305="","",_xlfn.XLOOKUP(I305,Lists!$C:$C,Lists!$D:$D))</f>
        <v/>
      </c>
      <c r="K305" s="19" t="s">
        <v>52</v>
      </c>
      <c r="L305" s="19">
        <v>100.0</v>
      </c>
      <c r="M305" s="19">
        <v>1200.0</v>
      </c>
      <c r="N305">
        <f>IF(OR(M305="",L305=""),"",(M305*L305)/100000)</f>
        <v>1.2</v>
      </c>
      <c r="O305" t="str">
        <f>IF(I305="","",_xlfn.XLOOKUP(I305,Lists!$C:$C,Lists!$J:$J))</f>
        <v/>
      </c>
      <c r="P305" t="str">
        <f>IF(I305="","",_xlfn.XLOOKUP(I305,Lists!$C:$C,Lists!$E:$E))</f>
        <v/>
      </c>
      <c r="Q305" s="21" t="str">
        <f>IF(OR(A305="",P305=""),"",A305+P305+1)</f>
        <v/>
      </c>
      <c r="R305" t="str">
        <f t="shared" si="25"/>
        <v/>
      </c>
      <c r="S305" t="str">
        <f>IF(I305="","",_xlfn.XLOOKUP(I305,Lists!$C:$C,Lists!$I:$I))</f>
        <v/>
      </c>
    </row>
    <row r="306" spans="8:8" ht="26.2">
      <c r="A306" s="18">
        <v>46197.0</v>
      </c>
      <c r="B306" s="19">
        <v>19.0</v>
      </c>
      <c r="C306">
        <f>_xlfn.XLOOKUP(B306,Lists!B:B,Lists!A:A,"")</f>
        <v>0.0</v>
      </c>
      <c r="D306" s="19" t="s">
        <v>234</v>
      </c>
      <c r="E306" s="19">
        <v>1.0</v>
      </c>
      <c r="F306" s="27">
        <v>160.0</v>
      </c>
      <c r="G306">
        <f>IF(OR(E306="",F306=""),"",F306-E306+1)</f>
        <v>160.0</v>
      </c>
      <c r="H306" s="20">
        <f>IF(D306="","",IF(OR(D306="A",D306="B"),G306/80,IF(D306="A&amp;B",G306/160,"")))</f>
        <v>1.0</v>
      </c>
      <c r="I306" s="19" t="s">
        <v>65</v>
      </c>
      <c r="J306" t="str">
        <f>IF(I306="","",_xlfn.XLOOKUP(I306,Lists!$C:$C,Lists!$D:$D))</f>
        <v/>
      </c>
      <c r="K306" s="19" t="s">
        <v>52</v>
      </c>
      <c r="L306" s="19">
        <v>100.0</v>
      </c>
      <c r="M306" s="19">
        <v>1200.0</v>
      </c>
      <c r="N306">
        <f>IF(OR(M306="",L306=""),"",(M306*L306)/100000)</f>
        <v>1.2</v>
      </c>
      <c r="O306" t="str">
        <f>IF(I306="","",_xlfn.XLOOKUP(I306,Lists!$C:$C,Lists!$J:$J))</f>
        <v/>
      </c>
      <c r="P306" t="str">
        <f>IF(I306="","",_xlfn.XLOOKUP(I306,Lists!$C:$C,Lists!$E:$E))</f>
        <v/>
      </c>
      <c r="Q306" s="21" t="str">
        <f>IF(OR(A306="",P306=""),"",A306+P306+1)</f>
        <v/>
      </c>
      <c r="R306" t="str">
        <f t="shared" si="25"/>
        <v/>
      </c>
      <c r="S306" t="str">
        <f>IF(I306="","",_xlfn.XLOOKUP(I306,Lists!$C:$C,Lists!$I:$I))</f>
        <v/>
      </c>
    </row>
    <row r="307" spans="8:8" ht="26.2">
      <c r="A307" s="18">
        <v>46197.0</v>
      </c>
      <c r="B307" s="19">
        <v>39.0</v>
      </c>
      <c r="C307">
        <f>_xlfn.XLOOKUP(B307,Lists!B:B,Lists!A:A,"")</f>
        <v>0.0</v>
      </c>
      <c r="D307" s="19" t="s">
        <v>234</v>
      </c>
      <c r="E307" s="19">
        <v>1.0</v>
      </c>
      <c r="F307" s="27">
        <v>160.0</v>
      </c>
      <c r="G307">
        <f>IF(OR(E307="",F307=""),"",F307-E307+1)</f>
        <v>160.0</v>
      </c>
      <c r="H307" s="20">
        <f>IF(D307="","",IF(OR(D307="A",D307="B"),G307/80,IF(D307="A&amp;B",G307/160,"")))</f>
        <v>1.0</v>
      </c>
      <c r="I307" s="19" t="s">
        <v>66</v>
      </c>
      <c r="J307" t="str">
        <f>IF(I307="","",_xlfn.XLOOKUP(I307,Lists!$C:$C,Lists!$D:$D))</f>
        <v/>
      </c>
      <c r="K307" s="19" t="s">
        <v>52</v>
      </c>
      <c r="L307" s="19">
        <v>100.0</v>
      </c>
      <c r="M307" s="19">
        <v>1200.0</v>
      </c>
      <c r="N307">
        <f>IF(OR(M307="",L307=""),"",(M307*L307)/100000)</f>
        <v>1.2</v>
      </c>
      <c r="O307" t="str">
        <f>IF(I307="","",_xlfn.XLOOKUP(I307,Lists!$C:$C,Lists!$J:$J))</f>
        <v/>
      </c>
      <c r="P307" t="str">
        <f>IF(I307="","",_xlfn.XLOOKUP(I307,Lists!$C:$C,Lists!$E:$E))</f>
        <v/>
      </c>
      <c r="Q307" s="21" t="str">
        <f>IF(OR(A307="",P307=""),"",A307+P307+1)</f>
        <v/>
      </c>
      <c r="R307" t="str">
        <f t="shared" si="25"/>
        <v/>
      </c>
      <c r="S307" t="str">
        <f>IF(I307="","",_xlfn.XLOOKUP(I307,Lists!$C:$C,Lists!$I:$I))</f>
        <v/>
      </c>
    </row>
    <row r="308" spans="8:8" ht="26.2">
      <c r="A308" s="18">
        <v>46197.0</v>
      </c>
      <c r="B308" s="19">
        <v>42.0</v>
      </c>
      <c r="C308">
        <f>_xlfn.XLOOKUP(B308,Lists!B:B,Lists!A:A,"")</f>
        <v>0.0</v>
      </c>
      <c r="D308" s="19" t="s">
        <v>234</v>
      </c>
      <c r="E308" s="19">
        <v>1.0</v>
      </c>
      <c r="F308" s="27">
        <v>160.0</v>
      </c>
      <c r="G308">
        <f>IF(OR(E308="",F308=""),"",F308-E308+1)</f>
        <v>160.0</v>
      </c>
      <c r="H308" s="20">
        <f>IF(D308="","",IF(OR(D308="A",D308="B"),G308/80,IF(D308="A&amp;B",G308/160,"")))</f>
        <v>1.0</v>
      </c>
      <c r="I308" s="28" t="s">
        <v>244</v>
      </c>
      <c r="J308" t="str">
        <f>IF(I308="","",_xlfn.XLOOKUP(I308,Lists!$C:$C,Lists!$D:$D))</f>
        <v/>
      </c>
      <c r="K308" s="19" t="s">
        <v>52</v>
      </c>
      <c r="L308" s="19">
        <v>100.0</v>
      </c>
      <c r="M308" s="19">
        <v>1200.0</v>
      </c>
      <c r="N308">
        <f>IF(OR(M308="",L308=""),"",(M308*L308)/100000)</f>
        <v>1.2</v>
      </c>
      <c r="O308" t="str">
        <f>IF(I308="","",_xlfn.XLOOKUP(I308,Lists!$C:$C,Lists!$J:$J))</f>
        <v/>
      </c>
      <c r="P308" t="str">
        <f>IF(I308="","",_xlfn.XLOOKUP(I308,Lists!$C:$C,Lists!$E:$E))</f>
        <v/>
      </c>
      <c r="Q308" s="21" t="str">
        <f>IF(OR(A308="",P308=""),"",A308+P308+1)</f>
        <v/>
      </c>
      <c r="R308" t="str">
        <f t="shared" si="25"/>
        <v/>
      </c>
      <c r="S308" t="str">
        <f>IF(I308="","",_xlfn.XLOOKUP(I308,Lists!$C:$C,Lists!$I:$I))</f>
        <v/>
      </c>
    </row>
    <row r="309" spans="8:8" ht="26.2">
      <c r="A309" s="18">
        <v>46197.0</v>
      </c>
      <c r="B309" s="19">
        <v>51.0</v>
      </c>
      <c r="C309">
        <f>_xlfn.XLOOKUP(B309,Lists!B:B,Lists!A:A,"")</f>
        <v>0.0</v>
      </c>
      <c r="D309" s="19" t="s">
        <v>234</v>
      </c>
      <c r="E309" s="19">
        <v>1.0</v>
      </c>
      <c r="F309" s="27">
        <v>160.0</v>
      </c>
      <c r="G309">
        <f>IF(OR(E309="",F309=""),"",F309-E309+1)</f>
        <v>160.0</v>
      </c>
      <c r="H309" s="20">
        <f>IF(D309="","",IF(OR(D309="A",D309="B"),G309/80,IF(D309="A&amp;B",G309/160,"")))</f>
        <v>1.0</v>
      </c>
      <c r="I309" s="19" t="s">
        <v>66</v>
      </c>
      <c r="J309" t="str">
        <f>IF(I309="","",_xlfn.XLOOKUP(I309,Lists!$C:$C,Lists!$D:$D))</f>
        <v/>
      </c>
      <c r="K309" s="19" t="s">
        <v>52</v>
      </c>
      <c r="L309" s="19">
        <v>100.0</v>
      </c>
      <c r="M309" s="19">
        <v>1200.0</v>
      </c>
      <c r="N309">
        <f>IF(OR(M309="",L309=""),"",(M309*L309)/100000)</f>
        <v>1.2</v>
      </c>
      <c r="O309" t="str">
        <f>IF(I309="","",_xlfn.XLOOKUP(I309,Lists!$C:$C,Lists!$J:$J))</f>
        <v/>
      </c>
      <c r="P309" t="str">
        <f>IF(I309="","",_xlfn.XLOOKUP(I309,Lists!$C:$C,Lists!$E:$E))</f>
        <v/>
      </c>
      <c r="Q309" s="21" t="str">
        <f>IF(OR(A309="",P309=""),"",A309+P309+1)</f>
        <v/>
      </c>
      <c r="R309" t="str">
        <f t="shared" si="25"/>
        <v/>
      </c>
      <c r="S309" t="str">
        <f>IF(I309="","",_xlfn.XLOOKUP(I309,Lists!$C:$C,Lists!$I:$I))</f>
        <v/>
      </c>
    </row>
    <row r="310" spans="8:8" ht="26.2">
      <c r="A310" s="18">
        <v>46197.0</v>
      </c>
      <c r="B310" s="19">
        <v>61.0</v>
      </c>
      <c r="C310">
        <f>_xlfn.XLOOKUP(B310,Lists!B:B,Lists!A:A,"")</f>
        <v>0.0</v>
      </c>
      <c r="D310" s="19" t="s">
        <v>234</v>
      </c>
      <c r="E310" s="19">
        <v>1.0</v>
      </c>
      <c r="F310" s="27">
        <v>160.0</v>
      </c>
      <c r="G310">
        <f>IF(OR(E310="",F310=""),"",F310-E310+1)</f>
        <v>160.0</v>
      </c>
      <c r="H310" s="20">
        <f>IF(D310="","",IF(OR(D310="A",D310="B"),G310/80,IF(D310="A&amp;B",G310/160,"")))</f>
        <v>1.0</v>
      </c>
      <c r="I310" s="19" t="s">
        <v>66</v>
      </c>
      <c r="J310" t="str">
        <f>IF(I310="","",_xlfn.XLOOKUP(I310,Lists!$C:$C,Lists!$D:$D))</f>
        <v/>
      </c>
      <c r="K310" s="19" t="s">
        <v>52</v>
      </c>
      <c r="L310" s="19">
        <v>100.0</v>
      </c>
      <c r="M310" s="19">
        <v>1200.0</v>
      </c>
      <c r="N310">
        <f>IF(OR(M310="",L310=""),"",(M310*L310)/100000)</f>
        <v>1.2</v>
      </c>
      <c r="O310" t="str">
        <f>IF(I310="","",_xlfn.XLOOKUP(I310,Lists!$C:$C,Lists!$J:$J))</f>
        <v/>
      </c>
      <c r="P310" t="str">
        <f>IF(I310="","",_xlfn.XLOOKUP(I310,Lists!$C:$C,Lists!$E:$E))</f>
        <v/>
      </c>
      <c r="Q310" s="21" t="str">
        <f>IF(OR(A310="",P310=""),"",A310+P310+1)</f>
        <v/>
      </c>
      <c r="R310" t="str">
        <f t="shared" si="25"/>
        <v/>
      </c>
      <c r="S310" t="str">
        <f>IF(I310="","",_xlfn.XLOOKUP(I310,Lists!$C:$C,Lists!$I:$I))</f>
        <v/>
      </c>
    </row>
    <row r="311" spans="8:8" ht="26.2">
      <c r="C311">
        <f>_xlfn.XLOOKUP(B311,Lists!B:B,Lists!A:A,"")</f>
        <v>0.0</v>
      </c>
      <c r="G311" t="str">
        <f>IF(OR(E311="",F311=""),"",F311-E311+1)</f>
        <v/>
      </c>
      <c r="H311" s="20" t="str">
        <f>IF(D311="","",IF(OR(D311="A",D311="B"),G311/80,IF(D311="A&amp;B",G311/160,"")))</f>
        <v/>
      </c>
      <c r="J311" t="str">
        <f>IF(I311="","",_xlfn.XLOOKUP(I311,Lists!$C:$C,Lists!$D:$D))</f>
        <v/>
      </c>
      <c r="L311" s="19"/>
      <c r="N311" t="str">
        <f>IF(OR(M311="",L311=""),"",(M311*L311)/100000)</f>
        <v/>
      </c>
      <c r="O311" t="str">
        <f>IF(I311="","",_xlfn.XLOOKUP(I311,Lists!$C:$C,Lists!$J:$J))</f>
        <v/>
      </c>
      <c r="P311" t="str">
        <f>IF(I311="","",_xlfn.XLOOKUP(I311,Lists!$C:$C,Lists!$E:$E))</f>
        <v/>
      </c>
      <c r="Q311" s="21" t="str">
        <f>IF(OR(A311="",P311=""),"",A311+P311+1)</f>
        <v/>
      </c>
      <c r="R311" t="str">
        <f t="shared" si="25"/>
        <v/>
      </c>
      <c r="S311" t="str">
        <f>IF(I311="","",_xlfn.XLOOKUP(I311,Lists!$C:$C,Lists!$I:$I))</f>
        <v/>
      </c>
    </row>
    <row r="312" spans="8:8">
      <c r="C312">
        <f>_xlfn.XLOOKUP(B312,Lists!B:B,Lists!A:A,"")</f>
        <v>0.0</v>
      </c>
      <c r="G312" t="str">
        <f>IF(OR(E312="",F312=""),"",F312-E312+1)</f>
        <v/>
      </c>
      <c r="H312" s="20" t="str">
        <f>IF(D312="","",IF(OR(D312="A",D312="B"),G312/80,IF(D312="A&amp;B",G312/160,"")))</f>
        <v/>
      </c>
      <c r="J312" t="str">
        <f>IF(I312="","",_xlfn.XLOOKUP(I312,Lists!$C:$C,Lists!$D:$D))</f>
        <v/>
      </c>
      <c r="N312" t="str">
        <f>IF(OR(M312="",L312=""),"",(M312*L312)/100000)</f>
        <v/>
      </c>
      <c r="O312" t="str">
        <f>IF(I312="","",_xlfn.XLOOKUP(I312,Lists!$C:$C,Lists!$J:$J))</f>
        <v/>
      </c>
      <c r="P312" t="str">
        <f>IF(I312="","",_xlfn.XLOOKUP(I312,Lists!$C:$C,Lists!$E:$E))</f>
        <v/>
      </c>
      <c r="Q312" s="21" t="str">
        <f>IF(OR(A312="",P312=""),"",A312+P312+1)</f>
        <v/>
      </c>
      <c r="R312" t="str">
        <f t="shared" si="25"/>
        <v/>
      </c>
      <c r="S312" t="str">
        <f>IF(I312="","",_xlfn.XLOOKUP(I312,Lists!$C:$C,Lists!$I:$I))</f>
        <v/>
      </c>
    </row>
    <row r="313" spans="8:8">
      <c r="C313">
        <f>_xlfn.XLOOKUP(B313,Lists!B:B,Lists!A:A,"")</f>
        <v>0.0</v>
      </c>
      <c r="G313" t="str">
        <f>IF(OR(E313="",F313=""),"",F313-E313+1)</f>
        <v/>
      </c>
      <c r="H313" s="20" t="str">
        <f>IF(D313="","",IF(OR(D313="A",D313="B"),G313/80,IF(D313="A&amp;B",G313/160,"")))</f>
        <v/>
      </c>
      <c r="J313" t="str">
        <f>IF(I313="","",_xlfn.XLOOKUP(I313,Lists!$C:$C,Lists!$D:$D))</f>
        <v/>
      </c>
      <c r="N313" t="str">
        <f>IF(OR(M313="",L313=""),"",(M313*L313)/100000)</f>
        <v/>
      </c>
      <c r="O313" t="str">
        <f>IF(I313="","",_xlfn.XLOOKUP(I313,Lists!$C:$C,Lists!$J:$J))</f>
        <v/>
      </c>
      <c r="P313" t="str">
        <f>IF(I313="","",_xlfn.XLOOKUP(I313,Lists!$C:$C,Lists!$E:$E))</f>
        <v/>
      </c>
      <c r="Q313" s="21" t="str">
        <f>IF(OR(A313="",P313=""),"",A313+P313+1)</f>
        <v/>
      </c>
      <c r="R313" t="str">
        <f t="shared" si="25"/>
        <v/>
      </c>
      <c r="S313" t="str">
        <f>IF(I313="","",_xlfn.XLOOKUP(I313,Lists!$C:$C,Lists!$I:$I))</f>
        <v/>
      </c>
    </row>
    <row r="314" spans="8:8">
      <c r="C314">
        <f>_xlfn.XLOOKUP(B314,Lists!B:B,Lists!A:A,"")</f>
        <v>0.0</v>
      </c>
      <c r="G314" t="str">
        <f>IF(OR(E314="",F314=""),"",F314-E314+1)</f>
        <v/>
      </c>
      <c r="H314" s="20" t="str">
        <f>IF(D314="","",IF(OR(D314="A",D314="B"),G314/80,IF(D314="A&amp;B",G314/160,"")))</f>
        <v/>
      </c>
      <c r="J314" t="str">
        <f>IF(I314="","",_xlfn.XLOOKUP(I314,Lists!$C:$C,Lists!$D:$D))</f>
        <v/>
      </c>
      <c r="N314" t="str">
        <f>IF(OR(M314="",L314=""),"",(M314*L314)/100000)</f>
        <v/>
      </c>
      <c r="O314" t="str">
        <f>IF(I314="","",_xlfn.XLOOKUP(I314,Lists!$C:$C,Lists!$J:$J))</f>
        <v/>
      </c>
      <c r="P314" t="str">
        <f>IF(I314="","",_xlfn.XLOOKUP(I314,Lists!$C:$C,Lists!$E:$E))</f>
        <v/>
      </c>
      <c r="Q314" s="21" t="str">
        <f>IF(OR(A314="",P314=""),"",A314+P314+1)</f>
        <v/>
      </c>
      <c r="R314" t="str">
        <f t="shared" si="25"/>
        <v/>
      </c>
      <c r="S314" t="str">
        <f>IF(I314="","",_xlfn.XLOOKUP(I314,Lists!$C:$C,Lists!$I:$I))</f>
        <v/>
      </c>
    </row>
    <row r="315" spans="8:8">
      <c r="C315">
        <f>_xlfn.XLOOKUP(B315,Lists!B:B,Lists!A:A,"")</f>
        <v>0.0</v>
      </c>
      <c r="G315" t="str">
        <f>IF(OR(E315="",F315=""),"",F315-E315+1)</f>
        <v/>
      </c>
      <c r="H315" s="20" t="str">
        <f>IF(D315="","",IF(OR(D315="A",D315="B"),G315/80,IF(D315="A&amp;B",G315/160,"")))</f>
        <v/>
      </c>
      <c r="J315" t="str">
        <f>IF(I315="","",_xlfn.XLOOKUP(I315,Lists!$C:$C,Lists!$D:$D))</f>
        <v/>
      </c>
      <c r="N315" t="str">
        <f>IF(OR(M315="",L315=""),"",(M315*L315)/100000)</f>
        <v/>
      </c>
      <c r="O315" t="str">
        <f>IF(I315="","",_xlfn.XLOOKUP(I315,Lists!$C:$C,Lists!$J:$J))</f>
        <v/>
      </c>
      <c r="P315" t="str">
        <f>IF(I315="","",_xlfn.XLOOKUP(I315,Lists!$C:$C,Lists!$E:$E))</f>
        <v/>
      </c>
      <c r="Q315" s="21" t="str">
        <f>IF(OR(A315="",P315=""),"",A315+P315+1)</f>
        <v/>
      </c>
      <c r="R315" t="str">
        <f t="shared" si="25"/>
        <v/>
      </c>
      <c r="S315" t="str">
        <f>IF(I315="","",_xlfn.XLOOKUP(I315,Lists!$C:$C,Lists!$I:$I))</f>
        <v/>
      </c>
    </row>
    <row r="316" spans="8:8">
      <c r="C316">
        <f>_xlfn.XLOOKUP(B316,Lists!B:B,Lists!A:A,"")</f>
        <v>0.0</v>
      </c>
      <c r="G316" t="str">
        <f>IF(OR(E316="",F316=""),"",F316-E316+1)</f>
        <v/>
      </c>
      <c r="H316" s="20" t="str">
        <f>IF(D316="","",IF(OR(D316="A",D316="B"),G316/80,IF(D316="A&amp;B",G316/160,"")))</f>
        <v/>
      </c>
      <c r="J316" t="str">
        <f>IF(I316="","",_xlfn.XLOOKUP(I316,Lists!$C:$C,Lists!$D:$D))</f>
        <v/>
      </c>
      <c r="N316" t="str">
        <f>IF(OR(M316="",L316=""),"",(M316*L316)/100000)</f>
        <v/>
      </c>
      <c r="O316" t="str">
        <f>IF(I316="","",_xlfn.XLOOKUP(I316,Lists!$C:$C,Lists!$J:$J))</f>
        <v/>
      </c>
      <c r="P316" t="str">
        <f>IF(I316="","",_xlfn.XLOOKUP(I316,Lists!$C:$C,Lists!$E:$E))</f>
        <v/>
      </c>
      <c r="Q316" s="21" t="str">
        <f>IF(OR(A316="",P316=""),"",A316+P316+1)</f>
        <v/>
      </c>
      <c r="R316" t="str">
        <f t="shared" si="25"/>
        <v/>
      </c>
      <c r="S316" t="str">
        <f>IF(I316="","",_xlfn.XLOOKUP(I316,Lists!$C:$C,Lists!$I:$I))</f>
        <v/>
      </c>
    </row>
    <row r="317" spans="8:8">
      <c r="C317">
        <f>_xlfn.XLOOKUP(B317,Lists!B:B,Lists!A:A,"")</f>
        <v>0.0</v>
      </c>
      <c r="G317" t="str">
        <f>IF(OR(E317="",F317=""),"",F317-E317+1)</f>
        <v/>
      </c>
      <c r="H317" s="20" t="str">
        <f>IF(D317="","",IF(OR(D317="A",D317="B"),G317/80,IF(D317="A&amp;B",G317/160,"")))</f>
        <v/>
      </c>
      <c r="J317" t="str">
        <f>IF(I317="","",_xlfn.XLOOKUP(I317,Lists!$C:$C,Lists!$D:$D))</f>
        <v/>
      </c>
      <c r="N317" t="str">
        <f>IF(OR(M317="",L317=""),"",(M317*L317)/100000)</f>
        <v/>
      </c>
      <c r="O317" t="str">
        <f>IF(I317="","",_xlfn.XLOOKUP(I317,Lists!$C:$C,Lists!$J:$J))</f>
        <v/>
      </c>
      <c r="P317" t="str">
        <f>IF(I317="","",_xlfn.XLOOKUP(I317,Lists!$C:$C,Lists!$E:$E))</f>
        <v/>
      </c>
      <c r="Q317" s="21" t="str">
        <f>IF(OR(A317="",P317=""),"",A317+P317+1)</f>
        <v/>
      </c>
      <c r="R317" t="str">
        <f t="shared" si="25"/>
        <v/>
      </c>
      <c r="S317" t="str">
        <f>IF(I317="","",_xlfn.XLOOKUP(I317,Lists!$C:$C,Lists!$I:$I))</f>
        <v/>
      </c>
    </row>
    <row r="318" spans="8:8">
      <c r="C318">
        <f>_xlfn.XLOOKUP(B318,Lists!B:B,Lists!A:A,"")</f>
        <v>0.0</v>
      </c>
      <c r="G318" t="str">
        <f>IF(OR(E318="",F318=""),"",F318-E318+1)</f>
        <v/>
      </c>
      <c r="H318" s="20" t="str">
        <f>IF(D318="","",IF(OR(D318="A",D318="B"),G318/80,IF(D318="A&amp;B",G318/160,"")))</f>
        <v/>
      </c>
      <c r="J318" t="str">
        <f>IF(I318="","",_xlfn.XLOOKUP(I318,Lists!$C:$C,Lists!$D:$D))</f>
        <v/>
      </c>
      <c r="N318" t="str">
        <f>IF(OR(M318="",L318=""),"",(M318*L318)/100000)</f>
        <v/>
      </c>
      <c r="O318" t="str">
        <f>IF(I318="","",_xlfn.XLOOKUP(I318,Lists!$C:$C,Lists!$J:$J))</f>
        <v/>
      </c>
      <c r="P318" t="str">
        <f>IF(I318="","",_xlfn.XLOOKUP(I318,Lists!$C:$C,Lists!$E:$E))</f>
        <v/>
      </c>
      <c r="Q318" s="21" t="str">
        <f>IF(OR(A318="",P318=""),"",A318+P318+1)</f>
        <v/>
      </c>
      <c r="R318" t="str">
        <f t="shared" si="25"/>
        <v/>
      </c>
      <c r="S318" t="str">
        <f>IF(I318="","",_xlfn.XLOOKUP(I318,Lists!$C:$C,Lists!$I:$I))</f>
        <v/>
      </c>
    </row>
    <row r="319" spans="8:8">
      <c r="C319">
        <f>_xlfn.XLOOKUP(B319,Lists!B:B,Lists!A:A,"")</f>
        <v>0.0</v>
      </c>
      <c r="G319" t="str">
        <f>IF(OR(E319="",F319=""),"",F319-E319+1)</f>
        <v/>
      </c>
      <c r="H319" s="20" t="str">
        <f>IF(D319="","",IF(OR(D319="A",D319="B"),G319/80,IF(D319="A&amp;B",G319/160,"")))</f>
        <v/>
      </c>
      <c r="J319" t="str">
        <f>IF(I319="","",_xlfn.XLOOKUP(I319,Lists!$C:$C,Lists!$D:$D))</f>
        <v/>
      </c>
      <c r="N319" t="str">
        <f>IF(OR(M319="",L319=""),"",(M319*L319)/100000)</f>
        <v/>
      </c>
      <c r="O319" t="str">
        <f>IF(I319="","",_xlfn.XLOOKUP(I319,Lists!$C:$C,Lists!$J:$J))</f>
        <v/>
      </c>
      <c r="P319" t="str">
        <f>IF(I319="","",_xlfn.XLOOKUP(I319,Lists!$C:$C,Lists!$E:$E))</f>
        <v/>
      </c>
      <c r="Q319" s="21" t="str">
        <f>IF(OR(A319="",P319=""),"",A319+P319+1)</f>
        <v/>
      </c>
      <c r="R319" t="str">
        <f t="shared" si="25"/>
        <v/>
      </c>
      <c r="S319" t="str">
        <f>IF(I319="","",_xlfn.XLOOKUP(I319,Lists!$C:$C,Lists!$I:$I))</f>
        <v/>
      </c>
    </row>
    <row r="320" spans="8:8">
      <c r="C320">
        <f>_xlfn.XLOOKUP(B320,Lists!B:B,Lists!A:A,"")</f>
        <v>0.0</v>
      </c>
      <c r="G320" t="str">
        <f>IF(OR(E320="",F320=""),"",F320-E320+1)</f>
        <v/>
      </c>
      <c r="H320" s="20" t="str">
        <f>IF(D320="","",IF(OR(D320="A",D320="B"),G320/80,IF(D320="A&amp;B",G320/160,"")))</f>
        <v/>
      </c>
      <c r="J320" t="str">
        <f>IF(I320="","",_xlfn.XLOOKUP(I320,Lists!$C:$C,Lists!$D:$D))</f>
        <v/>
      </c>
      <c r="N320" t="str">
        <f>IF(OR(M320="",L320=""),"",(M320*L320)/100000)</f>
        <v/>
      </c>
      <c r="O320" t="str">
        <f>IF(I320="","",_xlfn.XLOOKUP(I320,Lists!$C:$C,Lists!$J:$J))</f>
        <v/>
      </c>
      <c r="P320" t="str">
        <f>IF(I320="","",_xlfn.XLOOKUP(I320,Lists!$C:$C,Lists!$E:$E))</f>
        <v/>
      </c>
      <c r="Q320" s="21" t="str">
        <f>IF(OR(A320="",P320=""),"",A320+P320+1)</f>
        <v/>
      </c>
      <c r="R320" t="str">
        <f t="shared" si="25"/>
        <v/>
      </c>
      <c r="S320" t="str">
        <f>IF(I320="","",_xlfn.XLOOKUP(I320,Lists!$C:$C,Lists!$I:$I))</f>
        <v/>
      </c>
    </row>
    <row r="321" spans="8:8">
      <c r="C321">
        <f>_xlfn.XLOOKUP(B321,Lists!B:B,Lists!A:A,"")</f>
        <v>0.0</v>
      </c>
      <c r="G321" t="str">
        <f>IF(OR(E321="",F321=""),"",F321-E321+1)</f>
        <v/>
      </c>
      <c r="H321" s="20" t="str">
        <f>IF(D321="","",IF(OR(D321="A",D321="B"),G321/80,IF(D321="A&amp;B",G321/160,"")))</f>
        <v/>
      </c>
      <c r="J321" t="str">
        <f>IF(I321="","",_xlfn.XLOOKUP(I321,Lists!$C:$C,Lists!$D:$D))</f>
        <v/>
      </c>
      <c r="N321" t="str">
        <f>IF(OR(M321="",L321=""),"",(M321*L321)/100000)</f>
        <v/>
      </c>
      <c r="O321" t="str">
        <f>IF(I321="","",_xlfn.XLOOKUP(I321,Lists!$C:$C,Lists!$J:$J))</f>
        <v/>
      </c>
      <c r="P321" t="str">
        <f>IF(I321="","",_xlfn.XLOOKUP(I321,Lists!$C:$C,Lists!$E:$E))</f>
        <v/>
      </c>
      <c r="Q321" s="21" t="str">
        <f>IF(OR(A321="",P321=""),"",A321+P321+1)</f>
        <v/>
      </c>
      <c r="R321" t="str">
        <f t="shared" si="25"/>
        <v/>
      </c>
      <c r="S321" t="str">
        <f>IF(I321="","",_xlfn.XLOOKUP(I321,Lists!$C:$C,Lists!$I:$I))</f>
        <v/>
      </c>
    </row>
    <row r="322" spans="8:8">
      <c r="C322">
        <f>_xlfn.XLOOKUP(B322,Lists!B:B,Lists!A:A,"")</f>
        <v>0.0</v>
      </c>
      <c r="G322" t="str">
        <f>IF(OR(E322="",F322=""),"",F322-E322+1)</f>
        <v/>
      </c>
      <c r="H322" s="20" t="str">
        <f>IF(D322="","",IF(OR(D322="A",D322="B"),G322/80,IF(D322="A&amp;B",G322/160,"")))</f>
        <v/>
      </c>
      <c r="J322" t="str">
        <f>IF(I322="","",_xlfn.XLOOKUP(I322,Lists!$C:$C,Lists!$D:$D))</f>
        <v/>
      </c>
      <c r="N322" t="str">
        <f>IF(OR(M322="",L322=""),"",(M322*L322)/100000)</f>
        <v/>
      </c>
      <c r="O322" t="str">
        <f>IF(I322="","",_xlfn.XLOOKUP(I322,Lists!$C:$C,Lists!$J:$J))</f>
        <v/>
      </c>
      <c r="P322" t="str">
        <f>IF(I322="","",_xlfn.XLOOKUP(I322,Lists!$C:$C,Lists!$E:$E))</f>
        <v/>
      </c>
      <c r="Q322" s="21" t="str">
        <f>IF(OR(A322="",P322=""),"",A322+P322+1)</f>
        <v/>
      </c>
      <c r="R322" t="str">
        <f t="shared" si="25"/>
        <v/>
      </c>
      <c r="S322" t="str">
        <f>IF(I322="","",_xlfn.XLOOKUP(I322,Lists!$C:$C,Lists!$I:$I))</f>
        <v/>
      </c>
    </row>
    <row r="323" spans="8:8">
      <c r="C323">
        <f>_xlfn.XLOOKUP(B323,Lists!B:B,Lists!A:A,"")</f>
        <v>0.0</v>
      </c>
      <c r="G323" t="str">
        <f>IF(OR(E323="",F323=""),"",F323-E323+1)</f>
        <v/>
      </c>
      <c r="H323" s="20" t="str">
        <f>IF(D323="","",IF(OR(D323="A",D323="B"),G323/80,IF(D323="A&amp;B",G323/160,"")))</f>
        <v/>
      </c>
      <c r="J323" t="str">
        <f>IF(I323="","",_xlfn.XLOOKUP(I323,Lists!$C:$C,Lists!$D:$D))</f>
        <v/>
      </c>
      <c r="N323" t="str">
        <f>IF(OR(M323="",L323=""),"",(M323*L323)/100000)</f>
        <v/>
      </c>
      <c r="O323" t="str">
        <f>IF(I323="","",_xlfn.XLOOKUP(I323,Lists!$C:$C,Lists!$J:$J))</f>
        <v/>
      </c>
      <c r="P323" t="str">
        <f>IF(I323="","",_xlfn.XLOOKUP(I323,Lists!$C:$C,Lists!$E:$E))</f>
        <v/>
      </c>
      <c r="Q323" s="21" t="str">
        <f>IF(OR(A323="",P323=""),"",A323+P323+1)</f>
        <v/>
      </c>
      <c r="R323" t="str">
        <f t="shared" si="25"/>
        <v/>
      </c>
      <c r="S323" t="str">
        <f>IF(I323="","",_xlfn.XLOOKUP(I323,Lists!$C:$C,Lists!$I:$I))</f>
        <v/>
      </c>
    </row>
    <row r="324" spans="8:8">
      <c r="C324">
        <f>_xlfn.XLOOKUP(B324,Lists!B:B,Lists!A:A,"")</f>
        <v>0.0</v>
      </c>
      <c r="G324" t="str">
        <f>IF(OR(E324="",F324=""),"",F324-E324+1)</f>
        <v/>
      </c>
      <c r="H324" s="20" t="str">
        <f>IF(D324="","",IF(OR(D324="A",D324="B"),G324/80,IF(D324="A&amp;B",G324/160,"")))</f>
        <v/>
      </c>
      <c r="J324" t="str">
        <f>IF(I324="","",_xlfn.XLOOKUP(I324,Lists!$C:$C,Lists!$D:$D))</f>
        <v/>
      </c>
      <c r="N324" t="str">
        <f>IF(OR(M324="",L324=""),"",(M324*L324)/100000)</f>
        <v/>
      </c>
      <c r="O324" t="str">
        <f>IF(I324="","",_xlfn.XLOOKUP(I324,Lists!$C:$C,Lists!$J:$J))</f>
        <v/>
      </c>
      <c r="P324" t="str">
        <f>IF(I324="","",_xlfn.XLOOKUP(I324,Lists!$C:$C,Lists!$E:$E))</f>
        <v/>
      </c>
      <c r="Q324" s="21" t="str">
        <f>IF(OR(A324="",P324=""),"",A324+P324+1)</f>
        <v/>
      </c>
      <c r="R324" t="str">
        <f t="shared" si="25"/>
        <v/>
      </c>
      <c r="S324" t="str">
        <f>IF(I324="","",_xlfn.XLOOKUP(I324,Lists!$C:$C,Lists!$I:$I))</f>
        <v/>
      </c>
    </row>
    <row r="325" spans="8:8">
      <c r="C325">
        <f>_xlfn.XLOOKUP(B325,Lists!B:B,Lists!A:A,"")</f>
        <v>0.0</v>
      </c>
      <c r="G325" t="str">
        <f>IF(OR(E325="",F325=""),"",F325-E325+1)</f>
        <v/>
      </c>
      <c r="H325" s="20" t="str">
        <f>IF(D325="","",IF(OR(D325="A",D325="B"),G325/80,IF(D325="A&amp;B",G325/160,"")))</f>
        <v/>
      </c>
      <c r="J325" t="str">
        <f>IF(I325="","",_xlfn.XLOOKUP(I325,Lists!$C:$C,Lists!$D:$D))</f>
        <v/>
      </c>
      <c r="N325" t="str">
        <f>IF(OR(M325="",L325=""),"",(M325*L325)/100000)</f>
        <v/>
      </c>
      <c r="O325" t="str">
        <f>IF(I325="","",_xlfn.XLOOKUP(I325,Lists!$C:$C,Lists!$J:$J))</f>
        <v/>
      </c>
      <c r="P325" t="str">
        <f>IF(I325="","",_xlfn.XLOOKUP(I325,Lists!$C:$C,Lists!$E:$E))</f>
        <v/>
      </c>
      <c r="Q325" s="21" t="str">
        <f>IF(OR(A325="",P325=""),"",A325+P325+1)</f>
        <v/>
      </c>
      <c r="R325" t="str">
        <f t="shared" si="25"/>
        <v/>
      </c>
      <c r="S325" t="str">
        <f>IF(I325="","",_xlfn.XLOOKUP(I325,Lists!$C:$C,Lists!$I:$I))</f>
        <v/>
      </c>
    </row>
    <row r="326" spans="8:8">
      <c r="C326">
        <f>_xlfn.XLOOKUP(B326,Lists!B:B,Lists!A:A,"")</f>
        <v>0.0</v>
      </c>
      <c r="G326" t="str">
        <f>IF(OR(E326="",F326=""),"",F326-E326+1)</f>
        <v/>
      </c>
      <c r="H326" s="20" t="str">
        <f>IF(D326="","",IF(OR(D326="A",D326="B"),G326/80,IF(D326="A&amp;B",G326/160,"")))</f>
        <v/>
      </c>
      <c r="J326" t="str">
        <f>IF(I326="","",_xlfn.XLOOKUP(I326,Lists!$C:$C,Lists!$D:$D))</f>
        <v/>
      </c>
      <c r="N326" t="str">
        <f>IF(OR(M326="",L326=""),"",(M326*L326)/100000)</f>
        <v/>
      </c>
      <c r="O326" t="str">
        <f>IF(I326="","",_xlfn.XLOOKUP(I326,Lists!$C:$C,Lists!$J:$J))</f>
        <v/>
      </c>
      <c r="P326" t="str">
        <f>IF(I326="","",_xlfn.XLOOKUP(I326,Lists!$C:$C,Lists!$E:$E))</f>
        <v/>
      </c>
      <c r="Q326" s="21" t="str">
        <f>IF(OR(A326="",P326=""),"",A326+P326+1)</f>
        <v/>
      </c>
      <c r="R326" t="str">
        <f t="shared" si="25"/>
        <v/>
      </c>
      <c r="S326" t="str">
        <f>IF(I326="","",_xlfn.XLOOKUP(I326,Lists!$C:$C,Lists!$I:$I))</f>
        <v/>
      </c>
    </row>
    <row r="327" spans="8:8">
      <c r="C327">
        <f>_xlfn.XLOOKUP(B327,Lists!B:B,Lists!A:A,"")</f>
        <v>0.0</v>
      </c>
      <c r="G327" t="str">
        <f>IF(OR(E327="",F327=""),"",F327-E327+1)</f>
        <v/>
      </c>
      <c r="H327" s="20" t="str">
        <f>IF(D327="","",IF(OR(D327="A",D327="B"),G327/80,IF(D327="A&amp;B",G327/160,"")))</f>
        <v/>
      </c>
      <c r="J327" t="str">
        <f>IF(I327="","",_xlfn.XLOOKUP(I327,Lists!$C:$C,Lists!$D:$D))</f>
        <v/>
      </c>
      <c r="N327" t="str">
        <f>IF(OR(M327="",L327=""),"",(M327*L327)/100000)</f>
        <v/>
      </c>
      <c r="O327" t="str">
        <f>IF(I327="","",_xlfn.XLOOKUP(I327,Lists!$C:$C,Lists!$J:$J))</f>
        <v/>
      </c>
      <c r="P327" t="str">
        <f>IF(I327="","",_xlfn.XLOOKUP(I327,Lists!$C:$C,Lists!$E:$E))</f>
        <v/>
      </c>
      <c r="Q327" s="21" t="str">
        <f>IF(OR(A327="",P327=""),"",A327+P327+1)</f>
        <v/>
      </c>
      <c r="R327" t="str">
        <f t="shared" si="25"/>
        <v/>
      </c>
      <c r="S327" t="str">
        <f>IF(I327="","",_xlfn.XLOOKUP(I327,Lists!$C:$C,Lists!$I:$I))</f>
        <v/>
      </c>
    </row>
    <row r="328" spans="8:8">
      <c r="C328">
        <f>_xlfn.XLOOKUP(B328,Lists!B:B,Lists!A:A,"")</f>
        <v>0.0</v>
      </c>
      <c r="G328" t="str">
        <f>IF(OR(E328="",F328=""),"",F328-E328+1)</f>
        <v/>
      </c>
      <c r="H328" s="20" t="str">
        <f>IF(D328="","",IF(OR(D328="A",D328="B"),G328/80,IF(D328="A&amp;B",G328/160,"")))</f>
        <v/>
      </c>
      <c r="J328" t="str">
        <f>IF(I328="","",_xlfn.XLOOKUP(I328,Lists!$C:$C,Lists!$D:$D))</f>
        <v/>
      </c>
      <c r="N328" t="str">
        <f>IF(OR(M328="",L328=""),"",(M328*L328)/100000)</f>
        <v/>
      </c>
      <c r="O328" t="str">
        <f>IF(I328="","",_xlfn.XLOOKUP(I328,Lists!$C:$C,Lists!$J:$J))</f>
        <v/>
      </c>
      <c r="P328" t="str">
        <f>IF(I328="","",_xlfn.XLOOKUP(I328,Lists!$C:$C,Lists!$E:$E))</f>
        <v/>
      </c>
      <c r="Q328" s="21" t="str">
        <f>IF(OR(A328="",P328=""),"",A328+P328+1)</f>
        <v/>
      </c>
      <c r="R328" t="str">
        <f t="shared" si="25"/>
        <v/>
      </c>
      <c r="S328" t="str">
        <f>IF(I328="","",_xlfn.XLOOKUP(I328,Lists!$C:$C,Lists!$I:$I))</f>
        <v/>
      </c>
    </row>
    <row r="329" spans="8:8">
      <c r="C329">
        <f>_xlfn.XLOOKUP(B329,Lists!B:B,Lists!A:A,"")</f>
        <v>0.0</v>
      </c>
      <c r="G329" t="str">
        <f>IF(OR(E329="",F329=""),"",F329-E329+1)</f>
        <v/>
      </c>
      <c r="H329" s="20" t="str">
        <f>IF(D329="","",IF(OR(D329="A",D329="B"),G329/80,IF(D329="A&amp;B",G329/160,"")))</f>
        <v/>
      </c>
      <c r="J329" t="str">
        <f>IF(I329="","",_xlfn.XLOOKUP(I329,Lists!$C:$C,Lists!$D:$D))</f>
        <v/>
      </c>
      <c r="N329" t="str">
        <f>IF(OR(M329="",L329=""),"",(M329*L329)/100000)</f>
        <v/>
      </c>
      <c r="O329" t="str">
        <f>IF(I329="","",_xlfn.XLOOKUP(I329,Lists!$C:$C,Lists!$J:$J))</f>
        <v/>
      </c>
      <c r="P329" t="str">
        <f>IF(I329="","",_xlfn.XLOOKUP(I329,Lists!$C:$C,Lists!$E:$E))</f>
        <v/>
      </c>
      <c r="Q329" s="21" t="str">
        <f>IF(OR(A329="",P329=""),"",A329+P329+1)</f>
        <v/>
      </c>
      <c r="R329" t="str">
        <f t="shared" si="25"/>
        <v/>
      </c>
      <c r="S329" t="str">
        <f>IF(I329="","",_xlfn.XLOOKUP(I329,Lists!$C:$C,Lists!$I:$I))</f>
        <v/>
      </c>
    </row>
    <row r="330" spans="8:8">
      <c r="C330">
        <f>_xlfn.XLOOKUP(B330,Lists!B:B,Lists!A:A,"")</f>
        <v>0.0</v>
      </c>
      <c r="G330" t="str">
        <f>IF(OR(E330="",F330=""),"",F330-E330+1)</f>
        <v/>
      </c>
      <c r="H330" s="20" t="str">
        <f>IF(D330="","",IF(OR(D330="A",D330="B"),G330/80,IF(D330="A&amp;B",G330/160,"")))</f>
        <v/>
      </c>
      <c r="J330" t="str">
        <f>IF(I330="","",_xlfn.XLOOKUP(I330,Lists!$C:$C,Lists!$D:$D))</f>
        <v/>
      </c>
      <c r="N330" t="str">
        <f>IF(OR(M330="",L330=""),"",(M330*L330)/100000)</f>
        <v/>
      </c>
      <c r="O330" t="str">
        <f>IF(I330="","",_xlfn.XLOOKUP(I330,Lists!$C:$C,Lists!$J:$J))</f>
        <v/>
      </c>
      <c r="P330" t="str">
        <f>IF(I330="","",_xlfn.XLOOKUP(I330,Lists!$C:$C,Lists!$E:$E))</f>
        <v/>
      </c>
      <c r="Q330" s="21" t="str">
        <f>IF(OR(A330="",P330=""),"",A330+P330+1)</f>
        <v/>
      </c>
      <c r="R330" t="str">
        <f t="shared" si="25"/>
        <v/>
      </c>
      <c r="S330" t="str">
        <f>IF(I330="","",_xlfn.XLOOKUP(I330,Lists!$C:$C,Lists!$I:$I))</f>
        <v/>
      </c>
    </row>
    <row r="331" spans="8:8">
      <c r="C331">
        <f>_xlfn.XLOOKUP(B331,Lists!B:B,Lists!A:A,"")</f>
        <v>0.0</v>
      </c>
      <c r="G331" t="str">
        <f>IF(OR(E331="",F331=""),"",F331-E331+1)</f>
        <v/>
      </c>
      <c r="H331" s="20" t="str">
        <f>IF(D331="","",IF(OR(D331="A",D331="B"),G331/80,IF(D331="A&amp;B",G331/160,"")))</f>
        <v/>
      </c>
      <c r="J331" t="str">
        <f>IF(I331="","",_xlfn.XLOOKUP(I331,Lists!$C:$C,Lists!$D:$D))</f>
        <v/>
      </c>
      <c r="N331" t="str">
        <f>IF(OR(M331="",L331=""),"",(M331*L331)/100000)</f>
        <v/>
      </c>
      <c r="O331" t="str">
        <f>IF(I331="","",_xlfn.XLOOKUP(I331,Lists!$C:$C,Lists!$J:$J))</f>
        <v/>
      </c>
      <c r="P331" t="str">
        <f>IF(I331="","",_xlfn.XLOOKUP(I331,Lists!$C:$C,Lists!$E:$E))</f>
        <v/>
      </c>
      <c r="Q331" s="21" t="str">
        <f>IF(OR(A331="",P331=""),"",A331+P331+1)</f>
        <v/>
      </c>
      <c r="R331" t="str">
        <f t="shared" si="25"/>
        <v/>
      </c>
      <c r="S331" t="str">
        <f>IF(I331="","",_xlfn.XLOOKUP(I331,Lists!$C:$C,Lists!$I:$I))</f>
        <v/>
      </c>
    </row>
    <row r="332" spans="8:8">
      <c r="C332">
        <f>_xlfn.XLOOKUP(B332,Lists!B:B,Lists!A:A,"")</f>
        <v>0.0</v>
      </c>
      <c r="G332" t="str">
        <f>IF(OR(E332="",F332=""),"",F332-E332+1)</f>
        <v/>
      </c>
      <c r="H332" s="20" t="str">
        <f>IF(D332="","",IF(OR(D332="A",D332="B"),G332/80,IF(D332="A&amp;B",G332/160,"")))</f>
        <v/>
      </c>
      <c r="J332" t="str">
        <f>IF(I332="","",_xlfn.XLOOKUP(I332,Lists!$C:$C,Lists!$D:$D))</f>
        <v/>
      </c>
      <c r="N332" t="str">
        <f>IF(OR(M332="",L332=""),"",(M332*L332)/100000)</f>
        <v/>
      </c>
      <c r="O332" t="str">
        <f>IF(I332="","",_xlfn.XLOOKUP(I332,Lists!$C:$C,Lists!$J:$J))</f>
        <v/>
      </c>
      <c r="P332" t="str">
        <f>IF(I332="","",_xlfn.XLOOKUP(I332,Lists!$C:$C,Lists!$E:$E))</f>
        <v/>
      </c>
      <c r="Q332" s="21" t="str">
        <f>IF(OR(A332="",P332=""),"",A332+P332+1)</f>
        <v/>
      </c>
      <c r="R332" t="str">
        <f t="shared" si="25"/>
        <v/>
      </c>
      <c r="S332" t="str">
        <f>IF(I332="","",_xlfn.XLOOKUP(I332,Lists!$C:$C,Lists!$I:$I))</f>
        <v/>
      </c>
    </row>
    <row r="333" spans="8:8">
      <c r="C333">
        <f>_xlfn.XLOOKUP(B333,Lists!B:B,Lists!A:A,"")</f>
        <v>0.0</v>
      </c>
      <c r="G333" t="str">
        <f>IF(OR(E333="",F333=""),"",F333-E333+1)</f>
        <v/>
      </c>
      <c r="H333" s="20" t="str">
        <f>IF(D333="","",IF(OR(D333="A",D333="B"),G333/80,IF(D333="A&amp;B",G333/160,"")))</f>
        <v/>
      </c>
      <c r="J333" t="str">
        <f>IF(I333="","",_xlfn.XLOOKUP(I333,Lists!$C:$C,Lists!$D:$D))</f>
        <v/>
      </c>
      <c r="N333" t="str">
        <f>IF(OR(M333="",L333=""),"",(M333*L333)/100000)</f>
        <v/>
      </c>
      <c r="O333" t="str">
        <f>IF(I333="","",_xlfn.XLOOKUP(I333,Lists!$C:$C,Lists!$J:$J))</f>
        <v/>
      </c>
      <c r="P333" t="str">
        <f>IF(I333="","",_xlfn.XLOOKUP(I333,Lists!$C:$C,Lists!$E:$E))</f>
        <v/>
      </c>
      <c r="Q333" s="21" t="str">
        <f>IF(OR(A333="",P333=""),"",A333+P333+1)</f>
        <v/>
      </c>
      <c r="R333" t="str">
        <f t="shared" si="25"/>
        <v/>
      </c>
      <c r="S333" t="str">
        <f>IF(I333="","",_xlfn.XLOOKUP(I333,Lists!$C:$C,Lists!$I:$I))</f>
        <v/>
      </c>
    </row>
    <row r="334" spans="8:8">
      <c r="C334">
        <f>_xlfn.XLOOKUP(B334,Lists!B:B,Lists!A:A,"")</f>
        <v>0.0</v>
      </c>
      <c r="G334" t="str">
        <f>IF(OR(E334="",F334=""),"",F334-E334+1)</f>
        <v/>
      </c>
      <c r="H334" s="20" t="str">
        <f>IF(D334="","",IF(OR(D334="A",D334="B"),G334/80,IF(D334="A&amp;B",G334/160,"")))</f>
        <v/>
      </c>
      <c r="J334" t="str">
        <f>IF(I334="","",_xlfn.XLOOKUP(I334,Lists!$C:$C,Lists!$D:$D))</f>
        <v/>
      </c>
      <c r="N334" t="str">
        <f>IF(OR(M334="",L334=""),"",(M334*L334)/100000)</f>
        <v/>
      </c>
      <c r="O334" t="str">
        <f>IF(I334="","",_xlfn.XLOOKUP(I334,Lists!$C:$C,Lists!$J:$J))</f>
        <v/>
      </c>
      <c r="P334" t="str">
        <f>IF(I334="","",_xlfn.XLOOKUP(I334,Lists!$C:$C,Lists!$E:$E))</f>
        <v/>
      </c>
      <c r="Q334" s="21" t="str">
        <f>IF(OR(A334="",P334=""),"",A334+P334+1)</f>
        <v/>
      </c>
      <c r="R334" t="str">
        <f t="shared" si="25"/>
        <v/>
      </c>
      <c r="S334" t="str">
        <f>IF(I334="","",_xlfn.XLOOKUP(I334,Lists!$C:$C,Lists!$I:$I))</f>
        <v/>
      </c>
    </row>
    <row r="335" spans="8:8">
      <c r="C335">
        <f>_xlfn.XLOOKUP(B335,Lists!B:B,Lists!A:A,"")</f>
        <v>0.0</v>
      </c>
      <c r="G335" t="str">
        <f>IF(OR(E335="",F335=""),"",F335-E335+1)</f>
        <v/>
      </c>
      <c r="H335" s="20" t="str">
        <f>IF(D335="","",IF(OR(D335="A",D335="B"),G335/80,IF(D335="A&amp;B",G335/160,"")))</f>
        <v/>
      </c>
      <c r="J335" t="str">
        <f>IF(I335="","",_xlfn.XLOOKUP(I335,Lists!$C:$C,Lists!$D:$D))</f>
        <v/>
      </c>
      <c r="N335" t="str">
        <f>IF(OR(M335="",L335=""),"",(M335*L335)/100000)</f>
        <v/>
      </c>
      <c r="O335" t="str">
        <f>IF(I335="","",_xlfn.XLOOKUP(I335,Lists!$C:$C,Lists!$J:$J))</f>
        <v/>
      </c>
      <c r="P335" t="str">
        <f>IF(I335="","",_xlfn.XLOOKUP(I335,Lists!$C:$C,Lists!$E:$E))</f>
        <v/>
      </c>
      <c r="Q335" s="21" t="str">
        <f>IF(OR(A335="",P335=""),"",A335+P335+1)</f>
        <v/>
      </c>
      <c r="R335" t="str">
        <f t="shared" si="25"/>
        <v/>
      </c>
      <c r="S335" t="str">
        <f>IF(I335="","",_xlfn.XLOOKUP(I335,Lists!$C:$C,Lists!$I:$I))</f>
        <v/>
      </c>
    </row>
    <row r="336" spans="8:8">
      <c r="C336">
        <f>_xlfn.XLOOKUP(B336,Lists!B:B,Lists!A:A,"")</f>
        <v>0.0</v>
      </c>
      <c r="G336" t="str">
        <f>IF(OR(E336="",F336=""),"",F336-E336+1)</f>
        <v/>
      </c>
      <c r="H336" s="20" t="str">
        <f>IF(D336="","",IF(OR(D336="A",D336="B"),G336/80,IF(D336="A&amp;B",G336/160,"")))</f>
        <v/>
      </c>
      <c r="J336" t="str">
        <f>IF(I336="","",_xlfn.XLOOKUP(I336,Lists!$C:$C,Lists!$D:$D))</f>
        <v/>
      </c>
      <c r="N336" t="str">
        <f>IF(OR(M336="",L336=""),"",(M336*L336)/100000)</f>
        <v/>
      </c>
      <c r="O336" t="str">
        <f>IF(I336="","",_xlfn.XLOOKUP(I336,Lists!$C:$C,Lists!$J:$J))</f>
        <v/>
      </c>
      <c r="P336" t="str">
        <f>IF(I336="","",_xlfn.XLOOKUP(I336,Lists!$C:$C,Lists!$E:$E))</f>
        <v/>
      </c>
      <c r="Q336" s="21" t="str">
        <f>IF(OR(A336="",P336=""),"",A336+P336+1)</f>
        <v/>
      </c>
      <c r="R336" t="str">
        <f t="shared" si="25"/>
        <v/>
      </c>
      <c r="S336" t="str">
        <f>IF(I336="","",_xlfn.XLOOKUP(I336,Lists!$C:$C,Lists!$I:$I))</f>
        <v/>
      </c>
    </row>
    <row r="337" spans="8:8">
      <c r="C337">
        <f>_xlfn.XLOOKUP(B337,Lists!B:B,Lists!A:A,"")</f>
        <v>0.0</v>
      </c>
      <c r="G337" t="str">
        <f>IF(OR(E337="",F337=""),"",F337-E337+1)</f>
        <v/>
      </c>
      <c r="H337" s="20" t="str">
        <f>IF(D337="","",IF(OR(D337="A",D337="B"),G337/80,IF(D337="A&amp;B",G337/160,"")))</f>
        <v/>
      </c>
      <c r="J337" t="str">
        <f>IF(I337="","",_xlfn.XLOOKUP(I337,Lists!$C:$C,Lists!$D:$D))</f>
        <v/>
      </c>
      <c r="N337" t="str">
        <f>IF(OR(M337="",L337=""),"",(M337*L337)/100000)</f>
        <v/>
      </c>
      <c r="O337" t="str">
        <f>IF(I337="","",_xlfn.XLOOKUP(I337,Lists!$C:$C,Lists!$J:$J))</f>
        <v/>
      </c>
      <c r="P337" t="str">
        <f>IF(I337="","",_xlfn.XLOOKUP(I337,Lists!$C:$C,Lists!$E:$E))</f>
        <v/>
      </c>
      <c r="Q337" s="21" t="str">
        <f>IF(OR(A337="",P337=""),"",A337+P337+1)</f>
        <v/>
      </c>
      <c r="R337" t="str">
        <f t="shared" si="25"/>
        <v/>
      </c>
      <c r="S337" t="str">
        <f>IF(I337="","",_xlfn.XLOOKUP(I337,Lists!$C:$C,Lists!$I:$I))</f>
        <v/>
      </c>
    </row>
    <row r="338" spans="8:8">
      <c r="C338">
        <f>_xlfn.XLOOKUP(B338,Lists!B:B,Lists!A:A,"")</f>
        <v>0.0</v>
      </c>
      <c r="G338" t="str">
        <f>IF(OR(E338="",F338=""),"",F338-E338+1)</f>
        <v/>
      </c>
      <c r="H338" s="20" t="str">
        <f>IF(D338="","",IF(OR(D338="A",D338="B"),G338/80,IF(D338="A&amp;B",G338/160,"")))</f>
        <v/>
      </c>
      <c r="J338" t="str">
        <f>IF(I338="","",_xlfn.XLOOKUP(I338,Lists!$C:$C,Lists!$D:$D))</f>
        <v/>
      </c>
      <c r="N338" t="str">
        <f>IF(OR(M338="",L338=""),"",(M338*L338)/100000)</f>
        <v/>
      </c>
      <c r="O338" t="str">
        <f>IF(I338="","",_xlfn.XLOOKUP(I338,Lists!$C:$C,Lists!$J:$J))</f>
        <v/>
      </c>
      <c r="P338" t="str">
        <f>IF(I338="","",_xlfn.XLOOKUP(I338,Lists!$C:$C,Lists!$E:$E))</f>
        <v/>
      </c>
      <c r="Q338" s="21" t="str">
        <f>IF(OR(A338="",P338=""),"",A338+P338+1)</f>
        <v/>
      </c>
      <c r="R338" t="str">
        <f t="shared" si="25"/>
        <v/>
      </c>
      <c r="S338" t="str">
        <f>IF(I338="","",_xlfn.XLOOKUP(I338,Lists!$C:$C,Lists!$I:$I))</f>
        <v/>
      </c>
    </row>
    <row r="339" spans="8:8">
      <c r="C339">
        <f>_xlfn.XLOOKUP(B339,Lists!B:B,Lists!A:A,"")</f>
        <v>0.0</v>
      </c>
      <c r="G339" t="str">
        <f>IF(OR(E339="",F339=""),"",F339-E339+1)</f>
        <v/>
      </c>
      <c r="H339" s="20" t="str">
        <f>IF(D339="","",IF(OR(D339="A",D339="B"),G339/80,IF(D339="A&amp;B",G339/160,"")))</f>
        <v/>
      </c>
      <c r="J339" t="str">
        <f>IF(I339="","",_xlfn.XLOOKUP(I339,Lists!$C:$C,Lists!$D:$D))</f>
        <v/>
      </c>
      <c r="N339" t="str">
        <f>IF(OR(M339="",L339=""),"",(M339*L339)/100000)</f>
        <v/>
      </c>
      <c r="O339" t="str">
        <f>IF(I339="","",_xlfn.XLOOKUP(I339,Lists!$C:$C,Lists!$J:$J))</f>
        <v/>
      </c>
      <c r="P339" t="str">
        <f>IF(I339="","",_xlfn.XLOOKUP(I339,Lists!$C:$C,Lists!$E:$E))</f>
        <v/>
      </c>
      <c r="Q339" s="21" t="str">
        <f>IF(OR(A339="",P339=""),"",A339+P339+1)</f>
        <v/>
      </c>
      <c r="R339" t="str">
        <f t="shared" si="25"/>
        <v/>
      </c>
      <c r="S339" t="str">
        <f>IF(I339="","",_xlfn.XLOOKUP(I339,Lists!$C:$C,Lists!$I:$I))</f>
        <v/>
      </c>
    </row>
    <row r="340" spans="8:8">
      <c r="C340">
        <f>_xlfn.XLOOKUP(B340,Lists!B:B,Lists!A:A,"")</f>
        <v>0.0</v>
      </c>
      <c r="G340" t="str">
        <f>IF(OR(E340="",F340=""),"",F340-E340+1)</f>
        <v/>
      </c>
      <c r="H340" s="20" t="str">
        <f>IF(D340="","",IF(OR(D340="A",D340="B"),G340/80,IF(D340="A&amp;B",G340/160,"")))</f>
        <v/>
      </c>
      <c r="J340" t="str">
        <f>IF(I340="","",_xlfn.XLOOKUP(I340,Lists!$C:$C,Lists!$D:$D))</f>
        <v/>
      </c>
      <c r="N340" t="str">
        <f>IF(OR(M340="",L340=""),"",(M340*L340)/100000)</f>
        <v/>
      </c>
      <c r="O340" t="str">
        <f>IF(I340="","",_xlfn.XLOOKUP(I340,Lists!$C:$C,Lists!$J:$J))</f>
        <v/>
      </c>
      <c r="P340" t="str">
        <f>IF(I340="","",_xlfn.XLOOKUP(I340,Lists!$C:$C,Lists!$E:$E))</f>
        <v/>
      </c>
      <c r="Q340" s="21" t="str">
        <f>IF(OR(A340="",P340=""),"",A340+P340+1)</f>
        <v/>
      </c>
      <c r="R340" t="str">
        <f t="shared" si="25"/>
        <v/>
      </c>
      <c r="S340" t="str">
        <f>IF(I340="","",_xlfn.XLOOKUP(I340,Lists!$C:$C,Lists!$I:$I))</f>
        <v/>
      </c>
    </row>
    <row r="341" spans="8:8">
      <c r="C341">
        <f>_xlfn.XLOOKUP(B341,Lists!B:B,Lists!A:A,"")</f>
        <v>0.0</v>
      </c>
      <c r="G341" t="str">
        <f>IF(OR(E341="",F341=""),"",F341-E341+1)</f>
        <v/>
      </c>
      <c r="H341" s="20" t="str">
        <f>IF(D341="","",IF(OR(D341="A",D341="B"),G341/80,IF(D341="A&amp;B",G341/160,"")))</f>
        <v/>
      </c>
      <c r="J341" t="str">
        <f>IF(I341="","",_xlfn.XLOOKUP(I341,Lists!$C:$C,Lists!$D:$D))</f>
        <v/>
      </c>
      <c r="N341" t="str">
        <f>IF(OR(M341="",L341=""),"",(M341*L341)/100000)</f>
        <v/>
      </c>
      <c r="O341" t="str">
        <f>IF(I341="","",_xlfn.XLOOKUP(I341,Lists!$C:$C,Lists!$J:$J))</f>
        <v/>
      </c>
      <c r="P341" t="str">
        <f>IF(I341="","",_xlfn.XLOOKUP(I341,Lists!$C:$C,Lists!$E:$E))</f>
        <v/>
      </c>
      <c r="Q341" s="21" t="str">
        <f>IF(OR(A341="",P341=""),"",A341+P341+1)</f>
        <v/>
      </c>
      <c r="R341" t="str">
        <f t="shared" si="25"/>
        <v/>
      </c>
      <c r="S341" t="str">
        <f>IF(I341="","",_xlfn.XLOOKUP(I341,Lists!$C:$C,Lists!$I:$I))</f>
        <v/>
      </c>
    </row>
    <row r="342" spans="8:8">
      <c r="C342">
        <f>_xlfn.XLOOKUP(B342,Lists!B:B,Lists!A:A,"")</f>
        <v>0.0</v>
      </c>
      <c r="G342" t="str">
        <f>IF(OR(E342="",F342=""),"",F342-E342+1)</f>
        <v/>
      </c>
      <c r="H342" s="20" t="str">
        <f>IF(D342="","",IF(OR(D342="A",D342="B"),G342/80,IF(D342="A&amp;B",G342/160,"")))</f>
        <v/>
      </c>
      <c r="J342" t="str">
        <f>IF(I342="","",_xlfn.XLOOKUP(I342,Lists!$C:$C,Lists!$D:$D))</f>
        <v/>
      </c>
      <c r="N342" t="str">
        <f>IF(OR(M342="",L342=""),"",(M342*L342)/100000)</f>
        <v/>
      </c>
      <c r="O342" t="str">
        <f>IF(I342="","",_xlfn.XLOOKUP(I342,Lists!$C:$C,Lists!$J:$J))</f>
        <v/>
      </c>
      <c r="P342" t="str">
        <f>IF(I342="","",_xlfn.XLOOKUP(I342,Lists!$C:$C,Lists!$E:$E))</f>
        <v/>
      </c>
      <c r="Q342" s="21" t="str">
        <f>IF(OR(A342="",P342=""),"",A342+P342+1)</f>
        <v/>
      </c>
      <c r="R342" t="str">
        <f t="shared" si="25"/>
        <v/>
      </c>
      <c r="S342" t="str">
        <f>IF(I342="","",_xlfn.XLOOKUP(I342,Lists!$C:$C,Lists!$I:$I))</f>
        <v/>
      </c>
    </row>
    <row r="343" spans="8:8">
      <c r="C343">
        <f>_xlfn.XLOOKUP(B343,Lists!B:B,Lists!A:A,"")</f>
        <v>0.0</v>
      </c>
      <c r="G343" t="str">
        <f>IF(OR(E343="",F343=""),"",F343-E343+1)</f>
        <v/>
      </c>
      <c r="H343" s="20" t="str">
        <f>IF(D343="","",IF(OR(D343="A",D343="B"),G343/80,IF(D343="A&amp;B",G343/160,"")))</f>
        <v/>
      </c>
      <c r="J343" t="str">
        <f>IF(I343="","",_xlfn.XLOOKUP(I343,Lists!$C:$C,Lists!$D:$D))</f>
        <v/>
      </c>
      <c r="N343" t="str">
        <f>IF(OR(M343="",L343=""),"",(M343*L343)/100000)</f>
        <v/>
      </c>
      <c r="O343" t="str">
        <f>IF(I343="","",_xlfn.XLOOKUP(I343,Lists!$C:$C,Lists!$J:$J))</f>
        <v/>
      </c>
      <c r="P343" t="str">
        <f>IF(I343="","",_xlfn.XLOOKUP(I343,Lists!$C:$C,Lists!$E:$E))</f>
        <v/>
      </c>
      <c r="Q343" s="21" t="str">
        <f>IF(OR(A343="",P343=""),"",A343+P343+1)</f>
        <v/>
      </c>
      <c r="R343" t="str">
        <f t="shared" si="25"/>
        <v/>
      </c>
      <c r="S343" t="str">
        <f>IF(I343="","",_xlfn.XLOOKUP(I343,Lists!$C:$C,Lists!$I:$I))</f>
        <v/>
      </c>
    </row>
    <row r="344" spans="8:8">
      <c r="C344">
        <f>_xlfn.XLOOKUP(B344,Lists!B:B,Lists!A:A,"")</f>
        <v>0.0</v>
      </c>
      <c r="G344" t="str">
        <f>IF(OR(E344="",F344=""),"",F344-E344+1)</f>
        <v/>
      </c>
      <c r="H344" s="20" t="str">
        <f>IF(D344="","",IF(OR(D344="A",D344="B"),G344/80,IF(D344="A&amp;B",G344/160,"")))</f>
        <v/>
      </c>
      <c r="J344" t="str">
        <f>IF(I344="","",_xlfn.XLOOKUP(I344,Lists!$C:$C,Lists!$D:$D))</f>
        <v/>
      </c>
      <c r="N344" t="str">
        <f>IF(OR(M344="",L344=""),"",(M344*L344)/100000)</f>
        <v/>
      </c>
      <c r="O344" t="str">
        <f>IF(I344="","",_xlfn.XLOOKUP(I344,Lists!$C:$C,Lists!$J:$J))</f>
        <v/>
      </c>
      <c r="P344" t="str">
        <f>IF(I344="","",_xlfn.XLOOKUP(I344,Lists!$C:$C,Lists!$E:$E))</f>
        <v/>
      </c>
      <c r="Q344" s="21" t="str">
        <f>IF(OR(A344="",P344=""),"",A344+P344+1)</f>
        <v/>
      </c>
      <c r="R344" t="str">
        <f t="shared" si="25"/>
        <v/>
      </c>
      <c r="S344" t="str">
        <f>IF(I344="","",_xlfn.XLOOKUP(I344,Lists!$C:$C,Lists!$I:$I))</f>
        <v/>
      </c>
    </row>
    <row r="345" spans="8:8">
      <c r="C345">
        <f>_xlfn.XLOOKUP(B345,Lists!B:B,Lists!A:A,"")</f>
        <v>0.0</v>
      </c>
      <c r="G345" t="str">
        <f>IF(OR(E345="",F345=""),"",F345-E345+1)</f>
        <v/>
      </c>
      <c r="H345" s="20" t="str">
        <f>IF(D345="","",IF(OR(D345="A",D345="B"),G345/80,IF(D345="A&amp;B",G345/160,"")))</f>
        <v/>
      </c>
      <c r="J345" t="str">
        <f>IF(I345="","",_xlfn.XLOOKUP(I345,Lists!$C:$C,Lists!$D:$D))</f>
        <v/>
      </c>
      <c r="N345" t="str">
        <f>IF(OR(M345="",L345=""),"",(M345*L345)/100000)</f>
        <v/>
      </c>
      <c r="O345" t="str">
        <f>IF(I345="","",_xlfn.XLOOKUP(I345,Lists!$C:$C,Lists!$J:$J))</f>
        <v/>
      </c>
      <c r="P345" t="str">
        <f>IF(I345="","",_xlfn.XLOOKUP(I345,Lists!$C:$C,Lists!$E:$E))</f>
        <v/>
      </c>
      <c r="Q345" s="21" t="str">
        <f>IF(OR(A345="",P345=""),"",A345+P345+1)</f>
        <v/>
      </c>
      <c r="R345" t="str">
        <f t="shared" si="25"/>
        <v/>
      </c>
      <c r="S345" t="str">
        <f>IF(I345="","",_xlfn.XLOOKUP(I345,Lists!$C:$C,Lists!$I:$I))</f>
        <v/>
      </c>
    </row>
    <row r="346" spans="8:8">
      <c r="C346">
        <f>_xlfn.XLOOKUP(B346,Lists!B:B,Lists!A:A,"")</f>
        <v>0.0</v>
      </c>
      <c r="G346" t="str">
        <f>IF(OR(E346="",F346=""),"",F346-E346+1)</f>
        <v/>
      </c>
      <c r="H346" s="20" t="str">
        <f>IF(D346="","",IF(OR(D346="A",D346="B"),G346/80,IF(D346="A&amp;B",G346/160,"")))</f>
        <v/>
      </c>
      <c r="J346" t="str">
        <f>IF(I346="","",_xlfn.XLOOKUP(I346,Lists!$C:$C,Lists!$D:$D))</f>
        <v/>
      </c>
      <c r="N346" t="str">
        <f>IF(OR(M346="",L346=""),"",(M346*L346)/100000)</f>
        <v/>
      </c>
      <c r="O346" t="str">
        <f>IF(I346="","",_xlfn.XLOOKUP(I346,Lists!$C:$C,Lists!$J:$J))</f>
        <v/>
      </c>
      <c r="P346" t="str">
        <f>IF(I346="","",_xlfn.XLOOKUP(I346,Lists!$C:$C,Lists!$E:$E))</f>
        <v/>
      </c>
      <c r="Q346" s="21" t="str">
        <f>IF(OR(A346="",P346=""),"",A346+P346+1)</f>
        <v/>
      </c>
      <c r="R346" t="str">
        <f t="shared" si="25"/>
        <v/>
      </c>
      <c r="S346" t="str">
        <f>IF(I346="","",_xlfn.XLOOKUP(I346,Lists!$C:$C,Lists!$I:$I))</f>
        <v/>
      </c>
    </row>
    <row r="347" spans="8:8">
      <c r="C347">
        <f>_xlfn.XLOOKUP(B347,Lists!B:B,Lists!A:A,"")</f>
        <v>0.0</v>
      </c>
      <c r="G347" t="str">
        <f t="shared" si="26" ref="G347:G410">IF(OR(E347="",F347=""),"",F347-E347+1)</f>
        <v/>
      </c>
      <c r="H347" s="20" t="str">
        <f t="shared" si="27" ref="H347:H410">IF(D347="","",IF(OR(D347="A",D347="B"),G347/80,IF(D347="A&amp;B",G347/160,"")))</f>
        <v/>
      </c>
      <c r="J347" t="str">
        <f>IF(I347="","",_xlfn.XLOOKUP(I347,Lists!$C:$C,Lists!$D:$D))</f>
        <v/>
      </c>
      <c r="N347" t="str">
        <f t="shared" si="28" ref="N347:N410">IF(OR(M347="",L347=""),"",(M347*L347)/100000)</f>
        <v/>
      </c>
      <c r="O347" t="str">
        <f>IF(I347="","",_xlfn.XLOOKUP(I347,Lists!$C:$C,Lists!$J:$J))</f>
        <v/>
      </c>
      <c r="P347" t="str">
        <f>IF(I347="","",_xlfn.XLOOKUP(I347,Lists!$C:$C,Lists!$E:$E))</f>
        <v/>
      </c>
      <c r="Q347" s="21" t="str">
        <f t="shared" si="29" ref="Q347:Q410">IF(OR(A347="",P347=""),"",A347+P347+1)</f>
        <v/>
      </c>
      <c r="R347" t="str">
        <f t="shared" si="30" ref="R347:R410">IF(Q347="","",IF(Q347&lt;=TODAY(),"Allow","Not Allow"))</f>
        <v/>
      </c>
      <c r="S347" t="str">
        <f>IF(I347="","",_xlfn.XLOOKUP(I347,Lists!$C:$C,Lists!$I:$I))</f>
        <v/>
      </c>
    </row>
    <row r="348" spans="8:8">
      <c r="C348">
        <f>_xlfn.XLOOKUP(B348,Lists!B:B,Lists!A:A,"")</f>
        <v>0.0</v>
      </c>
      <c r="G348" t="str">
        <f t="shared" si="26"/>
        <v/>
      </c>
      <c r="H348" s="20" t="str">
        <f t="shared" si="27"/>
        <v/>
      </c>
      <c r="J348" t="str">
        <f>IF(I348="","",_xlfn.XLOOKUP(I348,Lists!$C:$C,Lists!$D:$D))</f>
        <v/>
      </c>
      <c r="N348" t="str">
        <f t="shared" si="28"/>
        <v/>
      </c>
      <c r="O348" t="str">
        <f>IF(I348="","",_xlfn.XLOOKUP(I348,Lists!$C:$C,Lists!$J:$J))</f>
        <v/>
      </c>
      <c r="P348" t="str">
        <f>IF(I348="","",_xlfn.XLOOKUP(I348,Lists!$C:$C,Lists!$E:$E))</f>
        <v/>
      </c>
      <c r="Q348" s="21" t="str">
        <f t="shared" si="29"/>
        <v/>
      </c>
      <c r="R348" t="str">
        <f t="shared" si="30"/>
        <v/>
      </c>
      <c r="S348" t="str">
        <f>IF(I348="","",_xlfn.XLOOKUP(I348,Lists!$C:$C,Lists!$I:$I))</f>
        <v/>
      </c>
    </row>
    <row r="349" spans="8:8">
      <c r="C349">
        <f>_xlfn.XLOOKUP(B349,Lists!B:B,Lists!A:A,"")</f>
        <v>0.0</v>
      </c>
      <c r="G349" t="str">
        <f t="shared" si="26"/>
        <v/>
      </c>
      <c r="H349" s="20" t="str">
        <f t="shared" si="27"/>
        <v/>
      </c>
      <c r="J349" t="str">
        <f>IF(I349="","",_xlfn.XLOOKUP(I349,Lists!$C:$C,Lists!$D:$D))</f>
        <v/>
      </c>
      <c r="N349" t="str">
        <f t="shared" si="28"/>
        <v/>
      </c>
      <c r="O349" t="str">
        <f>IF(I349="","",_xlfn.XLOOKUP(I349,Lists!$C:$C,Lists!$J:$J))</f>
        <v/>
      </c>
      <c r="P349" t="str">
        <f>IF(I349="","",_xlfn.XLOOKUP(I349,Lists!$C:$C,Lists!$E:$E))</f>
        <v/>
      </c>
      <c r="Q349" s="21" t="str">
        <f t="shared" si="29"/>
        <v/>
      </c>
      <c r="R349" t="str">
        <f t="shared" si="30"/>
        <v/>
      </c>
      <c r="S349" t="str">
        <f>IF(I349="","",_xlfn.XLOOKUP(I349,Lists!$C:$C,Lists!$I:$I))</f>
        <v/>
      </c>
    </row>
    <row r="350" spans="8:8">
      <c r="C350">
        <f>_xlfn.XLOOKUP(B350,Lists!B:B,Lists!A:A,"")</f>
        <v>0.0</v>
      </c>
      <c r="G350" t="str">
        <f t="shared" si="26"/>
        <v/>
      </c>
      <c r="H350" s="20" t="str">
        <f t="shared" si="27"/>
        <v/>
      </c>
      <c r="J350" t="str">
        <f>IF(I350="","",_xlfn.XLOOKUP(I350,Lists!$C:$C,Lists!$D:$D))</f>
        <v/>
      </c>
      <c r="N350" t="str">
        <f t="shared" si="28"/>
        <v/>
      </c>
      <c r="O350" t="str">
        <f>IF(I350="","",_xlfn.XLOOKUP(I350,Lists!$C:$C,Lists!$J:$J))</f>
        <v/>
      </c>
      <c r="P350" t="str">
        <f>IF(I350="","",_xlfn.XLOOKUP(I350,Lists!$C:$C,Lists!$E:$E))</f>
        <v/>
      </c>
      <c r="Q350" s="21" t="str">
        <f t="shared" si="29"/>
        <v/>
      </c>
      <c r="R350" t="str">
        <f t="shared" si="30"/>
        <v/>
      </c>
      <c r="S350" t="str">
        <f>IF(I350="","",_xlfn.XLOOKUP(I350,Lists!$C:$C,Lists!$I:$I))</f>
        <v/>
      </c>
    </row>
    <row r="351" spans="8:8">
      <c r="C351">
        <f>_xlfn.XLOOKUP(B351,Lists!B:B,Lists!A:A,"")</f>
        <v>0.0</v>
      </c>
      <c r="G351" t="str">
        <f t="shared" si="26"/>
        <v/>
      </c>
      <c r="H351" s="20" t="str">
        <f t="shared" si="27"/>
        <v/>
      </c>
      <c r="J351" t="str">
        <f>IF(I351="","",_xlfn.XLOOKUP(I351,Lists!$C:$C,Lists!$D:$D))</f>
        <v/>
      </c>
      <c r="N351" t="str">
        <f t="shared" si="28"/>
        <v/>
      </c>
      <c r="O351" t="str">
        <f>IF(I351="","",_xlfn.XLOOKUP(I351,Lists!$C:$C,Lists!$J:$J))</f>
        <v/>
      </c>
      <c r="P351" t="str">
        <f>IF(I351="","",_xlfn.XLOOKUP(I351,Lists!$C:$C,Lists!$E:$E))</f>
        <v/>
      </c>
      <c r="Q351" s="21" t="str">
        <f t="shared" si="29"/>
        <v/>
      </c>
      <c r="R351" t="str">
        <f t="shared" si="30"/>
        <v/>
      </c>
      <c r="S351" t="str">
        <f>IF(I351="","",_xlfn.XLOOKUP(I351,Lists!$C:$C,Lists!$I:$I))</f>
        <v/>
      </c>
    </row>
    <row r="352" spans="8:8">
      <c r="C352">
        <f>_xlfn.XLOOKUP(B352,Lists!B:B,Lists!A:A,"")</f>
        <v>0.0</v>
      </c>
      <c r="G352" t="str">
        <f t="shared" si="26"/>
        <v/>
      </c>
      <c r="H352" s="20" t="str">
        <f t="shared" si="27"/>
        <v/>
      </c>
      <c r="J352" t="str">
        <f>IF(I352="","",_xlfn.XLOOKUP(I352,Lists!$C:$C,Lists!$D:$D))</f>
        <v/>
      </c>
      <c r="N352" t="str">
        <f t="shared" si="28"/>
        <v/>
      </c>
      <c r="O352" t="str">
        <f>IF(I352="","",_xlfn.XLOOKUP(I352,Lists!$C:$C,Lists!$J:$J))</f>
        <v/>
      </c>
      <c r="P352" t="str">
        <f>IF(I352="","",_xlfn.XLOOKUP(I352,Lists!$C:$C,Lists!$E:$E))</f>
        <v/>
      </c>
      <c r="Q352" s="21" t="str">
        <f t="shared" si="29"/>
        <v/>
      </c>
      <c r="R352" t="str">
        <f t="shared" si="30"/>
        <v/>
      </c>
      <c r="S352" t="str">
        <f>IF(I352="","",_xlfn.XLOOKUP(I352,Lists!$C:$C,Lists!$I:$I))</f>
        <v/>
      </c>
    </row>
    <row r="353" spans="8:8">
      <c r="C353">
        <f>_xlfn.XLOOKUP(B353,Lists!B:B,Lists!A:A,"")</f>
        <v>0.0</v>
      </c>
      <c r="G353" t="str">
        <f t="shared" si="26"/>
        <v/>
      </c>
      <c r="H353" s="20" t="str">
        <f t="shared" si="27"/>
        <v/>
      </c>
      <c r="J353" t="str">
        <f>IF(I353="","",_xlfn.XLOOKUP(I353,Lists!$C:$C,Lists!$D:$D))</f>
        <v/>
      </c>
      <c r="N353" t="str">
        <f t="shared" si="28"/>
        <v/>
      </c>
      <c r="O353" t="str">
        <f>IF(I353="","",_xlfn.XLOOKUP(I353,Lists!$C:$C,Lists!$J:$J))</f>
        <v/>
      </c>
      <c r="P353" t="str">
        <f>IF(I353="","",_xlfn.XLOOKUP(I353,Lists!$C:$C,Lists!$E:$E))</f>
        <v/>
      </c>
      <c r="Q353" s="21" t="str">
        <f t="shared" si="29"/>
        <v/>
      </c>
      <c r="R353" t="str">
        <f t="shared" si="30"/>
        <v/>
      </c>
      <c r="S353" t="str">
        <f>IF(I353="","",_xlfn.XLOOKUP(I353,Lists!$C:$C,Lists!$I:$I))</f>
        <v/>
      </c>
    </row>
    <row r="354" spans="8:8">
      <c r="C354">
        <f>_xlfn.XLOOKUP(B354,Lists!B:B,Lists!A:A,"")</f>
        <v>0.0</v>
      </c>
      <c r="G354" t="str">
        <f t="shared" si="26"/>
        <v/>
      </c>
      <c r="H354" s="20" t="str">
        <f t="shared" si="27"/>
        <v/>
      </c>
      <c r="J354" t="str">
        <f>IF(I354="","",_xlfn.XLOOKUP(I354,Lists!$C:$C,Lists!$D:$D))</f>
        <v/>
      </c>
      <c r="N354" t="str">
        <f t="shared" si="28"/>
        <v/>
      </c>
      <c r="O354" t="str">
        <f>IF(I354="","",_xlfn.XLOOKUP(I354,Lists!$C:$C,Lists!$J:$J))</f>
        <v/>
      </c>
      <c r="P354" t="str">
        <f>IF(I354="","",_xlfn.XLOOKUP(I354,Lists!$C:$C,Lists!$E:$E))</f>
        <v/>
      </c>
      <c r="Q354" s="21" t="str">
        <f t="shared" si="29"/>
        <v/>
      </c>
      <c r="R354" t="str">
        <f t="shared" si="30"/>
        <v/>
      </c>
      <c r="S354" t="str">
        <f>IF(I354="","",_xlfn.XLOOKUP(I354,Lists!$C:$C,Lists!$I:$I))</f>
        <v/>
      </c>
    </row>
    <row r="355" spans="8:8">
      <c r="C355">
        <f>_xlfn.XLOOKUP(B355,Lists!B:B,Lists!A:A,"")</f>
        <v>0.0</v>
      </c>
      <c r="G355" t="str">
        <f t="shared" si="26"/>
        <v/>
      </c>
      <c r="H355" s="20" t="str">
        <f t="shared" si="27"/>
        <v/>
      </c>
      <c r="J355" t="str">
        <f>IF(I355="","",_xlfn.XLOOKUP(I355,Lists!$C:$C,Lists!$D:$D))</f>
        <v/>
      </c>
      <c r="N355" t="str">
        <f t="shared" si="28"/>
        <v/>
      </c>
      <c r="O355" t="str">
        <f>IF(I355="","",_xlfn.XLOOKUP(I355,Lists!$C:$C,Lists!$J:$J))</f>
        <v/>
      </c>
      <c r="P355" t="str">
        <f>IF(I355="","",_xlfn.XLOOKUP(I355,Lists!$C:$C,Lists!$E:$E))</f>
        <v/>
      </c>
      <c r="Q355" s="21" t="str">
        <f t="shared" si="29"/>
        <v/>
      </c>
      <c r="R355" t="str">
        <f t="shared" si="30"/>
        <v/>
      </c>
      <c r="S355" t="str">
        <f>IF(I355="","",_xlfn.XLOOKUP(I355,Lists!$C:$C,Lists!$I:$I))</f>
        <v/>
      </c>
    </row>
    <row r="356" spans="8:8">
      <c r="C356">
        <f>_xlfn.XLOOKUP(B356,Lists!B:B,Lists!A:A,"")</f>
        <v>0.0</v>
      </c>
      <c r="G356" t="str">
        <f t="shared" si="26"/>
        <v/>
      </c>
      <c r="H356" s="20" t="str">
        <f t="shared" si="27"/>
        <v/>
      </c>
      <c r="J356" t="str">
        <f>IF(I356="","",_xlfn.XLOOKUP(I356,Lists!$C:$C,Lists!$D:$D))</f>
        <v/>
      </c>
      <c r="N356" t="str">
        <f t="shared" si="28"/>
        <v/>
      </c>
      <c r="O356" t="str">
        <f>IF(I356="","",_xlfn.XLOOKUP(I356,Lists!$C:$C,Lists!$J:$J))</f>
        <v/>
      </c>
      <c r="P356" t="str">
        <f>IF(I356="","",_xlfn.XLOOKUP(I356,Lists!$C:$C,Lists!$E:$E))</f>
        <v/>
      </c>
      <c r="Q356" s="21" t="str">
        <f t="shared" si="29"/>
        <v/>
      </c>
      <c r="R356" t="str">
        <f t="shared" si="30"/>
        <v/>
      </c>
      <c r="S356" t="str">
        <f>IF(I356="","",_xlfn.XLOOKUP(I356,Lists!$C:$C,Lists!$I:$I))</f>
        <v/>
      </c>
    </row>
    <row r="357" spans="8:8">
      <c r="C357">
        <f>_xlfn.XLOOKUP(B357,Lists!B:B,Lists!A:A,"")</f>
        <v>0.0</v>
      </c>
      <c r="G357" t="str">
        <f t="shared" si="26"/>
        <v/>
      </c>
      <c r="H357" s="20" t="str">
        <f t="shared" si="27"/>
        <v/>
      </c>
      <c r="J357" t="str">
        <f>IF(I357="","",_xlfn.XLOOKUP(I357,Lists!$C:$C,Lists!$D:$D))</f>
        <v/>
      </c>
      <c r="N357" t="str">
        <f t="shared" si="28"/>
        <v/>
      </c>
      <c r="O357" t="str">
        <f>IF(I357="","",_xlfn.XLOOKUP(I357,Lists!$C:$C,Lists!$J:$J))</f>
        <v/>
      </c>
      <c r="P357" t="str">
        <f>IF(I357="","",_xlfn.XLOOKUP(I357,Lists!$C:$C,Lists!$E:$E))</f>
        <v/>
      </c>
      <c r="Q357" s="21" t="str">
        <f t="shared" si="29"/>
        <v/>
      </c>
      <c r="R357" t="str">
        <f t="shared" si="30"/>
        <v/>
      </c>
      <c r="S357" t="str">
        <f>IF(I357="","",_xlfn.XLOOKUP(I357,Lists!$C:$C,Lists!$I:$I))</f>
        <v/>
      </c>
    </row>
    <row r="358" spans="8:8">
      <c r="C358">
        <f>_xlfn.XLOOKUP(B358,Lists!B:B,Lists!A:A,"")</f>
        <v>0.0</v>
      </c>
      <c r="G358" t="str">
        <f t="shared" si="26"/>
        <v/>
      </c>
      <c r="H358" s="20" t="str">
        <f t="shared" si="27"/>
        <v/>
      </c>
      <c r="J358" t="str">
        <f>IF(I358="","",_xlfn.XLOOKUP(I358,Lists!$C:$C,Lists!$D:$D))</f>
        <v/>
      </c>
      <c r="N358" t="str">
        <f t="shared" si="28"/>
        <v/>
      </c>
      <c r="O358" t="str">
        <f>IF(I358="","",_xlfn.XLOOKUP(I358,Lists!$C:$C,Lists!$J:$J))</f>
        <v/>
      </c>
      <c r="P358" t="str">
        <f>IF(I358="","",_xlfn.XLOOKUP(I358,Lists!$C:$C,Lists!$E:$E))</f>
        <v/>
      </c>
      <c r="Q358" s="21" t="str">
        <f t="shared" si="29"/>
        <v/>
      </c>
      <c r="R358" t="str">
        <f t="shared" si="30"/>
        <v/>
      </c>
      <c r="S358" t="str">
        <f>IF(I358="","",_xlfn.XLOOKUP(I358,Lists!$C:$C,Lists!$I:$I))</f>
        <v/>
      </c>
    </row>
    <row r="359" spans="8:8">
      <c r="C359">
        <f>_xlfn.XLOOKUP(B359,Lists!B:B,Lists!A:A,"")</f>
        <v>0.0</v>
      </c>
      <c r="G359" t="str">
        <f t="shared" si="26"/>
        <v/>
      </c>
      <c r="H359" s="20" t="str">
        <f t="shared" si="27"/>
        <v/>
      </c>
      <c r="J359" t="str">
        <f>IF(I359="","",_xlfn.XLOOKUP(I359,Lists!$C:$C,Lists!$D:$D))</f>
        <v/>
      </c>
      <c r="N359" t="str">
        <f t="shared" si="28"/>
        <v/>
      </c>
      <c r="O359" t="str">
        <f>IF(I359="","",_xlfn.XLOOKUP(I359,Lists!$C:$C,Lists!$J:$J))</f>
        <v/>
      </c>
      <c r="P359" t="str">
        <f>IF(I359="","",_xlfn.XLOOKUP(I359,Lists!$C:$C,Lists!$E:$E))</f>
        <v/>
      </c>
      <c r="Q359" s="21" t="str">
        <f t="shared" si="29"/>
        <v/>
      </c>
      <c r="R359" t="str">
        <f t="shared" si="30"/>
        <v/>
      </c>
      <c r="S359" t="str">
        <f>IF(I359="","",_xlfn.XLOOKUP(I359,Lists!$C:$C,Lists!$I:$I))</f>
        <v/>
      </c>
    </row>
    <row r="360" spans="8:8">
      <c r="C360">
        <f>_xlfn.XLOOKUP(B360,Lists!B:B,Lists!A:A,"")</f>
        <v>0.0</v>
      </c>
      <c r="G360" t="str">
        <f t="shared" si="26"/>
        <v/>
      </c>
      <c r="H360" s="20" t="str">
        <f t="shared" si="27"/>
        <v/>
      </c>
      <c r="J360" t="str">
        <f>IF(I360="","",_xlfn.XLOOKUP(I360,Lists!$C:$C,Lists!$D:$D))</f>
        <v/>
      </c>
      <c r="N360" t="str">
        <f t="shared" si="28"/>
        <v/>
      </c>
      <c r="O360" t="str">
        <f>IF(I360="","",_xlfn.XLOOKUP(I360,Lists!$C:$C,Lists!$J:$J))</f>
        <v/>
      </c>
      <c r="P360" t="str">
        <f>IF(I360="","",_xlfn.XLOOKUP(I360,Lists!$C:$C,Lists!$E:$E))</f>
        <v/>
      </c>
      <c r="Q360" s="21" t="str">
        <f t="shared" si="29"/>
        <v/>
      </c>
      <c r="R360" t="str">
        <f t="shared" si="30"/>
        <v/>
      </c>
      <c r="S360" t="str">
        <f>IF(I360="","",_xlfn.XLOOKUP(I360,Lists!$C:$C,Lists!$I:$I))</f>
        <v/>
      </c>
    </row>
    <row r="361" spans="8:8">
      <c r="C361">
        <f>_xlfn.XLOOKUP(B361,Lists!B:B,Lists!A:A,"")</f>
        <v>0.0</v>
      </c>
      <c r="G361" t="str">
        <f t="shared" si="26"/>
        <v/>
      </c>
      <c r="H361" s="20" t="str">
        <f t="shared" si="27"/>
        <v/>
      </c>
      <c r="J361" t="str">
        <f>IF(I361="","",_xlfn.XLOOKUP(I361,Lists!$C:$C,Lists!$D:$D))</f>
        <v/>
      </c>
      <c r="N361" t="str">
        <f t="shared" si="28"/>
        <v/>
      </c>
      <c r="O361" t="str">
        <f>IF(I361="","",_xlfn.XLOOKUP(I361,Lists!$C:$C,Lists!$J:$J))</f>
        <v/>
      </c>
      <c r="P361" t="str">
        <f>IF(I361="","",_xlfn.XLOOKUP(I361,Lists!$C:$C,Lists!$E:$E))</f>
        <v/>
      </c>
      <c r="Q361" s="21" t="str">
        <f t="shared" si="29"/>
        <v/>
      </c>
      <c r="R361" t="str">
        <f t="shared" si="30"/>
        <v/>
      </c>
      <c r="S361" t="str">
        <f>IF(I361="","",_xlfn.XLOOKUP(I361,Lists!$C:$C,Lists!$I:$I))</f>
        <v/>
      </c>
    </row>
    <row r="362" spans="8:8">
      <c r="C362">
        <f>_xlfn.XLOOKUP(B362,Lists!B:B,Lists!A:A,"")</f>
        <v>0.0</v>
      </c>
      <c r="G362" t="str">
        <f t="shared" si="26"/>
        <v/>
      </c>
      <c r="H362" s="20" t="str">
        <f t="shared" si="27"/>
        <v/>
      </c>
      <c r="J362" t="str">
        <f>IF(I362="","",_xlfn.XLOOKUP(I362,Lists!$C:$C,Lists!$D:$D))</f>
        <v/>
      </c>
      <c r="N362" t="str">
        <f t="shared" si="28"/>
        <v/>
      </c>
      <c r="O362" t="str">
        <f>IF(I362="","",_xlfn.XLOOKUP(I362,Lists!$C:$C,Lists!$J:$J))</f>
        <v/>
      </c>
      <c r="P362" t="str">
        <f>IF(I362="","",_xlfn.XLOOKUP(I362,Lists!$C:$C,Lists!$E:$E))</f>
        <v/>
      </c>
      <c r="Q362" s="21" t="str">
        <f t="shared" si="29"/>
        <v/>
      </c>
      <c r="R362" t="str">
        <f t="shared" si="30"/>
        <v/>
      </c>
      <c r="S362" t="str">
        <f>IF(I362="","",_xlfn.XLOOKUP(I362,Lists!$C:$C,Lists!$I:$I))</f>
        <v/>
      </c>
    </row>
    <row r="363" spans="8:8">
      <c r="C363">
        <f>_xlfn.XLOOKUP(B363,Lists!B:B,Lists!A:A,"")</f>
        <v>0.0</v>
      </c>
      <c r="G363" t="str">
        <f t="shared" si="26"/>
        <v/>
      </c>
      <c r="H363" s="20" t="str">
        <f t="shared" si="27"/>
        <v/>
      </c>
      <c r="J363" t="str">
        <f>IF(I363="","",_xlfn.XLOOKUP(I363,Lists!$C:$C,Lists!$D:$D))</f>
        <v/>
      </c>
      <c r="N363" t="str">
        <f t="shared" si="28"/>
        <v/>
      </c>
      <c r="O363" t="str">
        <f>IF(I363="","",_xlfn.XLOOKUP(I363,Lists!$C:$C,Lists!$J:$J))</f>
        <v/>
      </c>
      <c r="P363" t="str">
        <f>IF(I363="","",_xlfn.XLOOKUP(I363,Lists!$C:$C,Lists!$E:$E))</f>
        <v/>
      </c>
      <c r="Q363" s="21" t="str">
        <f t="shared" si="29"/>
        <v/>
      </c>
      <c r="R363" t="str">
        <f t="shared" si="30"/>
        <v/>
      </c>
      <c r="S363" t="str">
        <f>IF(I363="","",_xlfn.XLOOKUP(I363,Lists!$C:$C,Lists!$I:$I))</f>
        <v/>
      </c>
    </row>
    <row r="364" spans="8:8">
      <c r="C364">
        <f>_xlfn.XLOOKUP(B364,Lists!B:B,Lists!A:A,"")</f>
        <v>0.0</v>
      </c>
      <c r="G364" t="str">
        <f t="shared" si="26"/>
        <v/>
      </c>
      <c r="H364" s="20" t="str">
        <f t="shared" si="27"/>
        <v/>
      </c>
      <c r="J364" t="str">
        <f>IF(I364="","",_xlfn.XLOOKUP(I364,Lists!$C:$C,Lists!$D:$D))</f>
        <v/>
      </c>
      <c r="N364" t="str">
        <f t="shared" si="28"/>
        <v/>
      </c>
      <c r="O364" t="str">
        <f>IF(I364="","",_xlfn.XLOOKUP(I364,Lists!$C:$C,Lists!$J:$J))</f>
        <v/>
      </c>
      <c r="P364" t="str">
        <f>IF(I364="","",_xlfn.XLOOKUP(I364,Lists!$C:$C,Lists!$E:$E))</f>
        <v/>
      </c>
      <c r="Q364" s="21" t="str">
        <f t="shared" si="29"/>
        <v/>
      </c>
      <c r="R364" t="str">
        <f t="shared" si="30"/>
        <v/>
      </c>
      <c r="S364" t="str">
        <f>IF(I364="","",_xlfn.XLOOKUP(I364,Lists!$C:$C,Lists!$I:$I))</f>
        <v/>
      </c>
    </row>
    <row r="365" spans="8:8">
      <c r="C365">
        <f>_xlfn.XLOOKUP(B365,Lists!B:B,Lists!A:A,"")</f>
        <v>0.0</v>
      </c>
      <c r="G365" t="str">
        <f t="shared" si="26"/>
        <v/>
      </c>
      <c r="H365" s="20" t="str">
        <f t="shared" si="27"/>
        <v/>
      </c>
      <c r="J365" t="str">
        <f>IF(I365="","",_xlfn.XLOOKUP(I365,Lists!$C:$C,Lists!$D:$D))</f>
        <v/>
      </c>
      <c r="N365" t="str">
        <f t="shared" si="28"/>
        <v/>
      </c>
      <c r="O365" t="str">
        <f>IF(I365="","",_xlfn.XLOOKUP(I365,Lists!$C:$C,Lists!$J:$J))</f>
        <v/>
      </c>
      <c r="P365" t="str">
        <f>IF(I365="","",_xlfn.XLOOKUP(I365,Lists!$C:$C,Lists!$E:$E))</f>
        <v/>
      </c>
      <c r="Q365" s="21" t="str">
        <f t="shared" si="29"/>
        <v/>
      </c>
      <c r="R365" t="str">
        <f t="shared" si="30"/>
        <v/>
      </c>
      <c r="S365" t="str">
        <f>IF(I365="","",_xlfn.XLOOKUP(I365,Lists!$C:$C,Lists!$I:$I))</f>
        <v/>
      </c>
    </row>
    <row r="366" spans="8:8">
      <c r="C366">
        <f>_xlfn.XLOOKUP(B366,Lists!B:B,Lists!A:A,"")</f>
        <v>0.0</v>
      </c>
      <c r="G366" t="str">
        <f t="shared" si="26"/>
        <v/>
      </c>
      <c r="H366" s="20" t="str">
        <f t="shared" si="27"/>
        <v/>
      </c>
      <c r="J366" t="str">
        <f>IF(I366="","",_xlfn.XLOOKUP(I366,Lists!$C:$C,Lists!$D:$D))</f>
        <v/>
      </c>
      <c r="N366" t="str">
        <f t="shared" si="28"/>
        <v/>
      </c>
      <c r="O366" t="str">
        <f>IF(I366="","",_xlfn.XLOOKUP(I366,Lists!$C:$C,Lists!$J:$J))</f>
        <v/>
      </c>
      <c r="P366" t="str">
        <f>IF(I366="","",_xlfn.XLOOKUP(I366,Lists!$C:$C,Lists!$E:$E))</f>
        <v/>
      </c>
      <c r="Q366" s="21" t="str">
        <f t="shared" si="29"/>
        <v/>
      </c>
      <c r="R366" t="str">
        <f t="shared" si="30"/>
        <v/>
      </c>
      <c r="S366" t="str">
        <f>IF(I366="","",_xlfn.XLOOKUP(I366,Lists!$C:$C,Lists!$I:$I))</f>
        <v/>
      </c>
    </row>
    <row r="367" spans="8:8">
      <c r="C367">
        <f>_xlfn.XLOOKUP(B367,Lists!B:B,Lists!A:A,"")</f>
        <v>0.0</v>
      </c>
      <c r="G367" t="str">
        <f t="shared" si="26"/>
        <v/>
      </c>
      <c r="H367" s="20" t="str">
        <f t="shared" si="27"/>
        <v/>
      </c>
      <c r="J367" t="str">
        <f>IF(I367="","",_xlfn.XLOOKUP(I367,Lists!$C:$C,Lists!$D:$D))</f>
        <v/>
      </c>
      <c r="N367" t="str">
        <f t="shared" si="28"/>
        <v/>
      </c>
      <c r="O367" t="str">
        <f>IF(I367="","",_xlfn.XLOOKUP(I367,Lists!$C:$C,Lists!$J:$J))</f>
        <v/>
      </c>
      <c r="P367" t="str">
        <f>IF(I367="","",_xlfn.XLOOKUP(I367,Lists!$C:$C,Lists!$E:$E))</f>
        <v/>
      </c>
      <c r="Q367" s="21" t="str">
        <f t="shared" si="29"/>
        <v/>
      </c>
      <c r="R367" t="str">
        <f t="shared" si="30"/>
        <v/>
      </c>
      <c r="S367" t="str">
        <f>IF(I367="","",_xlfn.XLOOKUP(I367,Lists!$C:$C,Lists!$I:$I))</f>
        <v/>
      </c>
    </row>
    <row r="368" spans="8:8">
      <c r="C368">
        <f>_xlfn.XLOOKUP(B368,Lists!B:B,Lists!A:A,"")</f>
        <v>0.0</v>
      </c>
      <c r="G368" t="str">
        <f t="shared" si="26"/>
        <v/>
      </c>
      <c r="H368" s="20" t="str">
        <f t="shared" si="27"/>
        <v/>
      </c>
      <c r="J368" t="str">
        <f>IF(I368="","",_xlfn.XLOOKUP(I368,Lists!$C:$C,Lists!$D:$D))</f>
        <v/>
      </c>
      <c r="N368" t="str">
        <f t="shared" si="28"/>
        <v/>
      </c>
      <c r="O368" t="str">
        <f>IF(I368="","",_xlfn.XLOOKUP(I368,Lists!$C:$C,Lists!$J:$J))</f>
        <v/>
      </c>
      <c r="P368" t="str">
        <f>IF(I368="","",_xlfn.XLOOKUP(I368,Lists!$C:$C,Lists!$E:$E))</f>
        <v/>
      </c>
      <c r="Q368" s="21" t="str">
        <f t="shared" si="29"/>
        <v/>
      </c>
      <c r="R368" t="str">
        <f t="shared" si="30"/>
        <v/>
      </c>
      <c r="S368" t="str">
        <f>IF(I368="","",_xlfn.XLOOKUP(I368,Lists!$C:$C,Lists!$I:$I))</f>
        <v/>
      </c>
    </row>
    <row r="369" spans="8:8">
      <c r="C369">
        <f>_xlfn.XLOOKUP(B369,Lists!B:B,Lists!A:A,"")</f>
        <v>0.0</v>
      </c>
      <c r="G369" t="str">
        <f t="shared" si="26"/>
        <v/>
      </c>
      <c r="H369" s="20" t="str">
        <f t="shared" si="27"/>
        <v/>
      </c>
      <c r="J369" t="str">
        <f>IF(I369="","",_xlfn.XLOOKUP(I369,Lists!$C:$C,Lists!$D:$D))</f>
        <v/>
      </c>
      <c r="N369" t="str">
        <f t="shared" si="28"/>
        <v/>
      </c>
      <c r="O369" t="str">
        <f>IF(I369="","",_xlfn.XLOOKUP(I369,Lists!$C:$C,Lists!$J:$J))</f>
        <v/>
      </c>
      <c r="P369" t="str">
        <f>IF(I369="","",_xlfn.XLOOKUP(I369,Lists!$C:$C,Lists!$E:$E))</f>
        <v/>
      </c>
      <c r="Q369" s="21" t="str">
        <f t="shared" si="29"/>
        <v/>
      </c>
      <c r="R369" t="str">
        <f t="shared" si="30"/>
        <v/>
      </c>
      <c r="S369" t="str">
        <f>IF(I369="","",_xlfn.XLOOKUP(I369,Lists!$C:$C,Lists!$I:$I))</f>
        <v/>
      </c>
    </row>
    <row r="370" spans="8:8">
      <c r="C370">
        <f>_xlfn.XLOOKUP(B370,Lists!B:B,Lists!A:A,"")</f>
        <v>0.0</v>
      </c>
      <c r="G370" t="str">
        <f t="shared" si="26"/>
        <v/>
      </c>
      <c r="H370" s="20" t="str">
        <f t="shared" si="27"/>
        <v/>
      </c>
      <c r="J370" t="str">
        <f>IF(I370="","",_xlfn.XLOOKUP(I370,Lists!$C:$C,Lists!$D:$D))</f>
        <v/>
      </c>
      <c r="N370" t="str">
        <f t="shared" si="28"/>
        <v/>
      </c>
      <c r="O370" t="str">
        <f>IF(I370="","",_xlfn.XLOOKUP(I370,Lists!$C:$C,Lists!$J:$J))</f>
        <v/>
      </c>
      <c r="P370" t="str">
        <f>IF(I370="","",_xlfn.XLOOKUP(I370,Lists!$C:$C,Lists!$E:$E))</f>
        <v/>
      </c>
      <c r="Q370" s="21" t="str">
        <f t="shared" si="29"/>
        <v/>
      </c>
      <c r="R370" t="str">
        <f t="shared" si="30"/>
        <v/>
      </c>
      <c r="S370" t="str">
        <f>IF(I370="","",_xlfn.XLOOKUP(I370,Lists!$C:$C,Lists!$I:$I))</f>
        <v/>
      </c>
    </row>
    <row r="371" spans="8:8">
      <c r="C371">
        <f>_xlfn.XLOOKUP(B371,Lists!B:B,Lists!A:A,"")</f>
        <v>0.0</v>
      </c>
      <c r="G371" t="str">
        <f t="shared" si="26"/>
        <v/>
      </c>
      <c r="H371" s="20" t="str">
        <f t="shared" si="27"/>
        <v/>
      </c>
      <c r="J371" t="str">
        <f>IF(I371="","",_xlfn.XLOOKUP(I371,Lists!$C:$C,Lists!$D:$D))</f>
        <v/>
      </c>
      <c r="N371" t="str">
        <f t="shared" si="28"/>
        <v/>
      </c>
      <c r="O371" t="str">
        <f>IF(I371="","",_xlfn.XLOOKUP(I371,Lists!$C:$C,Lists!$J:$J))</f>
        <v/>
      </c>
      <c r="P371" t="str">
        <f>IF(I371="","",_xlfn.XLOOKUP(I371,Lists!$C:$C,Lists!$E:$E))</f>
        <v/>
      </c>
      <c r="Q371" s="21" t="str">
        <f t="shared" si="29"/>
        <v/>
      </c>
      <c r="R371" t="str">
        <f t="shared" si="30"/>
        <v/>
      </c>
      <c r="S371" t="str">
        <f>IF(I371="","",_xlfn.XLOOKUP(I371,Lists!$C:$C,Lists!$I:$I))</f>
        <v/>
      </c>
    </row>
    <row r="372" spans="8:8">
      <c r="C372">
        <f>_xlfn.XLOOKUP(B372,Lists!B:B,Lists!A:A,"")</f>
        <v>0.0</v>
      </c>
      <c r="G372" t="str">
        <f t="shared" si="26"/>
        <v/>
      </c>
      <c r="H372" s="20" t="str">
        <f t="shared" si="27"/>
        <v/>
      </c>
      <c r="J372" t="str">
        <f>IF(I372="","",_xlfn.XLOOKUP(I372,Lists!$C:$C,Lists!$D:$D))</f>
        <v/>
      </c>
      <c r="N372" t="str">
        <f t="shared" si="28"/>
        <v/>
      </c>
      <c r="O372" t="str">
        <f>IF(I372="","",_xlfn.XLOOKUP(I372,Lists!$C:$C,Lists!$J:$J))</f>
        <v/>
      </c>
      <c r="P372" t="str">
        <f>IF(I372="","",_xlfn.XLOOKUP(I372,Lists!$C:$C,Lists!$E:$E))</f>
        <v/>
      </c>
      <c r="Q372" s="21" t="str">
        <f t="shared" si="29"/>
        <v/>
      </c>
      <c r="R372" t="str">
        <f t="shared" si="30"/>
        <v/>
      </c>
      <c r="S372" t="str">
        <f>IF(I372="","",_xlfn.XLOOKUP(I372,Lists!$C:$C,Lists!$I:$I))</f>
        <v/>
      </c>
    </row>
    <row r="373" spans="8:8">
      <c r="C373">
        <f>_xlfn.XLOOKUP(B373,Lists!B:B,Lists!A:A,"")</f>
        <v>0.0</v>
      </c>
      <c r="G373" t="str">
        <f t="shared" si="26"/>
        <v/>
      </c>
      <c r="H373" s="20" t="str">
        <f t="shared" si="27"/>
        <v/>
      </c>
      <c r="J373" t="str">
        <f>IF(I373="","",_xlfn.XLOOKUP(I373,Lists!$C:$C,Lists!$D:$D))</f>
        <v/>
      </c>
      <c r="N373" t="str">
        <f t="shared" si="28"/>
        <v/>
      </c>
      <c r="O373" t="str">
        <f>IF(I373="","",_xlfn.XLOOKUP(I373,Lists!$C:$C,Lists!$J:$J))</f>
        <v/>
      </c>
      <c r="P373" t="str">
        <f>IF(I373="","",_xlfn.XLOOKUP(I373,Lists!$C:$C,Lists!$E:$E))</f>
        <v/>
      </c>
      <c r="Q373" s="21" t="str">
        <f t="shared" si="29"/>
        <v/>
      </c>
      <c r="R373" t="str">
        <f t="shared" si="30"/>
        <v/>
      </c>
      <c r="S373" t="str">
        <f>IF(I373="","",_xlfn.XLOOKUP(I373,Lists!$C:$C,Lists!$I:$I))</f>
        <v/>
      </c>
    </row>
    <row r="374" spans="8:8">
      <c r="C374">
        <f>_xlfn.XLOOKUP(B374,Lists!B:B,Lists!A:A,"")</f>
        <v>0.0</v>
      </c>
      <c r="G374" t="str">
        <f t="shared" si="26"/>
        <v/>
      </c>
      <c r="H374" s="20" t="str">
        <f t="shared" si="27"/>
        <v/>
      </c>
      <c r="J374" t="str">
        <f>IF(I374="","",_xlfn.XLOOKUP(I374,Lists!$C:$C,Lists!$D:$D))</f>
        <v/>
      </c>
      <c r="N374" t="str">
        <f t="shared" si="28"/>
        <v/>
      </c>
      <c r="O374" t="str">
        <f>IF(I374="","",_xlfn.XLOOKUP(I374,Lists!$C:$C,Lists!$J:$J))</f>
        <v/>
      </c>
      <c r="P374" t="str">
        <f>IF(I374="","",_xlfn.XLOOKUP(I374,Lists!$C:$C,Lists!$E:$E))</f>
        <v/>
      </c>
      <c r="Q374" s="21" t="str">
        <f t="shared" si="29"/>
        <v/>
      </c>
      <c r="R374" t="str">
        <f t="shared" si="30"/>
        <v/>
      </c>
      <c r="S374" t="str">
        <f>IF(I374="","",_xlfn.XLOOKUP(I374,Lists!$C:$C,Lists!$I:$I))</f>
        <v/>
      </c>
    </row>
    <row r="375" spans="8:8">
      <c r="C375">
        <f>_xlfn.XLOOKUP(B375,Lists!B:B,Lists!A:A,"")</f>
        <v>0.0</v>
      </c>
      <c r="G375" t="str">
        <f t="shared" si="26"/>
        <v/>
      </c>
      <c r="H375" s="20" t="str">
        <f t="shared" si="27"/>
        <v/>
      </c>
      <c r="J375" t="str">
        <f>IF(I375="","",_xlfn.XLOOKUP(I375,Lists!$C:$C,Lists!$D:$D))</f>
        <v/>
      </c>
      <c r="N375" t="str">
        <f t="shared" si="28"/>
        <v/>
      </c>
      <c r="O375" t="str">
        <f>IF(I375="","",_xlfn.XLOOKUP(I375,Lists!$C:$C,Lists!$J:$J))</f>
        <v/>
      </c>
      <c r="P375" t="str">
        <f>IF(I375="","",_xlfn.XLOOKUP(I375,Lists!$C:$C,Lists!$E:$E))</f>
        <v/>
      </c>
      <c r="Q375" s="21" t="str">
        <f t="shared" si="29"/>
        <v/>
      </c>
      <c r="R375" t="str">
        <f t="shared" si="30"/>
        <v/>
      </c>
      <c r="S375" t="str">
        <f>IF(I375="","",_xlfn.XLOOKUP(I375,Lists!$C:$C,Lists!$I:$I))</f>
        <v/>
      </c>
    </row>
    <row r="376" spans="8:8">
      <c r="C376">
        <f>_xlfn.XLOOKUP(B376,Lists!B:B,Lists!A:A,"")</f>
        <v>0.0</v>
      </c>
      <c r="G376" t="str">
        <f t="shared" si="26"/>
        <v/>
      </c>
      <c r="H376" s="20" t="str">
        <f t="shared" si="27"/>
        <v/>
      </c>
      <c r="J376" t="str">
        <f>IF(I376="","",_xlfn.XLOOKUP(I376,Lists!$C:$C,Lists!$D:$D))</f>
        <v/>
      </c>
      <c r="N376" t="str">
        <f t="shared" si="28"/>
        <v/>
      </c>
      <c r="O376" t="str">
        <f>IF(I376="","",_xlfn.XLOOKUP(I376,Lists!$C:$C,Lists!$J:$J))</f>
        <v/>
      </c>
      <c r="P376" t="str">
        <f>IF(I376="","",_xlfn.XLOOKUP(I376,Lists!$C:$C,Lists!$E:$E))</f>
        <v/>
      </c>
      <c r="Q376" s="21" t="str">
        <f t="shared" si="29"/>
        <v/>
      </c>
      <c r="R376" t="str">
        <f t="shared" si="30"/>
        <v/>
      </c>
      <c r="S376" t="str">
        <f>IF(I376="","",_xlfn.XLOOKUP(I376,Lists!$C:$C,Lists!$I:$I))</f>
        <v/>
      </c>
    </row>
    <row r="377" spans="8:8">
      <c r="C377">
        <f>_xlfn.XLOOKUP(B377,Lists!B:B,Lists!A:A,"")</f>
        <v>0.0</v>
      </c>
      <c r="G377" t="str">
        <f t="shared" si="26"/>
        <v/>
      </c>
      <c r="H377" s="20" t="str">
        <f t="shared" si="27"/>
        <v/>
      </c>
      <c r="J377" t="str">
        <f>IF(I377="","",_xlfn.XLOOKUP(I377,Lists!$C:$C,Lists!$D:$D))</f>
        <v/>
      </c>
      <c r="N377" t="str">
        <f t="shared" si="28"/>
        <v/>
      </c>
      <c r="O377" t="str">
        <f>IF(I377="","",_xlfn.XLOOKUP(I377,Lists!$C:$C,Lists!$J:$J))</f>
        <v/>
      </c>
      <c r="P377" t="str">
        <f>IF(I377="","",_xlfn.XLOOKUP(I377,Lists!$C:$C,Lists!$E:$E))</f>
        <v/>
      </c>
      <c r="Q377" s="21" t="str">
        <f t="shared" si="29"/>
        <v/>
      </c>
      <c r="R377" t="str">
        <f t="shared" si="30"/>
        <v/>
      </c>
      <c r="S377" t="str">
        <f>IF(I377="","",_xlfn.XLOOKUP(I377,Lists!$C:$C,Lists!$I:$I))</f>
        <v/>
      </c>
    </row>
    <row r="378" spans="8:8">
      <c r="C378">
        <f>_xlfn.XLOOKUP(B378,Lists!B:B,Lists!A:A,"")</f>
        <v>0.0</v>
      </c>
      <c r="G378" t="str">
        <f t="shared" si="26"/>
        <v/>
      </c>
      <c r="H378" s="20" t="str">
        <f t="shared" si="27"/>
        <v/>
      </c>
      <c r="J378" t="str">
        <f>IF(I378="","",_xlfn.XLOOKUP(I378,Lists!$C:$C,Lists!$D:$D))</f>
        <v/>
      </c>
      <c r="N378" t="str">
        <f t="shared" si="28"/>
        <v/>
      </c>
      <c r="O378" t="str">
        <f>IF(I378="","",_xlfn.XLOOKUP(I378,Lists!$C:$C,Lists!$J:$J))</f>
        <v/>
      </c>
      <c r="P378" t="str">
        <f>IF(I378="","",_xlfn.XLOOKUP(I378,Lists!$C:$C,Lists!$E:$E))</f>
        <v/>
      </c>
      <c r="Q378" s="21" t="str">
        <f t="shared" si="29"/>
        <v/>
      </c>
      <c r="R378" t="str">
        <f t="shared" si="30"/>
        <v/>
      </c>
      <c r="S378" t="str">
        <f>IF(I378="","",_xlfn.XLOOKUP(I378,Lists!$C:$C,Lists!$I:$I))</f>
        <v/>
      </c>
    </row>
    <row r="379" spans="8:8">
      <c r="C379">
        <f>_xlfn.XLOOKUP(B379,Lists!B:B,Lists!A:A,"")</f>
        <v>0.0</v>
      </c>
      <c r="G379" t="str">
        <f t="shared" si="26"/>
        <v/>
      </c>
      <c r="H379" s="20" t="str">
        <f t="shared" si="27"/>
        <v/>
      </c>
      <c r="J379" t="str">
        <f>IF(I379="","",_xlfn.XLOOKUP(I379,Lists!$C:$C,Lists!$D:$D))</f>
        <v/>
      </c>
      <c r="N379" t="str">
        <f t="shared" si="28"/>
        <v/>
      </c>
      <c r="O379" t="str">
        <f>IF(I379="","",_xlfn.XLOOKUP(I379,Lists!$C:$C,Lists!$J:$J))</f>
        <v/>
      </c>
      <c r="P379" t="str">
        <f>IF(I379="","",_xlfn.XLOOKUP(I379,Lists!$C:$C,Lists!$E:$E))</f>
        <v/>
      </c>
      <c r="Q379" s="21" t="str">
        <f t="shared" si="29"/>
        <v/>
      </c>
      <c r="R379" t="str">
        <f t="shared" si="30"/>
        <v/>
      </c>
      <c r="S379" t="str">
        <f>IF(I379="","",_xlfn.XLOOKUP(I379,Lists!$C:$C,Lists!$I:$I))</f>
        <v/>
      </c>
    </row>
    <row r="380" spans="8:8">
      <c r="C380">
        <f>_xlfn.XLOOKUP(B380,Lists!B:B,Lists!A:A,"")</f>
        <v>0.0</v>
      </c>
      <c r="G380" t="str">
        <f t="shared" si="26"/>
        <v/>
      </c>
      <c r="H380" s="20" t="str">
        <f t="shared" si="27"/>
        <v/>
      </c>
      <c r="J380" t="str">
        <f>IF(I380="","",_xlfn.XLOOKUP(I380,Lists!$C:$C,Lists!$D:$D))</f>
        <v/>
      </c>
      <c r="N380" t="str">
        <f t="shared" si="28"/>
        <v/>
      </c>
      <c r="O380" t="str">
        <f>IF(I380="","",_xlfn.XLOOKUP(I380,Lists!$C:$C,Lists!$J:$J))</f>
        <v/>
      </c>
      <c r="P380" t="str">
        <f>IF(I380="","",_xlfn.XLOOKUP(I380,Lists!$C:$C,Lists!$E:$E))</f>
        <v/>
      </c>
      <c r="Q380" s="21" t="str">
        <f t="shared" si="29"/>
        <v/>
      </c>
      <c r="R380" t="str">
        <f t="shared" si="30"/>
        <v/>
      </c>
      <c r="S380" t="str">
        <f>IF(I380="","",_xlfn.XLOOKUP(I380,Lists!$C:$C,Lists!$I:$I))</f>
        <v/>
      </c>
    </row>
    <row r="381" spans="8:8">
      <c r="C381">
        <f>_xlfn.XLOOKUP(B381,Lists!B:B,Lists!A:A,"")</f>
        <v>0.0</v>
      </c>
      <c r="G381" t="str">
        <f t="shared" si="26"/>
        <v/>
      </c>
      <c r="H381" s="20" t="str">
        <f t="shared" si="27"/>
        <v/>
      </c>
      <c r="J381" t="str">
        <f>IF(I381="","",_xlfn.XLOOKUP(I381,Lists!$C:$C,Lists!$D:$D))</f>
        <v/>
      </c>
      <c r="N381" t="str">
        <f t="shared" si="28"/>
        <v/>
      </c>
      <c r="O381" t="str">
        <f>IF(I381="","",_xlfn.XLOOKUP(I381,Lists!$C:$C,Lists!$J:$J))</f>
        <v/>
      </c>
      <c r="P381" t="str">
        <f>IF(I381="","",_xlfn.XLOOKUP(I381,Lists!$C:$C,Lists!$E:$E))</f>
        <v/>
      </c>
      <c r="Q381" s="21" t="str">
        <f t="shared" si="29"/>
        <v/>
      </c>
      <c r="R381" t="str">
        <f t="shared" si="30"/>
        <v/>
      </c>
      <c r="S381" t="str">
        <f>IF(I381="","",_xlfn.XLOOKUP(I381,Lists!$C:$C,Lists!$I:$I))</f>
        <v/>
      </c>
    </row>
    <row r="382" spans="8:8">
      <c r="C382">
        <f>_xlfn.XLOOKUP(B382,Lists!B:B,Lists!A:A,"")</f>
        <v>0.0</v>
      </c>
      <c r="G382" t="str">
        <f t="shared" si="26"/>
        <v/>
      </c>
      <c r="H382" s="20" t="str">
        <f t="shared" si="27"/>
        <v/>
      </c>
      <c r="J382" t="str">
        <f>IF(I382="","",_xlfn.XLOOKUP(I382,Lists!$C:$C,Lists!$D:$D))</f>
        <v/>
      </c>
      <c r="N382" t="str">
        <f t="shared" si="28"/>
        <v/>
      </c>
      <c r="O382" t="str">
        <f>IF(I382="","",_xlfn.XLOOKUP(I382,Lists!$C:$C,Lists!$J:$J))</f>
        <v/>
      </c>
      <c r="P382" t="str">
        <f>IF(I382="","",_xlfn.XLOOKUP(I382,Lists!$C:$C,Lists!$E:$E))</f>
        <v/>
      </c>
      <c r="Q382" s="21" t="str">
        <f t="shared" si="29"/>
        <v/>
      </c>
      <c r="R382" t="str">
        <f t="shared" si="30"/>
        <v/>
      </c>
      <c r="S382" t="str">
        <f>IF(I382="","",_xlfn.XLOOKUP(I382,Lists!$C:$C,Lists!$I:$I))</f>
        <v/>
      </c>
    </row>
    <row r="383" spans="8:8">
      <c r="C383">
        <f>_xlfn.XLOOKUP(B383,Lists!B:B,Lists!A:A,"")</f>
        <v>0.0</v>
      </c>
      <c r="G383" t="str">
        <f t="shared" si="26"/>
        <v/>
      </c>
      <c r="H383" s="20" t="str">
        <f t="shared" si="27"/>
        <v/>
      </c>
      <c r="J383" t="str">
        <f>IF(I383="","",_xlfn.XLOOKUP(I383,Lists!$C:$C,Lists!$D:$D))</f>
        <v/>
      </c>
      <c r="N383" t="str">
        <f t="shared" si="28"/>
        <v/>
      </c>
      <c r="O383" t="str">
        <f>IF(I383="","",_xlfn.XLOOKUP(I383,Lists!$C:$C,Lists!$J:$J))</f>
        <v/>
      </c>
      <c r="P383" t="str">
        <f>IF(I383="","",_xlfn.XLOOKUP(I383,Lists!$C:$C,Lists!$E:$E))</f>
        <v/>
      </c>
      <c r="Q383" s="21" t="str">
        <f t="shared" si="29"/>
        <v/>
      </c>
      <c r="R383" t="str">
        <f t="shared" si="30"/>
        <v/>
      </c>
      <c r="S383" t="str">
        <f>IF(I383="","",_xlfn.XLOOKUP(I383,Lists!$C:$C,Lists!$I:$I))</f>
        <v/>
      </c>
    </row>
    <row r="384" spans="8:8">
      <c r="C384">
        <f>_xlfn.XLOOKUP(B384,Lists!B:B,Lists!A:A,"")</f>
        <v>0.0</v>
      </c>
      <c r="G384" t="str">
        <f t="shared" si="26"/>
        <v/>
      </c>
      <c r="H384" s="20" t="str">
        <f t="shared" si="27"/>
        <v/>
      </c>
      <c r="J384" t="str">
        <f>IF(I384="","",_xlfn.XLOOKUP(I384,Lists!$C:$C,Lists!$D:$D))</f>
        <v/>
      </c>
      <c r="N384" t="str">
        <f t="shared" si="28"/>
        <v/>
      </c>
      <c r="O384" t="str">
        <f>IF(I384="","",_xlfn.XLOOKUP(I384,Lists!$C:$C,Lists!$J:$J))</f>
        <v/>
      </c>
      <c r="P384" t="str">
        <f>IF(I384="","",_xlfn.XLOOKUP(I384,Lists!$C:$C,Lists!$E:$E))</f>
        <v/>
      </c>
      <c r="Q384" s="21" t="str">
        <f t="shared" si="29"/>
        <v/>
      </c>
      <c r="R384" t="str">
        <f t="shared" si="30"/>
        <v/>
      </c>
      <c r="S384" t="str">
        <f>IF(I384="","",_xlfn.XLOOKUP(I384,Lists!$C:$C,Lists!$I:$I))</f>
        <v/>
      </c>
    </row>
    <row r="385" spans="8:8">
      <c r="C385">
        <f>_xlfn.XLOOKUP(B385,Lists!B:B,Lists!A:A,"")</f>
        <v>0.0</v>
      </c>
      <c r="G385" t="str">
        <f t="shared" si="26"/>
        <v/>
      </c>
      <c r="H385" s="20" t="str">
        <f t="shared" si="27"/>
        <v/>
      </c>
      <c r="J385" t="str">
        <f>IF(I385="","",_xlfn.XLOOKUP(I385,Lists!$C:$C,Lists!$D:$D))</f>
        <v/>
      </c>
      <c r="N385" t="str">
        <f t="shared" si="28"/>
        <v/>
      </c>
      <c r="O385" t="str">
        <f>IF(I385="","",_xlfn.XLOOKUP(I385,Lists!$C:$C,Lists!$J:$J))</f>
        <v/>
      </c>
      <c r="P385" t="str">
        <f>IF(I385="","",_xlfn.XLOOKUP(I385,Lists!$C:$C,Lists!$E:$E))</f>
        <v/>
      </c>
      <c r="Q385" s="21" t="str">
        <f t="shared" si="29"/>
        <v/>
      </c>
      <c r="R385" t="str">
        <f t="shared" si="30"/>
        <v/>
      </c>
      <c r="S385" t="str">
        <f>IF(I385="","",_xlfn.XLOOKUP(I385,Lists!$C:$C,Lists!$I:$I))</f>
        <v/>
      </c>
    </row>
    <row r="386" spans="8:8">
      <c r="C386">
        <f>_xlfn.XLOOKUP(B386,Lists!B:B,Lists!A:A,"")</f>
        <v>0.0</v>
      </c>
      <c r="G386" t="str">
        <f t="shared" si="26"/>
        <v/>
      </c>
      <c r="H386" s="20" t="str">
        <f t="shared" si="27"/>
        <v/>
      </c>
      <c r="J386" t="str">
        <f>IF(I386="","",_xlfn.XLOOKUP(I386,Lists!$C:$C,Lists!$D:$D))</f>
        <v/>
      </c>
      <c r="N386" t="str">
        <f t="shared" si="28"/>
        <v/>
      </c>
      <c r="O386" t="str">
        <f>IF(I386="","",_xlfn.XLOOKUP(I386,Lists!$C:$C,Lists!$J:$J))</f>
        <v/>
      </c>
      <c r="P386" t="str">
        <f>IF(I386="","",_xlfn.XLOOKUP(I386,Lists!$C:$C,Lists!$E:$E))</f>
        <v/>
      </c>
      <c r="Q386" s="21" t="str">
        <f t="shared" si="29"/>
        <v/>
      </c>
      <c r="R386" t="str">
        <f t="shared" si="30"/>
        <v/>
      </c>
      <c r="S386" t="str">
        <f>IF(I386="","",_xlfn.XLOOKUP(I386,Lists!$C:$C,Lists!$I:$I))</f>
        <v/>
      </c>
    </row>
    <row r="387" spans="8:8">
      <c r="C387">
        <f>_xlfn.XLOOKUP(B387,Lists!B:B,Lists!A:A,"")</f>
        <v>0.0</v>
      </c>
      <c r="G387" t="str">
        <f t="shared" si="26"/>
        <v/>
      </c>
      <c r="H387" s="20" t="str">
        <f t="shared" si="27"/>
        <v/>
      </c>
      <c r="J387" t="str">
        <f>IF(I387="","",_xlfn.XLOOKUP(I387,Lists!$C:$C,Lists!$D:$D))</f>
        <v/>
      </c>
      <c r="N387" t="str">
        <f t="shared" si="28"/>
        <v/>
      </c>
      <c r="O387" t="str">
        <f>IF(I387="","",_xlfn.XLOOKUP(I387,Lists!$C:$C,Lists!$J:$J))</f>
        <v/>
      </c>
      <c r="P387" t="str">
        <f>IF(I387="","",_xlfn.XLOOKUP(I387,Lists!$C:$C,Lists!$E:$E))</f>
        <v/>
      </c>
      <c r="Q387" s="21" t="str">
        <f t="shared" si="29"/>
        <v/>
      </c>
      <c r="R387" t="str">
        <f t="shared" si="30"/>
        <v/>
      </c>
      <c r="S387" t="str">
        <f>IF(I387="","",_xlfn.XLOOKUP(I387,Lists!$C:$C,Lists!$I:$I))</f>
        <v/>
      </c>
    </row>
    <row r="388" spans="8:8">
      <c r="C388">
        <f>_xlfn.XLOOKUP(B388,Lists!B:B,Lists!A:A,"")</f>
        <v>0.0</v>
      </c>
      <c r="G388" t="str">
        <f t="shared" si="26"/>
        <v/>
      </c>
      <c r="H388" s="20" t="str">
        <f t="shared" si="27"/>
        <v/>
      </c>
      <c r="J388" t="str">
        <f>IF(I388="","",_xlfn.XLOOKUP(I388,Lists!$C:$C,Lists!$D:$D))</f>
        <v/>
      </c>
      <c r="N388" t="str">
        <f t="shared" si="28"/>
        <v/>
      </c>
      <c r="O388" t="str">
        <f>IF(I388="","",_xlfn.XLOOKUP(I388,Lists!$C:$C,Lists!$J:$J))</f>
        <v/>
      </c>
      <c r="P388" t="str">
        <f>IF(I388="","",_xlfn.XLOOKUP(I388,Lists!$C:$C,Lists!$E:$E))</f>
        <v/>
      </c>
      <c r="Q388" s="21" t="str">
        <f t="shared" si="29"/>
        <v/>
      </c>
      <c r="R388" t="str">
        <f t="shared" si="30"/>
        <v/>
      </c>
      <c r="S388" t="str">
        <f>IF(I388="","",_xlfn.XLOOKUP(I388,Lists!$C:$C,Lists!$I:$I))</f>
        <v/>
      </c>
    </row>
    <row r="389" spans="8:8">
      <c r="C389">
        <f>_xlfn.XLOOKUP(B389,Lists!B:B,Lists!A:A,"")</f>
        <v>0.0</v>
      </c>
      <c r="G389" t="str">
        <f t="shared" si="26"/>
        <v/>
      </c>
      <c r="H389" s="20" t="str">
        <f t="shared" si="27"/>
        <v/>
      </c>
      <c r="J389" t="str">
        <f>IF(I389="","",_xlfn.XLOOKUP(I389,Lists!$C:$C,Lists!$D:$D))</f>
        <v/>
      </c>
      <c r="N389" t="str">
        <f t="shared" si="28"/>
        <v/>
      </c>
      <c r="O389" t="str">
        <f>IF(I389="","",_xlfn.XLOOKUP(I389,Lists!$C:$C,Lists!$J:$J))</f>
        <v/>
      </c>
      <c r="P389" t="str">
        <f>IF(I389="","",_xlfn.XLOOKUP(I389,Lists!$C:$C,Lists!$E:$E))</f>
        <v/>
      </c>
      <c r="Q389" s="21" t="str">
        <f t="shared" si="29"/>
        <v/>
      </c>
      <c r="R389" t="str">
        <f t="shared" si="30"/>
        <v/>
      </c>
      <c r="S389" t="str">
        <f>IF(I389="","",_xlfn.XLOOKUP(I389,Lists!$C:$C,Lists!$I:$I))</f>
        <v/>
      </c>
    </row>
    <row r="390" spans="8:8">
      <c r="C390">
        <f>_xlfn.XLOOKUP(B390,Lists!B:B,Lists!A:A,"")</f>
        <v>0.0</v>
      </c>
      <c r="G390" t="str">
        <f t="shared" si="26"/>
        <v/>
      </c>
      <c r="H390" s="20" t="str">
        <f t="shared" si="27"/>
        <v/>
      </c>
      <c r="J390" t="str">
        <f>IF(I390="","",_xlfn.XLOOKUP(I390,Lists!$C:$C,Lists!$D:$D))</f>
        <v/>
      </c>
      <c r="N390" t="str">
        <f t="shared" si="28"/>
        <v/>
      </c>
      <c r="O390" t="str">
        <f>IF(I390="","",_xlfn.XLOOKUP(I390,Lists!$C:$C,Lists!$J:$J))</f>
        <v/>
      </c>
      <c r="P390" t="str">
        <f>IF(I390="","",_xlfn.XLOOKUP(I390,Lists!$C:$C,Lists!$E:$E))</f>
        <v/>
      </c>
      <c r="Q390" s="21" t="str">
        <f t="shared" si="29"/>
        <v/>
      </c>
      <c r="R390" t="str">
        <f t="shared" si="30"/>
        <v/>
      </c>
      <c r="S390" t="str">
        <f>IF(I390="","",_xlfn.XLOOKUP(I390,Lists!$C:$C,Lists!$I:$I))</f>
        <v/>
      </c>
    </row>
    <row r="391" spans="8:8">
      <c r="C391">
        <f>_xlfn.XLOOKUP(B391,Lists!B:B,Lists!A:A,"")</f>
        <v>0.0</v>
      </c>
      <c r="G391" t="str">
        <f t="shared" si="26"/>
        <v/>
      </c>
      <c r="H391" s="20" t="str">
        <f t="shared" si="27"/>
        <v/>
      </c>
      <c r="J391" t="str">
        <f>IF(I391="","",_xlfn.XLOOKUP(I391,Lists!$C:$C,Lists!$D:$D))</f>
        <v/>
      </c>
      <c r="N391" t="str">
        <f t="shared" si="28"/>
        <v/>
      </c>
      <c r="O391" t="str">
        <f>IF(I391="","",_xlfn.XLOOKUP(I391,Lists!$C:$C,Lists!$J:$J))</f>
        <v/>
      </c>
      <c r="P391" t="str">
        <f>IF(I391="","",_xlfn.XLOOKUP(I391,Lists!$C:$C,Lists!$E:$E))</f>
        <v/>
      </c>
      <c r="Q391" s="21" t="str">
        <f t="shared" si="29"/>
        <v/>
      </c>
      <c r="R391" t="str">
        <f t="shared" si="30"/>
        <v/>
      </c>
      <c r="S391" t="str">
        <f>IF(I391="","",_xlfn.XLOOKUP(I391,Lists!$C:$C,Lists!$I:$I))</f>
        <v/>
      </c>
    </row>
    <row r="392" spans="8:8">
      <c r="C392">
        <f>_xlfn.XLOOKUP(B392,Lists!B:B,Lists!A:A,"")</f>
        <v>0.0</v>
      </c>
      <c r="G392" t="str">
        <f t="shared" si="26"/>
        <v/>
      </c>
      <c r="H392" s="20" t="str">
        <f t="shared" si="27"/>
        <v/>
      </c>
      <c r="J392" t="str">
        <f>IF(I392="","",_xlfn.XLOOKUP(I392,Lists!$C:$C,Lists!$D:$D))</f>
        <v/>
      </c>
      <c r="N392" t="str">
        <f t="shared" si="28"/>
        <v/>
      </c>
      <c r="O392" t="str">
        <f>IF(I392="","",_xlfn.XLOOKUP(I392,Lists!$C:$C,Lists!$J:$J))</f>
        <v/>
      </c>
      <c r="P392" t="str">
        <f>IF(I392="","",_xlfn.XLOOKUP(I392,Lists!$C:$C,Lists!$E:$E))</f>
        <v/>
      </c>
      <c r="Q392" s="21" t="str">
        <f t="shared" si="29"/>
        <v/>
      </c>
      <c r="R392" t="str">
        <f t="shared" si="30"/>
        <v/>
      </c>
      <c r="S392" t="str">
        <f>IF(I392="","",_xlfn.XLOOKUP(I392,Lists!$C:$C,Lists!$I:$I))</f>
        <v/>
      </c>
    </row>
    <row r="393" spans="8:8">
      <c r="C393">
        <f>_xlfn.XLOOKUP(B393,Lists!B:B,Lists!A:A,"")</f>
        <v>0.0</v>
      </c>
      <c r="G393" t="str">
        <f t="shared" si="26"/>
        <v/>
      </c>
      <c r="H393" s="20" t="str">
        <f t="shared" si="27"/>
        <v/>
      </c>
      <c r="J393" t="str">
        <f>IF(I393="","",_xlfn.XLOOKUP(I393,Lists!$C:$C,Lists!$D:$D))</f>
        <v/>
      </c>
      <c r="N393" t="str">
        <f t="shared" si="28"/>
        <v/>
      </c>
      <c r="O393" t="str">
        <f>IF(I393="","",_xlfn.XLOOKUP(I393,Lists!$C:$C,Lists!$J:$J))</f>
        <v/>
      </c>
      <c r="P393" t="str">
        <f>IF(I393="","",_xlfn.XLOOKUP(I393,Lists!$C:$C,Lists!$E:$E))</f>
        <v/>
      </c>
      <c r="Q393" s="21" t="str">
        <f t="shared" si="29"/>
        <v/>
      </c>
      <c r="R393" t="str">
        <f t="shared" si="30"/>
        <v/>
      </c>
      <c r="S393" t="str">
        <f>IF(I393="","",_xlfn.XLOOKUP(I393,Lists!$C:$C,Lists!$I:$I))</f>
        <v/>
      </c>
    </row>
    <row r="394" spans="8:8">
      <c r="C394">
        <f>_xlfn.XLOOKUP(B394,Lists!B:B,Lists!A:A,"")</f>
        <v>0.0</v>
      </c>
      <c r="G394" t="str">
        <f t="shared" si="26"/>
        <v/>
      </c>
      <c r="H394" s="20" t="str">
        <f t="shared" si="27"/>
        <v/>
      </c>
      <c r="J394" t="str">
        <f>IF(I394="","",_xlfn.XLOOKUP(I394,Lists!$C:$C,Lists!$D:$D))</f>
        <v/>
      </c>
      <c r="N394" t="str">
        <f t="shared" si="28"/>
        <v/>
      </c>
      <c r="O394" t="str">
        <f>IF(I394="","",_xlfn.XLOOKUP(I394,Lists!$C:$C,Lists!$J:$J))</f>
        <v/>
      </c>
      <c r="P394" t="str">
        <f>IF(I394="","",_xlfn.XLOOKUP(I394,Lists!$C:$C,Lists!$E:$E))</f>
        <v/>
      </c>
      <c r="Q394" s="21" t="str">
        <f t="shared" si="29"/>
        <v/>
      </c>
      <c r="R394" t="str">
        <f t="shared" si="30"/>
        <v/>
      </c>
      <c r="S394" t="str">
        <f>IF(I394="","",_xlfn.XLOOKUP(I394,Lists!$C:$C,Lists!$I:$I))</f>
        <v/>
      </c>
    </row>
    <row r="395" spans="8:8">
      <c r="C395">
        <f>_xlfn.XLOOKUP(B395,Lists!B:B,Lists!A:A,"")</f>
        <v>0.0</v>
      </c>
      <c r="G395" t="str">
        <f t="shared" si="26"/>
        <v/>
      </c>
      <c r="H395" s="20" t="str">
        <f t="shared" si="27"/>
        <v/>
      </c>
      <c r="J395" t="str">
        <f>IF(I395="","",_xlfn.XLOOKUP(I395,Lists!$C:$C,Lists!$D:$D))</f>
        <v/>
      </c>
      <c r="N395" t="str">
        <f t="shared" si="28"/>
        <v/>
      </c>
      <c r="O395" t="str">
        <f>IF(I395="","",_xlfn.XLOOKUP(I395,Lists!$C:$C,Lists!$J:$J))</f>
        <v/>
      </c>
      <c r="P395" t="str">
        <f>IF(I395="","",_xlfn.XLOOKUP(I395,Lists!$C:$C,Lists!$E:$E))</f>
        <v/>
      </c>
      <c r="Q395" s="21" t="str">
        <f t="shared" si="29"/>
        <v/>
      </c>
      <c r="R395" t="str">
        <f t="shared" si="30"/>
        <v/>
      </c>
      <c r="S395" t="str">
        <f>IF(I395="","",_xlfn.XLOOKUP(I395,Lists!$C:$C,Lists!$I:$I))</f>
        <v/>
      </c>
    </row>
    <row r="396" spans="8:8">
      <c r="C396">
        <f>_xlfn.XLOOKUP(B396,Lists!B:B,Lists!A:A,"")</f>
        <v>0.0</v>
      </c>
      <c r="G396" t="str">
        <f t="shared" si="26"/>
        <v/>
      </c>
      <c r="H396" s="20" t="str">
        <f t="shared" si="27"/>
        <v/>
      </c>
      <c r="J396" t="str">
        <f>IF(I396="","",_xlfn.XLOOKUP(I396,Lists!$C:$C,Lists!$D:$D))</f>
        <v/>
      </c>
      <c r="N396" t="str">
        <f t="shared" si="28"/>
        <v/>
      </c>
      <c r="O396" t="str">
        <f>IF(I396="","",_xlfn.XLOOKUP(I396,Lists!$C:$C,Lists!$J:$J))</f>
        <v/>
      </c>
      <c r="P396" t="str">
        <f>IF(I396="","",_xlfn.XLOOKUP(I396,Lists!$C:$C,Lists!$E:$E))</f>
        <v/>
      </c>
      <c r="Q396" s="21" t="str">
        <f t="shared" si="29"/>
        <v/>
      </c>
      <c r="R396" t="str">
        <f t="shared" si="30"/>
        <v/>
      </c>
      <c r="S396" t="str">
        <f>IF(I396="","",_xlfn.XLOOKUP(I396,Lists!$C:$C,Lists!$I:$I))</f>
        <v/>
      </c>
    </row>
    <row r="397" spans="8:8">
      <c r="C397">
        <f>_xlfn.XLOOKUP(B397,Lists!B:B,Lists!A:A,"")</f>
        <v>0.0</v>
      </c>
      <c r="G397" t="str">
        <f t="shared" si="26"/>
        <v/>
      </c>
      <c r="H397" s="20" t="str">
        <f t="shared" si="27"/>
        <v/>
      </c>
      <c r="J397" t="str">
        <f>IF(I397="","",_xlfn.XLOOKUP(I397,Lists!$C:$C,Lists!$D:$D))</f>
        <v/>
      </c>
      <c r="N397" t="str">
        <f t="shared" si="28"/>
        <v/>
      </c>
      <c r="O397" t="str">
        <f>IF(I397="","",_xlfn.XLOOKUP(I397,Lists!$C:$C,Lists!$J:$J))</f>
        <v/>
      </c>
      <c r="P397" t="str">
        <f>IF(I397="","",_xlfn.XLOOKUP(I397,Lists!$C:$C,Lists!$E:$E))</f>
        <v/>
      </c>
      <c r="Q397" s="21" t="str">
        <f t="shared" si="29"/>
        <v/>
      </c>
      <c r="R397" t="str">
        <f t="shared" si="30"/>
        <v/>
      </c>
      <c r="S397" t="str">
        <f>IF(I397="","",_xlfn.XLOOKUP(I397,Lists!$C:$C,Lists!$I:$I))</f>
        <v/>
      </c>
    </row>
    <row r="398" spans="8:8">
      <c r="C398">
        <f>_xlfn.XLOOKUP(B398,Lists!B:B,Lists!A:A,"")</f>
        <v>0.0</v>
      </c>
      <c r="G398" t="str">
        <f t="shared" si="26"/>
        <v/>
      </c>
      <c r="H398" s="20" t="str">
        <f t="shared" si="27"/>
        <v/>
      </c>
      <c r="J398" t="str">
        <f>IF(I398="","",_xlfn.XLOOKUP(I398,Lists!$C:$C,Lists!$D:$D))</f>
        <v/>
      </c>
      <c r="N398" t="str">
        <f t="shared" si="28"/>
        <v/>
      </c>
      <c r="O398" t="str">
        <f>IF(I398="","",_xlfn.XLOOKUP(I398,Lists!$C:$C,Lists!$J:$J))</f>
        <v/>
      </c>
      <c r="P398" t="str">
        <f>IF(I398="","",_xlfn.XLOOKUP(I398,Lists!$C:$C,Lists!$E:$E))</f>
        <v/>
      </c>
      <c r="Q398" s="21" t="str">
        <f t="shared" si="29"/>
        <v/>
      </c>
      <c r="R398" t="str">
        <f t="shared" si="30"/>
        <v/>
      </c>
      <c r="S398" t="str">
        <f>IF(I398="","",_xlfn.XLOOKUP(I398,Lists!$C:$C,Lists!$I:$I))</f>
        <v/>
      </c>
    </row>
    <row r="399" spans="8:8">
      <c r="C399">
        <f>_xlfn.XLOOKUP(B399,Lists!B:B,Lists!A:A,"")</f>
        <v>0.0</v>
      </c>
      <c r="G399" t="str">
        <f t="shared" si="26"/>
        <v/>
      </c>
      <c r="H399" s="20" t="str">
        <f t="shared" si="27"/>
        <v/>
      </c>
      <c r="J399" t="str">
        <f>IF(I399="","",_xlfn.XLOOKUP(I399,Lists!$C:$C,Lists!$D:$D))</f>
        <v/>
      </c>
      <c r="N399" t="str">
        <f t="shared" si="28"/>
        <v/>
      </c>
      <c r="O399" t="str">
        <f>IF(I399="","",_xlfn.XLOOKUP(I399,Lists!$C:$C,Lists!$J:$J))</f>
        <v/>
      </c>
      <c r="P399" t="str">
        <f>IF(I399="","",_xlfn.XLOOKUP(I399,Lists!$C:$C,Lists!$E:$E))</f>
        <v/>
      </c>
      <c r="Q399" s="21" t="str">
        <f t="shared" si="29"/>
        <v/>
      </c>
      <c r="R399" t="str">
        <f t="shared" si="30"/>
        <v/>
      </c>
      <c r="S399" t="str">
        <f>IF(I399="","",_xlfn.XLOOKUP(I399,Lists!$C:$C,Lists!$I:$I))</f>
        <v/>
      </c>
    </row>
    <row r="400" spans="8:8">
      <c r="C400">
        <f>_xlfn.XLOOKUP(B400,Lists!B:B,Lists!A:A,"")</f>
        <v>0.0</v>
      </c>
      <c r="G400" t="str">
        <f t="shared" si="26"/>
        <v/>
      </c>
      <c r="H400" s="20" t="str">
        <f t="shared" si="27"/>
        <v/>
      </c>
      <c r="J400" t="str">
        <f>IF(I400="","",_xlfn.XLOOKUP(I400,Lists!$C:$C,Lists!$D:$D))</f>
        <v/>
      </c>
      <c r="N400" t="str">
        <f t="shared" si="28"/>
        <v/>
      </c>
      <c r="O400" t="str">
        <f>IF(I400="","",_xlfn.XLOOKUP(I400,Lists!$C:$C,Lists!$J:$J))</f>
        <v/>
      </c>
      <c r="P400" t="str">
        <f>IF(I400="","",_xlfn.XLOOKUP(I400,Lists!$C:$C,Lists!$E:$E))</f>
        <v/>
      </c>
      <c r="Q400" s="21" t="str">
        <f t="shared" si="29"/>
        <v/>
      </c>
      <c r="R400" t="str">
        <f t="shared" si="30"/>
        <v/>
      </c>
      <c r="S400" t="str">
        <f>IF(I400="","",_xlfn.XLOOKUP(I400,Lists!$C:$C,Lists!$I:$I))</f>
        <v/>
      </c>
    </row>
    <row r="401" spans="8:8">
      <c r="C401">
        <f>_xlfn.XLOOKUP(B401,Lists!B:B,Lists!A:A,"")</f>
        <v>0.0</v>
      </c>
      <c r="G401" t="str">
        <f t="shared" si="26"/>
        <v/>
      </c>
      <c r="H401" s="20" t="str">
        <f t="shared" si="27"/>
        <v/>
      </c>
      <c r="J401" t="str">
        <f>IF(I401="","",_xlfn.XLOOKUP(I401,Lists!$C:$C,Lists!$D:$D))</f>
        <v/>
      </c>
      <c r="N401" t="str">
        <f t="shared" si="28"/>
        <v/>
      </c>
      <c r="O401" t="str">
        <f>IF(I401="","",_xlfn.XLOOKUP(I401,Lists!$C:$C,Lists!$J:$J))</f>
        <v/>
      </c>
      <c r="P401" t="str">
        <f>IF(I401="","",_xlfn.XLOOKUP(I401,Lists!$C:$C,Lists!$E:$E))</f>
        <v/>
      </c>
      <c r="Q401" s="21" t="str">
        <f t="shared" si="29"/>
        <v/>
      </c>
      <c r="R401" t="str">
        <f t="shared" si="30"/>
        <v/>
      </c>
      <c r="S401" t="str">
        <f>IF(I401="","",_xlfn.XLOOKUP(I401,Lists!$C:$C,Lists!$I:$I))</f>
        <v/>
      </c>
    </row>
    <row r="402" spans="8:8">
      <c r="C402">
        <f>_xlfn.XLOOKUP(B402,Lists!B:B,Lists!A:A,"")</f>
        <v>0.0</v>
      </c>
      <c r="G402" t="str">
        <f t="shared" si="26"/>
        <v/>
      </c>
      <c r="H402" s="20" t="str">
        <f t="shared" si="27"/>
        <v/>
      </c>
      <c r="J402" t="str">
        <f>IF(I402="","",_xlfn.XLOOKUP(I402,Lists!$C:$C,Lists!$D:$D))</f>
        <v/>
      </c>
      <c r="N402" t="str">
        <f t="shared" si="28"/>
        <v/>
      </c>
      <c r="O402" t="str">
        <f>IF(I402="","",_xlfn.XLOOKUP(I402,Lists!$C:$C,Lists!$J:$J))</f>
        <v/>
      </c>
      <c r="P402" t="str">
        <f>IF(I402="","",_xlfn.XLOOKUP(I402,Lists!$C:$C,Lists!$E:$E))</f>
        <v/>
      </c>
      <c r="Q402" s="21" t="str">
        <f t="shared" si="29"/>
        <v/>
      </c>
      <c r="R402" t="str">
        <f t="shared" si="30"/>
        <v/>
      </c>
      <c r="S402" t="str">
        <f>IF(I402="","",_xlfn.XLOOKUP(I402,Lists!$C:$C,Lists!$I:$I))</f>
        <v/>
      </c>
    </row>
    <row r="403" spans="8:8">
      <c r="C403">
        <f>_xlfn.XLOOKUP(B403,Lists!B:B,Lists!A:A,"")</f>
        <v>0.0</v>
      </c>
      <c r="G403" t="str">
        <f t="shared" si="26"/>
        <v/>
      </c>
      <c r="H403" s="20" t="str">
        <f t="shared" si="27"/>
        <v/>
      </c>
      <c r="J403" t="str">
        <f>IF(I403="","",_xlfn.XLOOKUP(I403,Lists!$C:$C,Lists!$D:$D))</f>
        <v/>
      </c>
      <c r="N403" t="str">
        <f t="shared" si="28"/>
        <v/>
      </c>
      <c r="O403" t="str">
        <f>IF(I403="","",_xlfn.XLOOKUP(I403,Lists!$C:$C,Lists!$J:$J))</f>
        <v/>
      </c>
      <c r="P403" t="str">
        <f>IF(I403="","",_xlfn.XLOOKUP(I403,Lists!$C:$C,Lists!$E:$E))</f>
        <v/>
      </c>
      <c r="Q403" s="21" t="str">
        <f t="shared" si="29"/>
        <v/>
      </c>
      <c r="R403" t="str">
        <f t="shared" si="30"/>
        <v/>
      </c>
      <c r="S403" t="str">
        <f>IF(I403="","",_xlfn.XLOOKUP(I403,Lists!$C:$C,Lists!$I:$I))</f>
        <v/>
      </c>
    </row>
    <row r="404" spans="8:8">
      <c r="C404">
        <f>_xlfn.XLOOKUP(B404,Lists!B:B,Lists!A:A,"")</f>
        <v>0.0</v>
      </c>
      <c r="G404" t="str">
        <f t="shared" si="26"/>
        <v/>
      </c>
      <c r="H404" s="20" t="str">
        <f t="shared" si="27"/>
        <v/>
      </c>
      <c r="J404" t="str">
        <f>IF(I404="","",_xlfn.XLOOKUP(I404,Lists!$C:$C,Lists!$D:$D))</f>
        <v/>
      </c>
      <c r="N404" t="str">
        <f t="shared" si="28"/>
        <v/>
      </c>
      <c r="O404" t="str">
        <f>IF(I404="","",_xlfn.XLOOKUP(I404,Lists!$C:$C,Lists!$J:$J))</f>
        <v/>
      </c>
      <c r="P404" t="str">
        <f>IF(I404="","",_xlfn.XLOOKUP(I404,Lists!$C:$C,Lists!$E:$E))</f>
        <v/>
      </c>
      <c r="Q404" s="21" t="str">
        <f t="shared" si="29"/>
        <v/>
      </c>
      <c r="R404" t="str">
        <f t="shared" si="30"/>
        <v/>
      </c>
      <c r="S404" t="str">
        <f>IF(I404="","",_xlfn.XLOOKUP(I404,Lists!$C:$C,Lists!$I:$I))</f>
        <v/>
      </c>
    </row>
    <row r="405" spans="8:8">
      <c r="C405">
        <f>_xlfn.XLOOKUP(B405,Lists!B:B,Lists!A:A,"")</f>
        <v>0.0</v>
      </c>
      <c r="G405" t="str">
        <f t="shared" si="26"/>
        <v/>
      </c>
      <c r="H405" s="20" t="str">
        <f t="shared" si="27"/>
        <v/>
      </c>
      <c r="J405" t="str">
        <f>IF(I405="","",_xlfn.XLOOKUP(I405,Lists!$C:$C,Lists!$D:$D))</f>
        <v/>
      </c>
      <c r="N405" t="str">
        <f t="shared" si="28"/>
        <v/>
      </c>
      <c r="O405" t="str">
        <f>IF(I405="","",_xlfn.XLOOKUP(I405,Lists!$C:$C,Lists!$J:$J))</f>
        <v/>
      </c>
      <c r="P405" t="str">
        <f>IF(I405="","",_xlfn.XLOOKUP(I405,Lists!$C:$C,Lists!$E:$E))</f>
        <v/>
      </c>
      <c r="Q405" s="21" t="str">
        <f t="shared" si="29"/>
        <v/>
      </c>
      <c r="R405" t="str">
        <f t="shared" si="30"/>
        <v/>
      </c>
      <c r="S405" t="str">
        <f>IF(I405="","",_xlfn.XLOOKUP(I405,Lists!$C:$C,Lists!$I:$I))</f>
        <v/>
      </c>
    </row>
    <row r="406" spans="8:8">
      <c r="C406">
        <f>_xlfn.XLOOKUP(B406,Lists!B:B,Lists!A:A,"")</f>
        <v>0.0</v>
      </c>
      <c r="G406" t="str">
        <f t="shared" si="26"/>
        <v/>
      </c>
      <c r="H406" s="20" t="str">
        <f t="shared" si="27"/>
        <v/>
      </c>
      <c r="J406" t="str">
        <f>IF(I406="","",_xlfn.XLOOKUP(I406,Lists!$C:$C,Lists!$D:$D))</f>
        <v/>
      </c>
      <c r="N406" t="str">
        <f t="shared" si="28"/>
        <v/>
      </c>
      <c r="O406" t="str">
        <f>IF(I406="","",_xlfn.XLOOKUP(I406,Lists!$C:$C,Lists!$J:$J))</f>
        <v/>
      </c>
      <c r="P406" t="str">
        <f>IF(I406="","",_xlfn.XLOOKUP(I406,Lists!$C:$C,Lists!$E:$E))</f>
        <v/>
      </c>
      <c r="Q406" s="21" t="str">
        <f t="shared" si="29"/>
        <v/>
      </c>
      <c r="R406" t="str">
        <f t="shared" si="30"/>
        <v/>
      </c>
      <c r="S406" t="str">
        <f>IF(I406="","",_xlfn.XLOOKUP(I406,Lists!$C:$C,Lists!$I:$I))</f>
        <v/>
      </c>
    </row>
    <row r="407" spans="8:8">
      <c r="C407">
        <f>_xlfn.XLOOKUP(B407,Lists!B:B,Lists!A:A,"")</f>
        <v>0.0</v>
      </c>
      <c r="G407" t="str">
        <f t="shared" si="26"/>
        <v/>
      </c>
      <c r="H407" s="20" t="str">
        <f t="shared" si="27"/>
        <v/>
      </c>
      <c r="J407" t="str">
        <f>IF(I407="","",_xlfn.XLOOKUP(I407,Lists!$C:$C,Lists!$D:$D))</f>
        <v/>
      </c>
      <c r="N407" t="str">
        <f t="shared" si="28"/>
        <v/>
      </c>
      <c r="O407" t="str">
        <f>IF(I407="","",_xlfn.XLOOKUP(I407,Lists!$C:$C,Lists!$J:$J))</f>
        <v/>
      </c>
      <c r="P407" t="str">
        <f>IF(I407="","",_xlfn.XLOOKUP(I407,Lists!$C:$C,Lists!$E:$E))</f>
        <v/>
      </c>
      <c r="Q407" s="21" t="str">
        <f t="shared" si="29"/>
        <v/>
      </c>
      <c r="R407" t="str">
        <f t="shared" si="30"/>
        <v/>
      </c>
      <c r="S407" t="str">
        <f>IF(I407="","",_xlfn.XLOOKUP(I407,Lists!$C:$C,Lists!$I:$I))</f>
        <v/>
      </c>
    </row>
    <row r="408" spans="8:8">
      <c r="C408">
        <f>_xlfn.XLOOKUP(B408,Lists!B:B,Lists!A:A,"")</f>
        <v>0.0</v>
      </c>
      <c r="G408" t="str">
        <f t="shared" si="26"/>
        <v/>
      </c>
      <c r="H408" s="20" t="str">
        <f t="shared" si="27"/>
        <v/>
      </c>
      <c r="J408" t="str">
        <f>IF(I408="","",_xlfn.XLOOKUP(I408,Lists!$C:$C,Lists!$D:$D))</f>
        <v/>
      </c>
      <c r="N408" t="str">
        <f t="shared" si="28"/>
        <v/>
      </c>
      <c r="O408" t="str">
        <f>IF(I408="","",_xlfn.XLOOKUP(I408,Lists!$C:$C,Lists!$J:$J))</f>
        <v/>
      </c>
      <c r="P408" t="str">
        <f>IF(I408="","",_xlfn.XLOOKUP(I408,Lists!$C:$C,Lists!$E:$E))</f>
        <v/>
      </c>
      <c r="Q408" s="21" t="str">
        <f t="shared" si="29"/>
        <v/>
      </c>
      <c r="R408" t="str">
        <f t="shared" si="30"/>
        <v/>
      </c>
      <c r="S408" t="str">
        <f>IF(I408="","",_xlfn.XLOOKUP(I408,Lists!$C:$C,Lists!$I:$I))</f>
        <v/>
      </c>
    </row>
    <row r="409" spans="8:8">
      <c r="C409">
        <f>_xlfn.XLOOKUP(B409,Lists!B:B,Lists!A:A,"")</f>
        <v>0.0</v>
      </c>
      <c r="G409" t="str">
        <f t="shared" si="26"/>
        <v/>
      </c>
      <c r="H409" s="20" t="str">
        <f t="shared" si="27"/>
        <v/>
      </c>
      <c r="J409" t="str">
        <f>IF(I409="","",_xlfn.XLOOKUP(I409,Lists!$C:$C,Lists!$D:$D))</f>
        <v/>
      </c>
      <c r="N409" t="str">
        <f t="shared" si="28"/>
        <v/>
      </c>
      <c r="O409" t="str">
        <f>IF(I409="","",_xlfn.XLOOKUP(I409,Lists!$C:$C,Lists!$J:$J))</f>
        <v/>
      </c>
      <c r="P409" t="str">
        <f>IF(I409="","",_xlfn.XLOOKUP(I409,Lists!$C:$C,Lists!$E:$E))</f>
        <v/>
      </c>
      <c r="Q409" s="21" t="str">
        <f t="shared" si="29"/>
        <v/>
      </c>
      <c r="R409" t="str">
        <f t="shared" si="30"/>
        <v/>
      </c>
      <c r="S409" t="str">
        <f>IF(I409="","",_xlfn.XLOOKUP(I409,Lists!$C:$C,Lists!$I:$I))</f>
        <v/>
      </c>
    </row>
    <row r="410" spans="8:8">
      <c r="C410">
        <f>_xlfn.XLOOKUP(B410,Lists!B:B,Lists!A:A,"")</f>
        <v>0.0</v>
      </c>
      <c r="G410" t="str">
        <f t="shared" si="26"/>
        <v/>
      </c>
      <c r="H410" s="20" t="str">
        <f t="shared" si="27"/>
        <v/>
      </c>
      <c r="J410" t="str">
        <f>IF(I410="","",_xlfn.XLOOKUP(I410,Lists!$C:$C,Lists!$D:$D))</f>
        <v/>
      </c>
      <c r="N410" t="str">
        <f t="shared" si="28"/>
        <v/>
      </c>
      <c r="O410" t="str">
        <f>IF(I410="","",_xlfn.XLOOKUP(I410,Lists!$C:$C,Lists!$J:$J))</f>
        <v/>
      </c>
      <c r="P410" t="str">
        <f>IF(I410="","",_xlfn.XLOOKUP(I410,Lists!$C:$C,Lists!$E:$E))</f>
        <v/>
      </c>
      <c r="Q410" s="21" t="str">
        <f t="shared" si="29"/>
        <v/>
      </c>
      <c r="R410" t="str">
        <f t="shared" si="30"/>
        <v/>
      </c>
      <c r="S410" t="str">
        <f>IF(I410="","",_xlfn.XLOOKUP(I410,Lists!$C:$C,Lists!$I:$I))</f>
        <v/>
      </c>
    </row>
    <row r="411" spans="8:8">
      <c r="C411">
        <f>_xlfn.XLOOKUP(B411,Lists!B:B,Lists!A:A,"")</f>
        <v>0.0</v>
      </c>
      <c r="G411" t="str">
        <f t="shared" si="31" ref="G411:G474">IF(OR(E411="",F411=""),"",F411-E411+1)</f>
        <v/>
      </c>
      <c r="H411" s="20" t="str">
        <f t="shared" si="32" ref="H411:H474">IF(D411="","",IF(OR(D411="A",D411="B"),G411/80,IF(D411="A&amp;B",G411/160,"")))</f>
        <v/>
      </c>
      <c r="J411" t="str">
        <f>IF(I411="","",_xlfn.XLOOKUP(I411,Lists!$C:$C,Lists!$D:$D))</f>
        <v/>
      </c>
      <c r="N411" t="str">
        <f t="shared" si="33" ref="N411:N474">IF(OR(M411="",L411=""),"",(M411*L411)/100000)</f>
        <v/>
      </c>
      <c r="O411" t="str">
        <f>IF(I411="","",_xlfn.XLOOKUP(I411,Lists!$C:$C,Lists!$J:$J))</f>
        <v/>
      </c>
      <c r="P411" t="str">
        <f>IF(I411="","",_xlfn.XLOOKUP(I411,Lists!$C:$C,Lists!$E:$E))</f>
        <v/>
      </c>
      <c r="Q411" s="21" t="str">
        <f t="shared" si="34" ref="Q411:Q474">IF(OR(A411="",P411=""),"",A411+P411+1)</f>
        <v/>
      </c>
      <c r="R411" t="str">
        <f t="shared" si="35" ref="R411:R474">IF(Q411="","",IF(Q411&lt;=TODAY(),"Allow","Not Allow"))</f>
        <v/>
      </c>
      <c r="S411" t="str">
        <f>IF(I411="","",_xlfn.XLOOKUP(I411,Lists!$C:$C,Lists!$I:$I))</f>
        <v/>
      </c>
    </row>
    <row r="412" spans="8:8">
      <c r="C412">
        <f>_xlfn.XLOOKUP(B412,Lists!B:B,Lists!A:A,"")</f>
        <v>0.0</v>
      </c>
      <c r="G412" t="str">
        <f t="shared" si="31"/>
        <v/>
      </c>
      <c r="H412" s="20" t="str">
        <f t="shared" si="32"/>
        <v/>
      </c>
      <c r="J412" t="str">
        <f>IF(I412="","",_xlfn.XLOOKUP(I412,Lists!$C:$C,Lists!$D:$D))</f>
        <v/>
      </c>
      <c r="N412" t="str">
        <f t="shared" si="33"/>
        <v/>
      </c>
      <c r="O412" t="str">
        <f>IF(I412="","",_xlfn.XLOOKUP(I412,Lists!$C:$C,Lists!$J:$J))</f>
        <v/>
      </c>
      <c r="P412" t="str">
        <f>IF(I412="","",_xlfn.XLOOKUP(I412,Lists!$C:$C,Lists!$E:$E))</f>
        <v/>
      </c>
      <c r="Q412" s="21" t="str">
        <f t="shared" si="34"/>
        <v/>
      </c>
      <c r="R412" t="str">
        <f t="shared" si="35"/>
        <v/>
      </c>
      <c r="S412" t="str">
        <f>IF(I412="","",_xlfn.XLOOKUP(I412,Lists!$C:$C,Lists!$I:$I))</f>
        <v/>
      </c>
    </row>
    <row r="413" spans="8:8">
      <c r="C413">
        <f>_xlfn.XLOOKUP(B413,Lists!B:B,Lists!A:A,"")</f>
        <v>0.0</v>
      </c>
      <c r="G413" t="str">
        <f t="shared" si="31"/>
        <v/>
      </c>
      <c r="H413" s="20" t="str">
        <f t="shared" si="32"/>
        <v/>
      </c>
      <c r="J413" t="str">
        <f>IF(I413="","",_xlfn.XLOOKUP(I413,Lists!$C:$C,Lists!$D:$D))</f>
        <v/>
      </c>
      <c r="N413" t="str">
        <f t="shared" si="33"/>
        <v/>
      </c>
      <c r="O413" t="str">
        <f>IF(I413="","",_xlfn.XLOOKUP(I413,Lists!$C:$C,Lists!$J:$J))</f>
        <v/>
      </c>
      <c r="P413" t="str">
        <f>IF(I413="","",_xlfn.XLOOKUP(I413,Lists!$C:$C,Lists!$E:$E))</f>
        <v/>
      </c>
      <c r="Q413" s="21" t="str">
        <f t="shared" si="34"/>
        <v/>
      </c>
      <c r="R413" t="str">
        <f t="shared" si="35"/>
        <v/>
      </c>
      <c r="S413" t="str">
        <f>IF(I413="","",_xlfn.XLOOKUP(I413,Lists!$C:$C,Lists!$I:$I))</f>
        <v/>
      </c>
    </row>
    <row r="414" spans="8:8">
      <c r="C414">
        <f>_xlfn.XLOOKUP(B414,Lists!B:B,Lists!A:A,"")</f>
        <v>0.0</v>
      </c>
      <c r="G414" t="str">
        <f t="shared" si="31"/>
        <v/>
      </c>
      <c r="H414" s="20" t="str">
        <f t="shared" si="32"/>
        <v/>
      </c>
      <c r="J414" t="str">
        <f>IF(I414="","",_xlfn.XLOOKUP(I414,Lists!$C:$C,Lists!$D:$D))</f>
        <v/>
      </c>
      <c r="N414" t="str">
        <f t="shared" si="33"/>
        <v/>
      </c>
      <c r="O414" t="str">
        <f>IF(I414="","",_xlfn.XLOOKUP(I414,Lists!$C:$C,Lists!$J:$J))</f>
        <v/>
      </c>
      <c r="P414" t="str">
        <f>IF(I414="","",_xlfn.XLOOKUP(I414,Lists!$C:$C,Lists!$E:$E))</f>
        <v/>
      </c>
      <c r="Q414" s="21" t="str">
        <f t="shared" si="34"/>
        <v/>
      </c>
      <c r="R414" t="str">
        <f t="shared" si="35"/>
        <v/>
      </c>
      <c r="S414" t="str">
        <f>IF(I414="","",_xlfn.XLOOKUP(I414,Lists!$C:$C,Lists!$I:$I))</f>
        <v/>
      </c>
    </row>
    <row r="415" spans="8:8">
      <c r="C415">
        <f>_xlfn.XLOOKUP(B415,Lists!B:B,Lists!A:A,"")</f>
        <v>0.0</v>
      </c>
      <c r="G415" t="str">
        <f t="shared" si="31"/>
        <v/>
      </c>
      <c r="H415" s="20" t="str">
        <f t="shared" si="32"/>
        <v/>
      </c>
      <c r="J415" t="str">
        <f>IF(I415="","",_xlfn.XLOOKUP(I415,Lists!$C:$C,Lists!$D:$D))</f>
        <v/>
      </c>
      <c r="N415" t="str">
        <f t="shared" si="33"/>
        <v/>
      </c>
      <c r="O415" t="str">
        <f>IF(I415="","",_xlfn.XLOOKUP(I415,Lists!$C:$C,Lists!$J:$J))</f>
        <v/>
      </c>
      <c r="P415" t="str">
        <f>IF(I415="","",_xlfn.XLOOKUP(I415,Lists!$C:$C,Lists!$E:$E))</f>
        <v/>
      </c>
      <c r="Q415" s="21" t="str">
        <f t="shared" si="34"/>
        <v/>
      </c>
      <c r="R415" t="str">
        <f t="shared" si="35"/>
        <v/>
      </c>
      <c r="S415" t="str">
        <f>IF(I415="","",_xlfn.XLOOKUP(I415,Lists!$C:$C,Lists!$I:$I))</f>
        <v/>
      </c>
    </row>
    <row r="416" spans="8:8">
      <c r="C416">
        <f>_xlfn.XLOOKUP(B416,Lists!B:B,Lists!A:A,"")</f>
        <v>0.0</v>
      </c>
      <c r="G416" t="str">
        <f t="shared" si="31"/>
        <v/>
      </c>
      <c r="H416" s="20" t="str">
        <f t="shared" si="32"/>
        <v/>
      </c>
      <c r="J416" t="str">
        <f>IF(I416="","",_xlfn.XLOOKUP(I416,Lists!$C:$C,Lists!$D:$D))</f>
        <v/>
      </c>
      <c r="N416" t="str">
        <f t="shared" si="33"/>
        <v/>
      </c>
      <c r="O416" t="str">
        <f>IF(I416="","",_xlfn.XLOOKUP(I416,Lists!$C:$C,Lists!$J:$J))</f>
        <v/>
      </c>
      <c r="P416" t="str">
        <f>IF(I416="","",_xlfn.XLOOKUP(I416,Lists!$C:$C,Lists!$E:$E))</f>
        <v/>
      </c>
      <c r="Q416" s="21" t="str">
        <f t="shared" si="34"/>
        <v/>
      </c>
      <c r="R416" t="str">
        <f t="shared" si="35"/>
        <v/>
      </c>
      <c r="S416" t="str">
        <f>IF(I416="","",_xlfn.XLOOKUP(I416,Lists!$C:$C,Lists!$I:$I))</f>
        <v/>
      </c>
    </row>
    <row r="417" spans="8:8">
      <c r="C417">
        <f>_xlfn.XLOOKUP(B417,Lists!B:B,Lists!A:A,"")</f>
        <v>0.0</v>
      </c>
      <c r="G417" t="str">
        <f t="shared" si="31"/>
        <v/>
      </c>
      <c r="H417" s="20" t="str">
        <f t="shared" si="32"/>
        <v/>
      </c>
      <c r="J417" t="str">
        <f>IF(I417="","",_xlfn.XLOOKUP(I417,Lists!$C:$C,Lists!$D:$D))</f>
        <v/>
      </c>
      <c r="N417" t="str">
        <f t="shared" si="33"/>
        <v/>
      </c>
      <c r="O417" t="str">
        <f>IF(I417="","",_xlfn.XLOOKUP(I417,Lists!$C:$C,Lists!$J:$J))</f>
        <v/>
      </c>
      <c r="P417" t="str">
        <f>IF(I417="","",_xlfn.XLOOKUP(I417,Lists!$C:$C,Lists!$E:$E))</f>
        <v/>
      </c>
      <c r="Q417" s="21" t="str">
        <f t="shared" si="34"/>
        <v/>
      </c>
      <c r="R417" t="str">
        <f t="shared" si="35"/>
        <v/>
      </c>
      <c r="S417" t="str">
        <f>IF(I417="","",_xlfn.XLOOKUP(I417,Lists!$C:$C,Lists!$I:$I))</f>
        <v/>
      </c>
    </row>
    <row r="418" spans="8:8">
      <c r="C418">
        <f>_xlfn.XLOOKUP(B418,Lists!B:B,Lists!A:A,"")</f>
        <v>0.0</v>
      </c>
      <c r="G418" t="str">
        <f t="shared" si="31"/>
        <v/>
      </c>
      <c r="H418" s="20" t="str">
        <f t="shared" si="32"/>
        <v/>
      </c>
      <c r="J418" t="str">
        <f>IF(I418="","",_xlfn.XLOOKUP(I418,Lists!$C:$C,Lists!$D:$D))</f>
        <v/>
      </c>
      <c r="N418" t="str">
        <f t="shared" si="33"/>
        <v/>
      </c>
      <c r="O418" t="str">
        <f>IF(I418="","",_xlfn.XLOOKUP(I418,Lists!$C:$C,Lists!$J:$J))</f>
        <v/>
      </c>
      <c r="P418" t="str">
        <f>IF(I418="","",_xlfn.XLOOKUP(I418,Lists!$C:$C,Lists!$E:$E))</f>
        <v/>
      </c>
      <c r="Q418" s="21" t="str">
        <f t="shared" si="34"/>
        <v/>
      </c>
      <c r="R418" t="str">
        <f t="shared" si="35"/>
        <v/>
      </c>
      <c r="S418" t="str">
        <f>IF(I418="","",_xlfn.XLOOKUP(I418,Lists!$C:$C,Lists!$I:$I))</f>
        <v/>
      </c>
    </row>
    <row r="419" spans="8:8">
      <c r="C419">
        <f>_xlfn.XLOOKUP(B419,Lists!B:B,Lists!A:A,"")</f>
        <v>0.0</v>
      </c>
      <c r="G419" t="str">
        <f t="shared" si="31"/>
        <v/>
      </c>
      <c r="H419" s="20" t="str">
        <f t="shared" si="32"/>
        <v/>
      </c>
      <c r="J419" t="str">
        <f>IF(I419="","",_xlfn.XLOOKUP(I419,Lists!$C:$C,Lists!$D:$D))</f>
        <v/>
      </c>
      <c r="N419" t="str">
        <f t="shared" si="33"/>
        <v/>
      </c>
      <c r="O419" t="str">
        <f>IF(I419="","",_xlfn.XLOOKUP(I419,Lists!$C:$C,Lists!$J:$J))</f>
        <v/>
      </c>
      <c r="P419" t="str">
        <f>IF(I419="","",_xlfn.XLOOKUP(I419,Lists!$C:$C,Lists!$E:$E))</f>
        <v/>
      </c>
      <c r="Q419" s="21" t="str">
        <f t="shared" si="34"/>
        <v/>
      </c>
      <c r="R419" t="str">
        <f t="shared" si="35"/>
        <v/>
      </c>
      <c r="S419" t="str">
        <f>IF(I419="","",_xlfn.XLOOKUP(I419,Lists!$C:$C,Lists!$I:$I))</f>
        <v/>
      </c>
    </row>
    <row r="420" spans="8:8">
      <c r="C420">
        <f>_xlfn.XLOOKUP(B420,Lists!B:B,Lists!A:A,"")</f>
        <v>0.0</v>
      </c>
      <c r="G420" t="str">
        <f t="shared" si="31"/>
        <v/>
      </c>
      <c r="H420" s="20" t="str">
        <f t="shared" si="32"/>
        <v/>
      </c>
      <c r="J420" t="str">
        <f>IF(I420="","",_xlfn.XLOOKUP(I420,Lists!$C:$C,Lists!$D:$D))</f>
        <v/>
      </c>
      <c r="N420" t="str">
        <f t="shared" si="33"/>
        <v/>
      </c>
      <c r="O420" t="str">
        <f>IF(I420="","",_xlfn.XLOOKUP(I420,Lists!$C:$C,Lists!$J:$J))</f>
        <v/>
      </c>
      <c r="P420" t="str">
        <f>IF(I420="","",_xlfn.XLOOKUP(I420,Lists!$C:$C,Lists!$E:$E))</f>
        <v/>
      </c>
      <c r="Q420" s="21" t="str">
        <f t="shared" si="34"/>
        <v/>
      </c>
      <c r="R420" t="str">
        <f t="shared" si="35"/>
        <v/>
      </c>
      <c r="S420" t="str">
        <f>IF(I420="","",_xlfn.XLOOKUP(I420,Lists!$C:$C,Lists!$I:$I))</f>
        <v/>
      </c>
    </row>
    <row r="421" spans="8:8">
      <c r="C421">
        <f>_xlfn.XLOOKUP(B421,Lists!B:B,Lists!A:A,"")</f>
        <v>0.0</v>
      </c>
      <c r="G421" t="str">
        <f t="shared" si="31"/>
        <v/>
      </c>
      <c r="H421" s="20" t="str">
        <f t="shared" si="32"/>
        <v/>
      </c>
      <c r="J421" t="str">
        <f>IF(I421="","",_xlfn.XLOOKUP(I421,Lists!$C:$C,Lists!$D:$D))</f>
        <v/>
      </c>
      <c r="N421" t="str">
        <f t="shared" si="33"/>
        <v/>
      </c>
      <c r="O421" t="str">
        <f>IF(I421="","",_xlfn.XLOOKUP(I421,Lists!$C:$C,Lists!$J:$J))</f>
        <v/>
      </c>
      <c r="P421" t="str">
        <f>IF(I421="","",_xlfn.XLOOKUP(I421,Lists!$C:$C,Lists!$E:$E))</f>
        <v/>
      </c>
      <c r="Q421" s="21" t="str">
        <f t="shared" si="34"/>
        <v/>
      </c>
      <c r="R421" t="str">
        <f t="shared" si="35"/>
        <v/>
      </c>
      <c r="S421" t="str">
        <f>IF(I421="","",_xlfn.XLOOKUP(I421,Lists!$C:$C,Lists!$I:$I))</f>
        <v/>
      </c>
    </row>
    <row r="422" spans="8:8">
      <c r="C422">
        <f>_xlfn.XLOOKUP(B422,Lists!B:B,Lists!A:A,"")</f>
        <v>0.0</v>
      </c>
      <c r="G422" t="str">
        <f t="shared" si="31"/>
        <v/>
      </c>
      <c r="H422" s="20" t="str">
        <f t="shared" si="32"/>
        <v/>
      </c>
      <c r="J422" t="str">
        <f>IF(I422="","",_xlfn.XLOOKUP(I422,Lists!$C:$C,Lists!$D:$D))</f>
        <v/>
      </c>
      <c r="N422" t="str">
        <f t="shared" si="33"/>
        <v/>
      </c>
      <c r="O422" t="str">
        <f>IF(I422="","",_xlfn.XLOOKUP(I422,Lists!$C:$C,Lists!$J:$J))</f>
        <v/>
      </c>
      <c r="P422" t="str">
        <f>IF(I422="","",_xlfn.XLOOKUP(I422,Lists!$C:$C,Lists!$E:$E))</f>
        <v/>
      </c>
      <c r="Q422" s="21" t="str">
        <f t="shared" si="34"/>
        <v/>
      </c>
      <c r="R422" t="str">
        <f t="shared" si="35"/>
        <v/>
      </c>
      <c r="S422" t="str">
        <f>IF(I422="","",_xlfn.XLOOKUP(I422,Lists!$C:$C,Lists!$I:$I))</f>
        <v/>
      </c>
    </row>
    <row r="423" spans="8:8">
      <c r="C423">
        <f>_xlfn.XLOOKUP(B423,Lists!B:B,Lists!A:A,"")</f>
        <v>0.0</v>
      </c>
      <c r="G423" t="str">
        <f t="shared" si="31"/>
        <v/>
      </c>
      <c r="H423" s="20" t="str">
        <f t="shared" si="32"/>
        <v/>
      </c>
      <c r="J423" t="str">
        <f>IF(I423="","",_xlfn.XLOOKUP(I423,Lists!$C:$C,Lists!$D:$D))</f>
        <v/>
      </c>
      <c r="N423" t="str">
        <f t="shared" si="33"/>
        <v/>
      </c>
      <c r="O423" t="str">
        <f>IF(I423="","",_xlfn.XLOOKUP(I423,Lists!$C:$C,Lists!$J:$J))</f>
        <v/>
      </c>
      <c r="P423" t="str">
        <f>IF(I423="","",_xlfn.XLOOKUP(I423,Lists!$C:$C,Lists!$E:$E))</f>
        <v/>
      </c>
      <c r="Q423" s="21" t="str">
        <f t="shared" si="34"/>
        <v/>
      </c>
      <c r="R423" t="str">
        <f t="shared" si="35"/>
        <v/>
      </c>
      <c r="S423" t="str">
        <f>IF(I423="","",_xlfn.XLOOKUP(I423,Lists!$C:$C,Lists!$I:$I))</f>
        <v/>
      </c>
    </row>
    <row r="424" spans="8:8">
      <c r="C424">
        <f>_xlfn.XLOOKUP(B424,Lists!B:B,Lists!A:A,"")</f>
        <v>0.0</v>
      </c>
      <c r="G424" t="str">
        <f t="shared" si="31"/>
        <v/>
      </c>
      <c r="H424" s="20" t="str">
        <f t="shared" si="32"/>
        <v/>
      </c>
      <c r="J424" t="str">
        <f>IF(I424="","",_xlfn.XLOOKUP(I424,Lists!$C:$C,Lists!$D:$D))</f>
        <v/>
      </c>
      <c r="N424" t="str">
        <f t="shared" si="33"/>
        <v/>
      </c>
      <c r="O424" t="str">
        <f>IF(I424="","",_xlfn.XLOOKUP(I424,Lists!$C:$C,Lists!$J:$J))</f>
        <v/>
      </c>
      <c r="P424" t="str">
        <f>IF(I424="","",_xlfn.XLOOKUP(I424,Lists!$C:$C,Lists!$E:$E))</f>
        <v/>
      </c>
      <c r="Q424" s="21" t="str">
        <f t="shared" si="34"/>
        <v/>
      </c>
      <c r="R424" t="str">
        <f t="shared" si="35"/>
        <v/>
      </c>
      <c r="S424" t="str">
        <f>IF(I424="","",_xlfn.XLOOKUP(I424,Lists!$C:$C,Lists!$I:$I))</f>
        <v/>
      </c>
    </row>
    <row r="425" spans="8:8">
      <c r="C425">
        <f>_xlfn.XLOOKUP(B425,Lists!B:B,Lists!A:A,"")</f>
        <v>0.0</v>
      </c>
      <c r="G425" t="str">
        <f t="shared" si="31"/>
        <v/>
      </c>
      <c r="H425" s="20" t="str">
        <f t="shared" si="32"/>
        <v/>
      </c>
      <c r="J425" t="str">
        <f>IF(I425="","",_xlfn.XLOOKUP(I425,Lists!$C:$C,Lists!$D:$D))</f>
        <v/>
      </c>
      <c r="N425" t="str">
        <f t="shared" si="33"/>
        <v/>
      </c>
      <c r="O425" t="str">
        <f>IF(I425="","",_xlfn.XLOOKUP(I425,Lists!$C:$C,Lists!$J:$J))</f>
        <v/>
      </c>
      <c r="P425" t="str">
        <f>IF(I425="","",_xlfn.XLOOKUP(I425,Lists!$C:$C,Lists!$E:$E))</f>
        <v/>
      </c>
      <c r="Q425" s="21" t="str">
        <f t="shared" si="34"/>
        <v/>
      </c>
      <c r="R425" t="str">
        <f t="shared" si="35"/>
        <v/>
      </c>
      <c r="S425" t="str">
        <f>IF(I425="","",_xlfn.XLOOKUP(I425,Lists!$C:$C,Lists!$I:$I))</f>
        <v/>
      </c>
    </row>
    <row r="426" spans="8:8">
      <c r="C426">
        <f>_xlfn.XLOOKUP(B426,Lists!B:B,Lists!A:A,"")</f>
        <v>0.0</v>
      </c>
      <c r="G426" t="str">
        <f t="shared" si="31"/>
        <v/>
      </c>
      <c r="H426" s="20" t="str">
        <f t="shared" si="32"/>
        <v/>
      </c>
      <c r="J426" t="str">
        <f>IF(I426="","",_xlfn.XLOOKUP(I426,Lists!$C:$C,Lists!$D:$D))</f>
        <v/>
      </c>
      <c r="N426" t="str">
        <f t="shared" si="33"/>
        <v/>
      </c>
      <c r="O426" t="str">
        <f>IF(I426="","",_xlfn.XLOOKUP(I426,Lists!$C:$C,Lists!$J:$J))</f>
        <v/>
      </c>
      <c r="P426" t="str">
        <f>IF(I426="","",_xlfn.XLOOKUP(I426,Lists!$C:$C,Lists!$E:$E))</f>
        <v/>
      </c>
      <c r="Q426" s="21" t="str">
        <f t="shared" si="34"/>
        <v/>
      </c>
      <c r="R426" t="str">
        <f t="shared" si="35"/>
        <v/>
      </c>
      <c r="S426" t="str">
        <f>IF(I426="","",_xlfn.XLOOKUP(I426,Lists!$C:$C,Lists!$I:$I))</f>
        <v/>
      </c>
    </row>
    <row r="427" spans="8:8">
      <c r="C427">
        <f>_xlfn.XLOOKUP(B427,Lists!B:B,Lists!A:A,"")</f>
        <v>0.0</v>
      </c>
      <c r="G427" t="str">
        <f t="shared" si="31"/>
        <v/>
      </c>
      <c r="H427" s="20" t="str">
        <f t="shared" si="32"/>
        <v/>
      </c>
      <c r="J427" t="str">
        <f>IF(I427="","",_xlfn.XLOOKUP(I427,Lists!$C:$C,Lists!$D:$D))</f>
        <v/>
      </c>
      <c r="N427" t="str">
        <f t="shared" si="33"/>
        <v/>
      </c>
      <c r="O427" t="str">
        <f>IF(I427="","",_xlfn.XLOOKUP(I427,Lists!$C:$C,Lists!$J:$J))</f>
        <v/>
      </c>
      <c r="P427" t="str">
        <f>IF(I427="","",_xlfn.XLOOKUP(I427,Lists!$C:$C,Lists!$E:$E))</f>
        <v/>
      </c>
      <c r="Q427" s="21" t="str">
        <f t="shared" si="34"/>
        <v/>
      </c>
      <c r="R427" t="str">
        <f t="shared" si="35"/>
        <v/>
      </c>
      <c r="S427" t="str">
        <f>IF(I427="","",_xlfn.XLOOKUP(I427,Lists!$C:$C,Lists!$I:$I))</f>
        <v/>
      </c>
    </row>
    <row r="428" spans="8:8">
      <c r="C428">
        <f>_xlfn.XLOOKUP(B428,Lists!B:B,Lists!A:A,"")</f>
        <v>0.0</v>
      </c>
      <c r="G428" t="str">
        <f t="shared" si="31"/>
        <v/>
      </c>
      <c r="H428" s="20" t="str">
        <f t="shared" si="32"/>
        <v/>
      </c>
      <c r="J428" t="str">
        <f>IF(I428="","",_xlfn.XLOOKUP(I428,Lists!$C:$C,Lists!$D:$D))</f>
        <v/>
      </c>
      <c r="N428" t="str">
        <f t="shared" si="33"/>
        <v/>
      </c>
      <c r="O428" t="str">
        <f>IF(I428="","",_xlfn.XLOOKUP(I428,Lists!$C:$C,Lists!$J:$J))</f>
        <v/>
      </c>
      <c r="P428" t="str">
        <f>IF(I428="","",_xlfn.XLOOKUP(I428,Lists!$C:$C,Lists!$E:$E))</f>
        <v/>
      </c>
      <c r="Q428" s="21" t="str">
        <f t="shared" si="34"/>
        <v/>
      </c>
      <c r="R428" t="str">
        <f t="shared" si="35"/>
        <v/>
      </c>
      <c r="S428" t="str">
        <f>IF(I428="","",_xlfn.XLOOKUP(I428,Lists!$C:$C,Lists!$I:$I))</f>
        <v/>
      </c>
    </row>
    <row r="429" spans="8:8">
      <c r="C429">
        <f>_xlfn.XLOOKUP(B429,Lists!B:B,Lists!A:A,"")</f>
        <v>0.0</v>
      </c>
      <c r="G429" t="str">
        <f t="shared" si="31"/>
        <v/>
      </c>
      <c r="H429" s="20" t="str">
        <f t="shared" si="32"/>
        <v/>
      </c>
      <c r="J429" t="str">
        <f>IF(I429="","",_xlfn.XLOOKUP(I429,Lists!$C:$C,Lists!$D:$D))</f>
        <v/>
      </c>
      <c r="N429" t="str">
        <f t="shared" si="33"/>
        <v/>
      </c>
      <c r="O429" t="str">
        <f>IF(I429="","",_xlfn.XLOOKUP(I429,Lists!$C:$C,Lists!$J:$J))</f>
        <v/>
      </c>
      <c r="P429" t="str">
        <f>IF(I429="","",_xlfn.XLOOKUP(I429,Lists!$C:$C,Lists!$E:$E))</f>
        <v/>
      </c>
      <c r="Q429" s="21" t="str">
        <f t="shared" si="34"/>
        <v/>
      </c>
      <c r="R429" t="str">
        <f t="shared" si="35"/>
        <v/>
      </c>
      <c r="S429" t="str">
        <f>IF(I429="","",_xlfn.XLOOKUP(I429,Lists!$C:$C,Lists!$I:$I))</f>
        <v/>
      </c>
    </row>
    <row r="430" spans="8:8">
      <c r="C430">
        <f>_xlfn.XLOOKUP(B430,Lists!B:B,Lists!A:A,"")</f>
        <v>0.0</v>
      </c>
      <c r="G430" t="str">
        <f t="shared" si="31"/>
        <v/>
      </c>
      <c r="H430" s="20" t="str">
        <f t="shared" si="32"/>
        <v/>
      </c>
      <c r="J430" t="str">
        <f>IF(I430="","",_xlfn.XLOOKUP(I430,Lists!$C:$C,Lists!$D:$D))</f>
        <v/>
      </c>
      <c r="N430" t="str">
        <f t="shared" si="33"/>
        <v/>
      </c>
      <c r="O430" t="str">
        <f>IF(I430="","",_xlfn.XLOOKUP(I430,Lists!$C:$C,Lists!$J:$J))</f>
        <v/>
      </c>
      <c r="P430" t="str">
        <f>IF(I430="","",_xlfn.XLOOKUP(I430,Lists!$C:$C,Lists!$E:$E))</f>
        <v/>
      </c>
      <c r="Q430" s="21" t="str">
        <f t="shared" si="34"/>
        <v/>
      </c>
      <c r="R430" t="str">
        <f t="shared" si="35"/>
        <v/>
      </c>
      <c r="S430" t="str">
        <f>IF(I430="","",_xlfn.XLOOKUP(I430,Lists!$C:$C,Lists!$I:$I))</f>
        <v/>
      </c>
    </row>
    <row r="431" spans="8:8">
      <c r="C431">
        <f>_xlfn.XLOOKUP(B431,Lists!B:B,Lists!A:A,"")</f>
        <v>0.0</v>
      </c>
      <c r="G431" t="str">
        <f t="shared" si="31"/>
        <v/>
      </c>
      <c r="H431" s="20" t="str">
        <f t="shared" si="32"/>
        <v/>
      </c>
      <c r="J431" t="str">
        <f>IF(I431="","",_xlfn.XLOOKUP(I431,Lists!$C:$C,Lists!$D:$D))</f>
        <v/>
      </c>
      <c r="N431" t="str">
        <f t="shared" si="33"/>
        <v/>
      </c>
      <c r="O431" t="str">
        <f>IF(I431="","",_xlfn.XLOOKUP(I431,Lists!$C:$C,Lists!$J:$J))</f>
        <v/>
      </c>
      <c r="P431" t="str">
        <f>IF(I431="","",_xlfn.XLOOKUP(I431,Lists!$C:$C,Lists!$E:$E))</f>
        <v/>
      </c>
      <c r="Q431" s="21" t="str">
        <f t="shared" si="34"/>
        <v/>
      </c>
      <c r="R431" t="str">
        <f t="shared" si="35"/>
        <v/>
      </c>
      <c r="S431" t="str">
        <f>IF(I431="","",_xlfn.XLOOKUP(I431,Lists!$C:$C,Lists!$I:$I))</f>
        <v/>
      </c>
    </row>
    <row r="432" spans="8:8">
      <c r="C432">
        <f>_xlfn.XLOOKUP(B432,Lists!B:B,Lists!A:A,"")</f>
        <v>0.0</v>
      </c>
      <c r="G432" t="str">
        <f t="shared" si="31"/>
        <v/>
      </c>
      <c r="H432" s="20" t="str">
        <f t="shared" si="32"/>
        <v/>
      </c>
      <c r="J432" t="str">
        <f>IF(I432="","",_xlfn.XLOOKUP(I432,Lists!$C:$C,Lists!$D:$D))</f>
        <v/>
      </c>
      <c r="N432" t="str">
        <f t="shared" si="33"/>
        <v/>
      </c>
      <c r="O432" t="str">
        <f>IF(I432="","",_xlfn.XLOOKUP(I432,Lists!$C:$C,Lists!$J:$J))</f>
        <v/>
      </c>
      <c r="P432" t="str">
        <f>IF(I432="","",_xlfn.XLOOKUP(I432,Lists!$C:$C,Lists!$E:$E))</f>
        <v/>
      </c>
      <c r="Q432" s="21" t="str">
        <f t="shared" si="34"/>
        <v/>
      </c>
      <c r="R432" t="str">
        <f t="shared" si="35"/>
        <v/>
      </c>
      <c r="S432" t="str">
        <f>IF(I432="","",_xlfn.XLOOKUP(I432,Lists!$C:$C,Lists!$I:$I))</f>
        <v/>
      </c>
    </row>
    <row r="433" spans="8:8">
      <c r="C433">
        <f>_xlfn.XLOOKUP(B433,Lists!B:B,Lists!A:A,"")</f>
        <v>0.0</v>
      </c>
      <c r="G433" t="str">
        <f t="shared" si="31"/>
        <v/>
      </c>
      <c r="H433" s="20" t="str">
        <f t="shared" si="32"/>
        <v/>
      </c>
      <c r="J433" t="str">
        <f>IF(I433="","",_xlfn.XLOOKUP(I433,Lists!$C:$C,Lists!$D:$D))</f>
        <v/>
      </c>
      <c r="N433" t="str">
        <f t="shared" si="33"/>
        <v/>
      </c>
      <c r="O433" t="str">
        <f>IF(I433="","",_xlfn.XLOOKUP(I433,Lists!$C:$C,Lists!$J:$J))</f>
        <v/>
      </c>
      <c r="P433" t="str">
        <f>IF(I433="","",_xlfn.XLOOKUP(I433,Lists!$C:$C,Lists!$E:$E))</f>
        <v/>
      </c>
      <c r="Q433" s="21" t="str">
        <f t="shared" si="34"/>
        <v/>
      </c>
      <c r="R433" t="str">
        <f t="shared" si="35"/>
        <v/>
      </c>
      <c r="S433" t="str">
        <f>IF(I433="","",_xlfn.XLOOKUP(I433,Lists!$C:$C,Lists!$I:$I))</f>
        <v/>
      </c>
    </row>
    <row r="434" spans="8:8">
      <c r="C434">
        <f>_xlfn.XLOOKUP(B434,Lists!B:B,Lists!A:A,"")</f>
        <v>0.0</v>
      </c>
      <c r="G434" t="str">
        <f t="shared" si="31"/>
        <v/>
      </c>
      <c r="H434" s="20" t="str">
        <f t="shared" si="32"/>
        <v/>
      </c>
      <c r="J434" t="str">
        <f>IF(I434="","",_xlfn.XLOOKUP(I434,Lists!$C:$C,Lists!$D:$D))</f>
        <v/>
      </c>
      <c r="N434" t="str">
        <f t="shared" si="33"/>
        <v/>
      </c>
      <c r="O434" t="str">
        <f>IF(I434="","",_xlfn.XLOOKUP(I434,Lists!$C:$C,Lists!$J:$J))</f>
        <v/>
      </c>
      <c r="P434" t="str">
        <f>IF(I434="","",_xlfn.XLOOKUP(I434,Lists!$C:$C,Lists!$E:$E))</f>
        <v/>
      </c>
      <c r="Q434" s="21" t="str">
        <f t="shared" si="34"/>
        <v/>
      </c>
      <c r="R434" t="str">
        <f t="shared" si="35"/>
        <v/>
      </c>
      <c r="S434" t="str">
        <f>IF(I434="","",_xlfn.XLOOKUP(I434,Lists!$C:$C,Lists!$I:$I))</f>
        <v/>
      </c>
    </row>
    <row r="435" spans="8:8">
      <c r="C435">
        <f>_xlfn.XLOOKUP(B435,Lists!B:B,Lists!A:A,"")</f>
        <v>0.0</v>
      </c>
      <c r="G435" t="str">
        <f t="shared" si="31"/>
        <v/>
      </c>
      <c r="H435" s="20" t="str">
        <f t="shared" si="32"/>
        <v/>
      </c>
      <c r="J435" t="str">
        <f>IF(I435="","",_xlfn.XLOOKUP(I435,Lists!$C:$C,Lists!$D:$D))</f>
        <v/>
      </c>
      <c r="N435" t="str">
        <f t="shared" si="33"/>
        <v/>
      </c>
      <c r="O435" t="str">
        <f>IF(I435="","",_xlfn.XLOOKUP(I435,Lists!$C:$C,Lists!$J:$J))</f>
        <v/>
      </c>
      <c r="P435" t="str">
        <f>IF(I435="","",_xlfn.XLOOKUP(I435,Lists!$C:$C,Lists!$E:$E))</f>
        <v/>
      </c>
      <c r="Q435" s="21" t="str">
        <f t="shared" si="34"/>
        <v/>
      </c>
      <c r="R435" t="str">
        <f t="shared" si="35"/>
        <v/>
      </c>
      <c r="S435" t="str">
        <f>IF(I435="","",_xlfn.XLOOKUP(I435,Lists!$C:$C,Lists!$I:$I))</f>
        <v/>
      </c>
    </row>
    <row r="436" spans="8:8">
      <c r="C436">
        <f>_xlfn.XLOOKUP(B436,Lists!B:B,Lists!A:A,"")</f>
        <v>0.0</v>
      </c>
      <c r="G436" t="str">
        <f t="shared" si="31"/>
        <v/>
      </c>
      <c r="H436" s="20" t="str">
        <f t="shared" si="32"/>
        <v/>
      </c>
      <c r="J436" t="str">
        <f>IF(I436="","",_xlfn.XLOOKUP(I436,Lists!$C:$C,Lists!$D:$D))</f>
        <v/>
      </c>
      <c r="N436" t="str">
        <f t="shared" si="33"/>
        <v/>
      </c>
      <c r="O436" t="str">
        <f>IF(I436="","",_xlfn.XLOOKUP(I436,Lists!$C:$C,Lists!$J:$J))</f>
        <v/>
      </c>
      <c r="P436" t="str">
        <f>IF(I436="","",_xlfn.XLOOKUP(I436,Lists!$C:$C,Lists!$E:$E))</f>
        <v/>
      </c>
      <c r="Q436" s="21" t="str">
        <f t="shared" si="34"/>
        <v/>
      </c>
      <c r="R436" t="str">
        <f t="shared" si="35"/>
        <v/>
      </c>
      <c r="S436" t="str">
        <f>IF(I436="","",_xlfn.XLOOKUP(I436,Lists!$C:$C,Lists!$I:$I))</f>
        <v/>
      </c>
    </row>
    <row r="437" spans="8:8">
      <c r="C437">
        <f>_xlfn.XLOOKUP(B437,Lists!B:B,Lists!A:A,"")</f>
        <v>0.0</v>
      </c>
      <c r="G437" t="str">
        <f t="shared" si="31"/>
        <v/>
      </c>
      <c r="H437" s="20" t="str">
        <f t="shared" si="32"/>
        <v/>
      </c>
      <c r="J437" t="str">
        <f>IF(I437="","",_xlfn.XLOOKUP(I437,Lists!$C:$C,Lists!$D:$D))</f>
        <v/>
      </c>
      <c r="N437" t="str">
        <f t="shared" si="33"/>
        <v/>
      </c>
      <c r="O437" t="str">
        <f>IF(I437="","",_xlfn.XLOOKUP(I437,Lists!$C:$C,Lists!$J:$J))</f>
        <v/>
      </c>
      <c r="P437" t="str">
        <f>IF(I437="","",_xlfn.XLOOKUP(I437,Lists!$C:$C,Lists!$E:$E))</f>
        <v/>
      </c>
      <c r="Q437" s="21" t="str">
        <f t="shared" si="34"/>
        <v/>
      </c>
      <c r="R437" t="str">
        <f t="shared" si="35"/>
        <v/>
      </c>
      <c r="S437" t="str">
        <f>IF(I437="","",_xlfn.XLOOKUP(I437,Lists!$C:$C,Lists!$I:$I))</f>
        <v/>
      </c>
    </row>
    <row r="438" spans="8:8">
      <c r="C438">
        <f>_xlfn.XLOOKUP(B438,Lists!B:B,Lists!A:A,"")</f>
        <v>0.0</v>
      </c>
      <c r="G438" t="str">
        <f t="shared" si="31"/>
        <v/>
      </c>
      <c r="H438" s="20" t="str">
        <f t="shared" si="32"/>
        <v/>
      </c>
      <c r="J438" t="str">
        <f>IF(I438="","",_xlfn.XLOOKUP(I438,Lists!$C:$C,Lists!$D:$D))</f>
        <v/>
      </c>
      <c r="N438" t="str">
        <f t="shared" si="33"/>
        <v/>
      </c>
      <c r="O438" t="str">
        <f>IF(I438="","",_xlfn.XLOOKUP(I438,Lists!$C:$C,Lists!$J:$J))</f>
        <v/>
      </c>
      <c r="P438" t="str">
        <f>IF(I438="","",_xlfn.XLOOKUP(I438,Lists!$C:$C,Lists!$E:$E))</f>
        <v/>
      </c>
      <c r="Q438" s="21" t="str">
        <f t="shared" si="34"/>
        <v/>
      </c>
      <c r="R438" t="str">
        <f t="shared" si="35"/>
        <v/>
      </c>
      <c r="S438" t="str">
        <f>IF(I438="","",_xlfn.XLOOKUP(I438,Lists!$C:$C,Lists!$I:$I))</f>
        <v/>
      </c>
    </row>
    <row r="439" spans="8:8">
      <c r="C439">
        <f>_xlfn.XLOOKUP(B439,Lists!B:B,Lists!A:A,"")</f>
        <v>0.0</v>
      </c>
      <c r="G439" t="str">
        <f t="shared" si="31"/>
        <v/>
      </c>
      <c r="H439" s="20" t="str">
        <f t="shared" si="32"/>
        <v/>
      </c>
      <c r="J439" t="str">
        <f>IF(I439="","",_xlfn.XLOOKUP(I439,Lists!$C:$C,Lists!$D:$D))</f>
        <v/>
      </c>
      <c r="N439" t="str">
        <f t="shared" si="33"/>
        <v/>
      </c>
      <c r="O439" t="str">
        <f>IF(I439="","",_xlfn.XLOOKUP(I439,Lists!$C:$C,Lists!$J:$J))</f>
        <v/>
      </c>
      <c r="P439" t="str">
        <f>IF(I439="","",_xlfn.XLOOKUP(I439,Lists!$C:$C,Lists!$E:$E))</f>
        <v/>
      </c>
      <c r="Q439" s="21" t="str">
        <f t="shared" si="34"/>
        <v/>
      </c>
      <c r="R439" t="str">
        <f t="shared" si="35"/>
        <v/>
      </c>
      <c r="S439" t="str">
        <f>IF(I439="","",_xlfn.XLOOKUP(I439,Lists!$C:$C,Lists!$I:$I))</f>
        <v/>
      </c>
    </row>
    <row r="440" spans="8:8">
      <c r="C440">
        <f>_xlfn.XLOOKUP(B440,Lists!B:B,Lists!A:A,"")</f>
        <v>0.0</v>
      </c>
      <c r="G440" t="str">
        <f t="shared" si="31"/>
        <v/>
      </c>
      <c r="H440" s="20" t="str">
        <f t="shared" si="32"/>
        <v/>
      </c>
      <c r="J440" t="str">
        <f>IF(I440="","",_xlfn.XLOOKUP(I440,Lists!$C:$C,Lists!$D:$D))</f>
        <v/>
      </c>
      <c r="N440" t="str">
        <f t="shared" si="33"/>
        <v/>
      </c>
      <c r="O440" t="str">
        <f>IF(I440="","",_xlfn.XLOOKUP(I440,Lists!$C:$C,Lists!$J:$J))</f>
        <v/>
      </c>
      <c r="P440" t="str">
        <f>IF(I440="","",_xlfn.XLOOKUP(I440,Lists!$C:$C,Lists!$E:$E))</f>
        <v/>
      </c>
      <c r="Q440" s="21" t="str">
        <f t="shared" si="34"/>
        <v/>
      </c>
      <c r="R440" t="str">
        <f t="shared" si="35"/>
        <v/>
      </c>
      <c r="S440" t="str">
        <f>IF(I440="","",_xlfn.XLOOKUP(I440,Lists!$C:$C,Lists!$I:$I))</f>
        <v/>
      </c>
    </row>
    <row r="441" spans="8:8">
      <c r="C441">
        <f>_xlfn.XLOOKUP(B441,Lists!B:B,Lists!A:A,"")</f>
        <v>0.0</v>
      </c>
      <c r="G441" t="str">
        <f t="shared" si="31"/>
        <v/>
      </c>
      <c r="H441" s="20" t="str">
        <f t="shared" si="32"/>
        <v/>
      </c>
      <c r="J441" t="str">
        <f>IF(I441="","",_xlfn.XLOOKUP(I441,Lists!$C:$C,Lists!$D:$D))</f>
        <v/>
      </c>
      <c r="N441" t="str">
        <f t="shared" si="33"/>
        <v/>
      </c>
      <c r="O441" t="str">
        <f>IF(I441="","",_xlfn.XLOOKUP(I441,Lists!$C:$C,Lists!$J:$J))</f>
        <v/>
      </c>
      <c r="P441" t="str">
        <f>IF(I441="","",_xlfn.XLOOKUP(I441,Lists!$C:$C,Lists!$E:$E))</f>
        <v/>
      </c>
      <c r="Q441" s="21" t="str">
        <f t="shared" si="34"/>
        <v/>
      </c>
      <c r="R441" t="str">
        <f t="shared" si="35"/>
        <v/>
      </c>
      <c r="S441" t="str">
        <f>IF(I441="","",_xlfn.XLOOKUP(I441,Lists!$C:$C,Lists!$I:$I))</f>
        <v/>
      </c>
    </row>
    <row r="442" spans="8:8">
      <c r="C442">
        <f>_xlfn.XLOOKUP(B442,Lists!B:B,Lists!A:A,"")</f>
        <v>0.0</v>
      </c>
      <c r="G442" t="str">
        <f t="shared" si="31"/>
        <v/>
      </c>
      <c r="H442" s="20" t="str">
        <f t="shared" si="32"/>
        <v/>
      </c>
      <c r="J442" t="str">
        <f>IF(I442="","",_xlfn.XLOOKUP(I442,Lists!$C:$C,Lists!$D:$D))</f>
        <v/>
      </c>
      <c r="N442" t="str">
        <f t="shared" si="33"/>
        <v/>
      </c>
      <c r="O442" t="str">
        <f>IF(I442="","",_xlfn.XLOOKUP(I442,Lists!$C:$C,Lists!$J:$J))</f>
        <v/>
      </c>
      <c r="P442" t="str">
        <f>IF(I442="","",_xlfn.XLOOKUP(I442,Lists!$C:$C,Lists!$E:$E))</f>
        <v/>
      </c>
      <c r="Q442" s="21" t="str">
        <f t="shared" si="34"/>
        <v/>
      </c>
      <c r="R442" t="str">
        <f t="shared" si="35"/>
        <v/>
      </c>
      <c r="S442" t="str">
        <f>IF(I442="","",_xlfn.XLOOKUP(I442,Lists!$C:$C,Lists!$I:$I))</f>
        <v/>
      </c>
    </row>
    <row r="443" spans="8:8">
      <c r="C443">
        <f>_xlfn.XLOOKUP(B443,Lists!B:B,Lists!A:A,"")</f>
        <v>0.0</v>
      </c>
      <c r="G443" t="str">
        <f t="shared" si="31"/>
        <v/>
      </c>
      <c r="H443" s="20" t="str">
        <f t="shared" si="32"/>
        <v/>
      </c>
      <c r="J443" t="str">
        <f>IF(I443="","",_xlfn.XLOOKUP(I443,Lists!$C:$C,Lists!$D:$D))</f>
        <v/>
      </c>
      <c r="N443" t="str">
        <f t="shared" si="33"/>
        <v/>
      </c>
      <c r="O443" t="str">
        <f>IF(I443="","",_xlfn.XLOOKUP(I443,Lists!$C:$C,Lists!$J:$J))</f>
        <v/>
      </c>
      <c r="P443" t="str">
        <f>IF(I443="","",_xlfn.XLOOKUP(I443,Lists!$C:$C,Lists!$E:$E))</f>
        <v/>
      </c>
      <c r="Q443" s="21" t="str">
        <f t="shared" si="34"/>
        <v/>
      </c>
      <c r="R443" t="str">
        <f t="shared" si="35"/>
        <v/>
      </c>
      <c r="S443" t="str">
        <f>IF(I443="","",_xlfn.XLOOKUP(I443,Lists!$C:$C,Lists!$I:$I))</f>
        <v/>
      </c>
    </row>
    <row r="444" spans="8:8">
      <c r="C444">
        <f>_xlfn.XLOOKUP(B444,Lists!B:B,Lists!A:A,"")</f>
        <v>0.0</v>
      </c>
      <c r="G444" t="str">
        <f t="shared" si="31"/>
        <v/>
      </c>
      <c r="H444" s="20" t="str">
        <f t="shared" si="32"/>
        <v/>
      </c>
      <c r="J444" t="str">
        <f>IF(I444="","",_xlfn.XLOOKUP(I444,Lists!$C:$C,Lists!$D:$D))</f>
        <v/>
      </c>
      <c r="N444" t="str">
        <f t="shared" si="33"/>
        <v/>
      </c>
      <c r="O444" t="str">
        <f>IF(I444="","",_xlfn.XLOOKUP(I444,Lists!$C:$C,Lists!$J:$J))</f>
        <v/>
      </c>
      <c r="P444" t="str">
        <f>IF(I444="","",_xlfn.XLOOKUP(I444,Lists!$C:$C,Lists!$E:$E))</f>
        <v/>
      </c>
      <c r="Q444" s="21" t="str">
        <f t="shared" si="34"/>
        <v/>
      </c>
      <c r="R444" t="str">
        <f t="shared" si="35"/>
        <v/>
      </c>
      <c r="S444" t="str">
        <f>IF(I444="","",_xlfn.XLOOKUP(I444,Lists!$C:$C,Lists!$I:$I))</f>
        <v/>
      </c>
    </row>
    <row r="445" spans="8:8">
      <c r="C445">
        <f>_xlfn.XLOOKUP(B445,Lists!B:B,Lists!A:A,"")</f>
        <v>0.0</v>
      </c>
      <c r="G445" t="str">
        <f t="shared" si="31"/>
        <v/>
      </c>
      <c r="H445" s="20" t="str">
        <f t="shared" si="32"/>
        <v/>
      </c>
      <c r="J445" t="str">
        <f>IF(I445="","",_xlfn.XLOOKUP(I445,Lists!$C:$C,Lists!$D:$D))</f>
        <v/>
      </c>
      <c r="N445" t="str">
        <f t="shared" si="33"/>
        <v/>
      </c>
      <c r="O445" t="str">
        <f>IF(I445="","",_xlfn.XLOOKUP(I445,Lists!$C:$C,Lists!$J:$J))</f>
        <v/>
      </c>
      <c r="P445" t="str">
        <f>IF(I445="","",_xlfn.XLOOKUP(I445,Lists!$C:$C,Lists!$E:$E))</f>
        <v/>
      </c>
      <c r="Q445" s="21" t="str">
        <f t="shared" si="34"/>
        <v/>
      </c>
      <c r="R445" t="str">
        <f t="shared" si="35"/>
        <v/>
      </c>
      <c r="S445" t="str">
        <f>IF(I445="","",_xlfn.XLOOKUP(I445,Lists!$C:$C,Lists!$I:$I))</f>
        <v/>
      </c>
    </row>
    <row r="446" spans="8:8">
      <c r="C446">
        <f>_xlfn.XLOOKUP(B446,Lists!B:B,Lists!A:A,"")</f>
        <v>0.0</v>
      </c>
      <c r="G446" t="str">
        <f t="shared" si="31"/>
        <v/>
      </c>
      <c r="H446" s="20" t="str">
        <f t="shared" si="32"/>
        <v/>
      </c>
      <c r="J446" t="str">
        <f>IF(I446="","",_xlfn.XLOOKUP(I446,Lists!$C:$C,Lists!$D:$D))</f>
        <v/>
      </c>
      <c r="N446" t="str">
        <f t="shared" si="33"/>
        <v/>
      </c>
      <c r="O446" t="str">
        <f>IF(I446="","",_xlfn.XLOOKUP(I446,Lists!$C:$C,Lists!$J:$J))</f>
        <v/>
      </c>
      <c r="P446" t="str">
        <f>IF(I446="","",_xlfn.XLOOKUP(I446,Lists!$C:$C,Lists!$E:$E))</f>
        <v/>
      </c>
      <c r="Q446" s="21" t="str">
        <f t="shared" si="34"/>
        <v/>
      </c>
      <c r="R446" t="str">
        <f t="shared" si="35"/>
        <v/>
      </c>
      <c r="S446" t="str">
        <f>IF(I446="","",_xlfn.XLOOKUP(I446,Lists!$C:$C,Lists!$I:$I))</f>
        <v/>
      </c>
    </row>
    <row r="447" spans="8:8">
      <c r="C447">
        <f>_xlfn.XLOOKUP(B447,Lists!B:B,Lists!A:A,"")</f>
        <v>0.0</v>
      </c>
      <c r="G447" t="str">
        <f t="shared" si="31"/>
        <v/>
      </c>
      <c r="H447" s="20" t="str">
        <f t="shared" si="32"/>
        <v/>
      </c>
      <c r="J447" t="str">
        <f>IF(I447="","",_xlfn.XLOOKUP(I447,Lists!$C:$C,Lists!$D:$D))</f>
        <v/>
      </c>
      <c r="N447" t="str">
        <f t="shared" si="33"/>
        <v/>
      </c>
      <c r="O447" t="str">
        <f>IF(I447="","",_xlfn.XLOOKUP(I447,Lists!$C:$C,Lists!$J:$J))</f>
        <v/>
      </c>
      <c r="P447" t="str">
        <f>IF(I447="","",_xlfn.XLOOKUP(I447,Lists!$C:$C,Lists!$E:$E))</f>
        <v/>
      </c>
      <c r="Q447" s="21" t="str">
        <f t="shared" si="34"/>
        <v/>
      </c>
      <c r="R447" t="str">
        <f t="shared" si="35"/>
        <v/>
      </c>
      <c r="S447" t="str">
        <f>IF(I447="","",_xlfn.XLOOKUP(I447,Lists!$C:$C,Lists!$I:$I))</f>
        <v/>
      </c>
    </row>
    <row r="448" spans="8:8">
      <c r="C448">
        <f>_xlfn.XLOOKUP(B448,Lists!B:B,Lists!A:A,"")</f>
        <v>0.0</v>
      </c>
      <c r="G448" t="str">
        <f t="shared" si="31"/>
        <v/>
      </c>
      <c r="H448" s="20" t="str">
        <f t="shared" si="32"/>
        <v/>
      </c>
      <c r="J448" t="str">
        <f>IF(I448="","",_xlfn.XLOOKUP(I448,Lists!$C:$C,Lists!$D:$D))</f>
        <v/>
      </c>
      <c r="N448" t="str">
        <f t="shared" si="33"/>
        <v/>
      </c>
      <c r="O448" t="str">
        <f>IF(I448="","",_xlfn.XLOOKUP(I448,Lists!$C:$C,Lists!$J:$J))</f>
        <v/>
      </c>
      <c r="P448" t="str">
        <f>IF(I448="","",_xlfn.XLOOKUP(I448,Lists!$C:$C,Lists!$E:$E))</f>
        <v/>
      </c>
      <c r="Q448" s="21" t="str">
        <f t="shared" si="34"/>
        <v/>
      </c>
      <c r="R448" t="str">
        <f t="shared" si="35"/>
        <v/>
      </c>
      <c r="S448" t="str">
        <f>IF(I448="","",_xlfn.XLOOKUP(I448,Lists!$C:$C,Lists!$I:$I))</f>
        <v/>
      </c>
    </row>
    <row r="449" spans="8:8">
      <c r="C449">
        <f>_xlfn.XLOOKUP(B449,Lists!B:B,Lists!A:A,"")</f>
        <v>0.0</v>
      </c>
      <c r="G449" t="str">
        <f t="shared" si="31"/>
        <v/>
      </c>
      <c r="H449" s="20" t="str">
        <f t="shared" si="32"/>
        <v/>
      </c>
      <c r="J449" t="str">
        <f>IF(I449="","",_xlfn.XLOOKUP(I449,Lists!$C:$C,Lists!$D:$D))</f>
        <v/>
      </c>
      <c r="N449" t="str">
        <f t="shared" si="33"/>
        <v/>
      </c>
      <c r="O449" t="str">
        <f>IF(I449="","",_xlfn.XLOOKUP(I449,Lists!$C:$C,Lists!$J:$J))</f>
        <v/>
      </c>
      <c r="P449" t="str">
        <f>IF(I449="","",_xlfn.XLOOKUP(I449,Lists!$C:$C,Lists!$E:$E))</f>
        <v/>
      </c>
      <c r="Q449" s="21" t="str">
        <f t="shared" si="34"/>
        <v/>
      </c>
      <c r="R449" t="str">
        <f t="shared" si="35"/>
        <v/>
      </c>
      <c r="S449" t="str">
        <f>IF(I449="","",_xlfn.XLOOKUP(I449,Lists!$C:$C,Lists!$I:$I))</f>
        <v/>
      </c>
    </row>
    <row r="450" spans="8:8">
      <c r="C450">
        <f>_xlfn.XLOOKUP(B450,Lists!B:B,Lists!A:A,"")</f>
        <v>0.0</v>
      </c>
      <c r="G450" t="str">
        <f t="shared" si="31"/>
        <v/>
      </c>
      <c r="H450" s="20" t="str">
        <f t="shared" si="32"/>
        <v/>
      </c>
      <c r="J450" t="str">
        <f>IF(I450="","",_xlfn.XLOOKUP(I450,Lists!$C:$C,Lists!$D:$D))</f>
        <v/>
      </c>
      <c r="N450" t="str">
        <f t="shared" si="33"/>
        <v/>
      </c>
      <c r="O450" t="str">
        <f>IF(I450="","",_xlfn.XLOOKUP(I450,Lists!$C:$C,Lists!$J:$J))</f>
        <v/>
      </c>
      <c r="P450" t="str">
        <f>IF(I450="","",_xlfn.XLOOKUP(I450,Lists!$C:$C,Lists!$E:$E))</f>
        <v/>
      </c>
      <c r="Q450" s="21" t="str">
        <f t="shared" si="34"/>
        <v/>
      </c>
      <c r="R450" t="str">
        <f t="shared" si="35"/>
        <v/>
      </c>
      <c r="S450" t="str">
        <f>IF(I450="","",_xlfn.XLOOKUP(I450,Lists!$C:$C,Lists!$I:$I))</f>
        <v/>
      </c>
    </row>
    <row r="451" spans="8:8">
      <c r="C451">
        <f>_xlfn.XLOOKUP(B451,Lists!B:B,Lists!A:A,"")</f>
        <v>0.0</v>
      </c>
      <c r="G451" t="str">
        <f t="shared" si="31"/>
        <v/>
      </c>
      <c r="H451" s="20" t="str">
        <f t="shared" si="32"/>
        <v/>
      </c>
      <c r="J451" t="str">
        <f>IF(I451="","",_xlfn.XLOOKUP(I451,Lists!$C:$C,Lists!$D:$D))</f>
        <v/>
      </c>
      <c r="N451" t="str">
        <f t="shared" si="33"/>
        <v/>
      </c>
      <c r="O451" t="str">
        <f>IF(I451="","",_xlfn.XLOOKUP(I451,Lists!$C:$C,Lists!$J:$J))</f>
        <v/>
      </c>
      <c r="P451" t="str">
        <f>IF(I451="","",_xlfn.XLOOKUP(I451,Lists!$C:$C,Lists!$E:$E))</f>
        <v/>
      </c>
      <c r="Q451" s="21" t="str">
        <f t="shared" si="34"/>
        <v/>
      </c>
      <c r="R451" t="str">
        <f t="shared" si="35"/>
        <v/>
      </c>
      <c r="S451" t="str">
        <f>IF(I451="","",_xlfn.XLOOKUP(I451,Lists!$C:$C,Lists!$I:$I))</f>
        <v/>
      </c>
    </row>
    <row r="452" spans="8:8">
      <c r="C452">
        <f>_xlfn.XLOOKUP(B452,Lists!B:B,Lists!A:A,"")</f>
        <v>0.0</v>
      </c>
      <c r="G452" t="str">
        <f t="shared" si="31"/>
        <v/>
      </c>
      <c r="H452" s="20" t="str">
        <f t="shared" si="32"/>
        <v/>
      </c>
      <c r="J452" t="str">
        <f>IF(I452="","",_xlfn.XLOOKUP(I452,Lists!$C:$C,Lists!$D:$D))</f>
        <v/>
      </c>
      <c r="N452" t="str">
        <f t="shared" si="33"/>
        <v/>
      </c>
      <c r="O452" t="str">
        <f>IF(I452="","",_xlfn.XLOOKUP(I452,Lists!$C:$C,Lists!$J:$J))</f>
        <v/>
      </c>
      <c r="P452" t="str">
        <f>IF(I452="","",_xlfn.XLOOKUP(I452,Lists!$C:$C,Lists!$E:$E))</f>
        <v/>
      </c>
      <c r="Q452" s="21" t="str">
        <f t="shared" si="34"/>
        <v/>
      </c>
      <c r="R452" t="str">
        <f t="shared" si="35"/>
        <v/>
      </c>
      <c r="S452" t="str">
        <f>IF(I452="","",_xlfn.XLOOKUP(I452,Lists!$C:$C,Lists!$I:$I))</f>
        <v/>
      </c>
    </row>
    <row r="453" spans="8:8">
      <c r="C453">
        <f>_xlfn.XLOOKUP(B453,Lists!B:B,Lists!A:A,"")</f>
        <v>0.0</v>
      </c>
      <c r="G453" t="str">
        <f t="shared" si="31"/>
        <v/>
      </c>
      <c r="H453" s="20" t="str">
        <f t="shared" si="32"/>
        <v/>
      </c>
      <c r="J453" t="str">
        <f>IF(I453="","",_xlfn.XLOOKUP(I453,Lists!$C:$C,Lists!$D:$D))</f>
        <v/>
      </c>
      <c r="N453" t="str">
        <f t="shared" si="33"/>
        <v/>
      </c>
      <c r="O453" t="str">
        <f>IF(I453="","",_xlfn.XLOOKUP(I453,Lists!$C:$C,Lists!$J:$J))</f>
        <v/>
      </c>
      <c r="P453" t="str">
        <f>IF(I453="","",_xlfn.XLOOKUP(I453,Lists!$C:$C,Lists!$E:$E))</f>
        <v/>
      </c>
      <c r="Q453" s="21" t="str">
        <f t="shared" si="34"/>
        <v/>
      </c>
      <c r="R453" t="str">
        <f t="shared" si="35"/>
        <v/>
      </c>
      <c r="S453" t="str">
        <f>IF(I453="","",_xlfn.XLOOKUP(I453,Lists!$C:$C,Lists!$I:$I))</f>
        <v/>
      </c>
    </row>
    <row r="454" spans="8:8">
      <c r="C454">
        <f>_xlfn.XLOOKUP(B454,Lists!B:B,Lists!A:A,"")</f>
        <v>0.0</v>
      </c>
      <c r="G454" t="str">
        <f t="shared" si="31"/>
        <v/>
      </c>
      <c r="H454" s="20" t="str">
        <f t="shared" si="32"/>
        <v/>
      </c>
      <c r="J454" t="str">
        <f>IF(I454="","",_xlfn.XLOOKUP(I454,Lists!$C:$C,Lists!$D:$D))</f>
        <v/>
      </c>
      <c r="N454" t="str">
        <f t="shared" si="33"/>
        <v/>
      </c>
      <c r="O454" t="str">
        <f>IF(I454="","",_xlfn.XLOOKUP(I454,Lists!$C:$C,Lists!$J:$J))</f>
        <v/>
      </c>
      <c r="P454" t="str">
        <f>IF(I454="","",_xlfn.XLOOKUP(I454,Lists!$C:$C,Lists!$E:$E))</f>
        <v/>
      </c>
      <c r="Q454" s="21" t="str">
        <f t="shared" si="34"/>
        <v/>
      </c>
      <c r="R454" t="str">
        <f t="shared" si="35"/>
        <v/>
      </c>
      <c r="S454" t="str">
        <f>IF(I454="","",_xlfn.XLOOKUP(I454,Lists!$C:$C,Lists!$I:$I))</f>
        <v/>
      </c>
    </row>
    <row r="455" spans="8:8">
      <c r="C455">
        <f>_xlfn.XLOOKUP(B455,Lists!B:B,Lists!A:A,"")</f>
        <v>0.0</v>
      </c>
      <c r="G455" t="str">
        <f t="shared" si="31"/>
        <v/>
      </c>
      <c r="H455" s="20" t="str">
        <f t="shared" si="32"/>
        <v/>
      </c>
      <c r="J455" t="str">
        <f>IF(I455="","",_xlfn.XLOOKUP(I455,Lists!$C:$C,Lists!$D:$D))</f>
        <v/>
      </c>
      <c r="N455" t="str">
        <f t="shared" si="33"/>
        <v/>
      </c>
      <c r="O455" t="str">
        <f>IF(I455="","",_xlfn.XLOOKUP(I455,Lists!$C:$C,Lists!$J:$J))</f>
        <v/>
      </c>
      <c r="P455" t="str">
        <f>IF(I455="","",_xlfn.XLOOKUP(I455,Lists!$C:$C,Lists!$E:$E))</f>
        <v/>
      </c>
      <c r="Q455" s="21" t="str">
        <f t="shared" si="34"/>
        <v/>
      </c>
      <c r="R455" t="str">
        <f t="shared" si="35"/>
        <v/>
      </c>
      <c r="S455" t="str">
        <f>IF(I455="","",_xlfn.XLOOKUP(I455,Lists!$C:$C,Lists!$I:$I))</f>
        <v/>
      </c>
    </row>
    <row r="456" spans="8:8">
      <c r="C456">
        <f>_xlfn.XLOOKUP(B456,Lists!B:B,Lists!A:A,"")</f>
        <v>0.0</v>
      </c>
      <c r="G456" t="str">
        <f t="shared" si="31"/>
        <v/>
      </c>
      <c r="H456" s="20" t="str">
        <f t="shared" si="32"/>
        <v/>
      </c>
      <c r="J456" t="str">
        <f>IF(I456="","",_xlfn.XLOOKUP(I456,Lists!$C:$C,Lists!$D:$D))</f>
        <v/>
      </c>
      <c r="N456" t="str">
        <f t="shared" si="33"/>
        <v/>
      </c>
      <c r="O456" t="str">
        <f>IF(I456="","",_xlfn.XLOOKUP(I456,Lists!$C:$C,Lists!$J:$J))</f>
        <v/>
      </c>
      <c r="P456" t="str">
        <f>IF(I456="","",_xlfn.XLOOKUP(I456,Lists!$C:$C,Lists!$E:$E))</f>
        <v/>
      </c>
      <c r="Q456" s="21" t="str">
        <f t="shared" si="34"/>
        <v/>
      </c>
      <c r="R456" t="str">
        <f t="shared" si="35"/>
        <v/>
      </c>
      <c r="S456" t="str">
        <f>IF(I456="","",_xlfn.XLOOKUP(I456,Lists!$C:$C,Lists!$I:$I))</f>
        <v/>
      </c>
    </row>
    <row r="457" spans="8:8">
      <c r="C457">
        <f>_xlfn.XLOOKUP(B457,Lists!B:B,Lists!A:A,"")</f>
        <v>0.0</v>
      </c>
      <c r="G457" t="str">
        <f t="shared" si="31"/>
        <v/>
      </c>
      <c r="H457" s="20" t="str">
        <f t="shared" si="32"/>
        <v/>
      </c>
      <c r="J457" t="str">
        <f>IF(I457="","",_xlfn.XLOOKUP(I457,Lists!$C:$C,Lists!$D:$D))</f>
        <v/>
      </c>
      <c r="N457" t="str">
        <f t="shared" si="33"/>
        <v/>
      </c>
      <c r="O457" t="str">
        <f>IF(I457="","",_xlfn.XLOOKUP(I457,Lists!$C:$C,Lists!$J:$J))</f>
        <v/>
      </c>
      <c r="P457" t="str">
        <f>IF(I457="","",_xlfn.XLOOKUP(I457,Lists!$C:$C,Lists!$E:$E))</f>
        <v/>
      </c>
      <c r="Q457" s="21" t="str">
        <f t="shared" si="34"/>
        <v/>
      </c>
      <c r="R457" t="str">
        <f t="shared" si="35"/>
        <v/>
      </c>
      <c r="S457" t="str">
        <f>IF(I457="","",_xlfn.XLOOKUP(I457,Lists!$C:$C,Lists!$I:$I))</f>
        <v/>
      </c>
    </row>
    <row r="458" spans="8:8">
      <c r="C458">
        <f>_xlfn.XLOOKUP(B458,Lists!B:B,Lists!A:A,"")</f>
        <v>0.0</v>
      </c>
      <c r="G458" t="str">
        <f t="shared" si="31"/>
        <v/>
      </c>
      <c r="H458" s="20" t="str">
        <f t="shared" si="32"/>
        <v/>
      </c>
      <c r="J458" t="str">
        <f>IF(I458="","",_xlfn.XLOOKUP(I458,Lists!$C:$C,Lists!$D:$D))</f>
        <v/>
      </c>
      <c r="N458" t="str">
        <f t="shared" si="33"/>
        <v/>
      </c>
      <c r="O458" t="str">
        <f>IF(I458="","",_xlfn.XLOOKUP(I458,Lists!$C:$C,Lists!$J:$J))</f>
        <v/>
      </c>
      <c r="P458" t="str">
        <f>IF(I458="","",_xlfn.XLOOKUP(I458,Lists!$C:$C,Lists!$E:$E))</f>
        <v/>
      </c>
      <c r="Q458" s="21" t="str">
        <f t="shared" si="34"/>
        <v/>
      </c>
      <c r="R458" t="str">
        <f t="shared" si="35"/>
        <v/>
      </c>
      <c r="S458" t="str">
        <f>IF(I458="","",_xlfn.XLOOKUP(I458,Lists!$C:$C,Lists!$I:$I))</f>
        <v/>
      </c>
    </row>
    <row r="459" spans="8:8">
      <c r="C459">
        <f>_xlfn.XLOOKUP(B459,Lists!B:B,Lists!A:A,"")</f>
        <v>0.0</v>
      </c>
      <c r="G459" t="str">
        <f t="shared" si="31"/>
        <v/>
      </c>
      <c r="H459" s="20" t="str">
        <f t="shared" si="32"/>
        <v/>
      </c>
      <c r="J459" t="str">
        <f>IF(I459="","",_xlfn.XLOOKUP(I459,Lists!$C:$C,Lists!$D:$D))</f>
        <v/>
      </c>
      <c r="N459" t="str">
        <f t="shared" si="33"/>
        <v/>
      </c>
      <c r="O459" t="str">
        <f>IF(I459="","",_xlfn.XLOOKUP(I459,Lists!$C:$C,Lists!$J:$J))</f>
        <v/>
      </c>
      <c r="P459" t="str">
        <f>IF(I459="","",_xlfn.XLOOKUP(I459,Lists!$C:$C,Lists!$E:$E))</f>
        <v/>
      </c>
      <c r="Q459" s="21" t="str">
        <f t="shared" si="34"/>
        <v/>
      </c>
      <c r="R459" t="str">
        <f t="shared" si="35"/>
        <v/>
      </c>
      <c r="S459" t="str">
        <f>IF(I459="","",_xlfn.XLOOKUP(I459,Lists!$C:$C,Lists!$I:$I))</f>
        <v/>
      </c>
    </row>
    <row r="460" spans="8:8">
      <c r="C460">
        <f>_xlfn.XLOOKUP(B460,Lists!B:B,Lists!A:A,"")</f>
        <v>0.0</v>
      </c>
      <c r="G460" t="str">
        <f t="shared" si="31"/>
        <v/>
      </c>
      <c r="H460" s="20" t="str">
        <f t="shared" si="32"/>
        <v/>
      </c>
      <c r="J460" t="str">
        <f>IF(I460="","",_xlfn.XLOOKUP(I460,Lists!$C:$C,Lists!$D:$D))</f>
        <v/>
      </c>
      <c r="N460" t="str">
        <f t="shared" si="33"/>
        <v/>
      </c>
      <c r="O460" t="str">
        <f>IF(I460="","",_xlfn.XLOOKUP(I460,Lists!$C:$C,Lists!$J:$J))</f>
        <v/>
      </c>
      <c r="P460" t="str">
        <f>IF(I460="","",_xlfn.XLOOKUP(I460,Lists!$C:$C,Lists!$E:$E))</f>
        <v/>
      </c>
      <c r="Q460" s="21" t="str">
        <f t="shared" si="34"/>
        <v/>
      </c>
      <c r="R460" t="str">
        <f t="shared" si="35"/>
        <v/>
      </c>
      <c r="S460" t="str">
        <f>IF(I460="","",_xlfn.XLOOKUP(I460,Lists!$C:$C,Lists!$I:$I))</f>
        <v/>
      </c>
    </row>
    <row r="461" spans="8:8">
      <c r="C461">
        <f>_xlfn.XLOOKUP(B461,Lists!B:B,Lists!A:A,"")</f>
        <v>0.0</v>
      </c>
      <c r="G461" t="str">
        <f t="shared" si="31"/>
        <v/>
      </c>
      <c r="H461" s="20" t="str">
        <f t="shared" si="32"/>
        <v/>
      </c>
      <c r="J461" t="str">
        <f>IF(I461="","",_xlfn.XLOOKUP(I461,Lists!$C:$C,Lists!$D:$D))</f>
        <v/>
      </c>
      <c r="N461" t="str">
        <f t="shared" si="33"/>
        <v/>
      </c>
      <c r="O461" t="str">
        <f>IF(I461="","",_xlfn.XLOOKUP(I461,Lists!$C:$C,Lists!$J:$J))</f>
        <v/>
      </c>
      <c r="P461" t="str">
        <f>IF(I461="","",_xlfn.XLOOKUP(I461,Lists!$C:$C,Lists!$E:$E))</f>
        <v/>
      </c>
      <c r="Q461" s="21" t="str">
        <f t="shared" si="34"/>
        <v/>
      </c>
      <c r="R461" t="str">
        <f t="shared" si="35"/>
        <v/>
      </c>
      <c r="S461" t="str">
        <f>IF(I461="","",_xlfn.XLOOKUP(I461,Lists!$C:$C,Lists!$I:$I))</f>
        <v/>
      </c>
    </row>
    <row r="462" spans="8:8">
      <c r="C462">
        <f>_xlfn.XLOOKUP(B462,Lists!B:B,Lists!A:A,"")</f>
        <v>0.0</v>
      </c>
      <c r="G462" t="str">
        <f t="shared" si="31"/>
        <v/>
      </c>
      <c r="H462" s="20" t="str">
        <f t="shared" si="32"/>
        <v/>
      </c>
      <c r="J462" t="str">
        <f>IF(I462="","",_xlfn.XLOOKUP(I462,Lists!$C:$C,Lists!$D:$D))</f>
        <v/>
      </c>
      <c r="N462" t="str">
        <f t="shared" si="33"/>
        <v/>
      </c>
      <c r="O462" t="str">
        <f>IF(I462="","",_xlfn.XLOOKUP(I462,Lists!$C:$C,Lists!$J:$J))</f>
        <v/>
      </c>
      <c r="P462" t="str">
        <f>IF(I462="","",_xlfn.XLOOKUP(I462,Lists!$C:$C,Lists!$E:$E))</f>
        <v/>
      </c>
      <c r="Q462" s="21" t="str">
        <f t="shared" si="34"/>
        <v/>
      </c>
      <c r="R462" t="str">
        <f t="shared" si="35"/>
        <v/>
      </c>
      <c r="S462" t="str">
        <f>IF(I462="","",_xlfn.XLOOKUP(I462,Lists!$C:$C,Lists!$I:$I))</f>
        <v/>
      </c>
    </row>
    <row r="463" spans="8:8">
      <c r="C463">
        <f>_xlfn.XLOOKUP(B463,Lists!B:B,Lists!A:A,"")</f>
        <v>0.0</v>
      </c>
      <c r="G463" t="str">
        <f t="shared" si="31"/>
        <v/>
      </c>
      <c r="H463" s="20" t="str">
        <f t="shared" si="32"/>
        <v/>
      </c>
      <c r="J463" t="str">
        <f>IF(I463="","",_xlfn.XLOOKUP(I463,Lists!$C:$C,Lists!$D:$D))</f>
        <v/>
      </c>
      <c r="N463" t="str">
        <f t="shared" si="33"/>
        <v/>
      </c>
      <c r="O463" t="str">
        <f>IF(I463="","",_xlfn.XLOOKUP(I463,Lists!$C:$C,Lists!$J:$J))</f>
        <v/>
      </c>
      <c r="P463" t="str">
        <f>IF(I463="","",_xlfn.XLOOKUP(I463,Lists!$C:$C,Lists!$E:$E))</f>
        <v/>
      </c>
      <c r="Q463" s="21" t="str">
        <f t="shared" si="34"/>
        <v/>
      </c>
      <c r="R463" t="str">
        <f t="shared" si="35"/>
        <v/>
      </c>
      <c r="S463" t="str">
        <f>IF(I463="","",_xlfn.XLOOKUP(I463,Lists!$C:$C,Lists!$I:$I))</f>
        <v/>
      </c>
    </row>
    <row r="464" spans="8:8">
      <c r="C464">
        <f>_xlfn.XLOOKUP(B464,Lists!B:B,Lists!A:A,"")</f>
        <v>0.0</v>
      </c>
      <c r="G464" t="str">
        <f t="shared" si="31"/>
        <v/>
      </c>
      <c r="H464" s="20" t="str">
        <f t="shared" si="32"/>
        <v/>
      </c>
      <c r="J464" t="str">
        <f>IF(I464="","",_xlfn.XLOOKUP(I464,Lists!$C:$C,Lists!$D:$D))</f>
        <v/>
      </c>
      <c r="N464" t="str">
        <f t="shared" si="33"/>
        <v/>
      </c>
      <c r="O464" t="str">
        <f>IF(I464="","",_xlfn.XLOOKUP(I464,Lists!$C:$C,Lists!$J:$J))</f>
        <v/>
      </c>
      <c r="P464" t="str">
        <f>IF(I464="","",_xlfn.XLOOKUP(I464,Lists!$C:$C,Lists!$E:$E))</f>
        <v/>
      </c>
      <c r="Q464" s="21" t="str">
        <f t="shared" si="34"/>
        <v/>
      </c>
      <c r="R464" t="str">
        <f t="shared" si="35"/>
        <v/>
      </c>
      <c r="S464" t="str">
        <f>IF(I464="","",_xlfn.XLOOKUP(I464,Lists!$C:$C,Lists!$I:$I))</f>
        <v/>
      </c>
    </row>
    <row r="465" spans="8:8">
      <c r="C465">
        <f>_xlfn.XLOOKUP(B465,Lists!B:B,Lists!A:A,"")</f>
        <v>0.0</v>
      </c>
      <c r="G465" t="str">
        <f t="shared" si="31"/>
        <v/>
      </c>
      <c r="H465" s="20" t="str">
        <f t="shared" si="32"/>
        <v/>
      </c>
      <c r="J465" t="str">
        <f>IF(I465="","",_xlfn.XLOOKUP(I465,Lists!$C:$C,Lists!$D:$D))</f>
        <v/>
      </c>
      <c r="N465" t="str">
        <f t="shared" si="33"/>
        <v/>
      </c>
      <c r="O465" t="str">
        <f>IF(I465="","",_xlfn.XLOOKUP(I465,Lists!$C:$C,Lists!$J:$J))</f>
        <v/>
      </c>
      <c r="P465" t="str">
        <f>IF(I465="","",_xlfn.XLOOKUP(I465,Lists!$C:$C,Lists!$E:$E))</f>
        <v/>
      </c>
      <c r="Q465" s="21" t="str">
        <f t="shared" si="34"/>
        <v/>
      </c>
      <c r="R465" t="str">
        <f t="shared" si="35"/>
        <v/>
      </c>
      <c r="S465" t="str">
        <f>IF(I465="","",_xlfn.XLOOKUP(I465,Lists!$C:$C,Lists!$I:$I))</f>
        <v/>
      </c>
    </row>
    <row r="466" spans="8:8">
      <c r="C466">
        <f>_xlfn.XLOOKUP(B466,Lists!B:B,Lists!A:A,"")</f>
        <v>0.0</v>
      </c>
      <c r="G466" t="str">
        <f t="shared" si="31"/>
        <v/>
      </c>
      <c r="H466" s="20" t="str">
        <f t="shared" si="32"/>
        <v/>
      </c>
      <c r="J466" t="str">
        <f>IF(I466="","",_xlfn.XLOOKUP(I466,Lists!$C:$C,Lists!$D:$D))</f>
        <v/>
      </c>
      <c r="N466" t="str">
        <f t="shared" si="33"/>
        <v/>
      </c>
      <c r="O466" t="str">
        <f>IF(I466="","",_xlfn.XLOOKUP(I466,Lists!$C:$C,Lists!$J:$J))</f>
        <v/>
      </c>
      <c r="P466" t="str">
        <f>IF(I466="","",_xlfn.XLOOKUP(I466,Lists!$C:$C,Lists!$E:$E))</f>
        <v/>
      </c>
      <c r="Q466" s="21" t="str">
        <f t="shared" si="34"/>
        <v/>
      </c>
      <c r="R466" t="str">
        <f t="shared" si="35"/>
        <v/>
      </c>
      <c r="S466" t="str">
        <f>IF(I466="","",_xlfn.XLOOKUP(I466,Lists!$C:$C,Lists!$I:$I))</f>
        <v/>
      </c>
    </row>
    <row r="467" spans="8:8">
      <c r="C467">
        <f>_xlfn.XLOOKUP(B467,Lists!B:B,Lists!A:A,"")</f>
        <v>0.0</v>
      </c>
      <c r="G467" t="str">
        <f t="shared" si="31"/>
        <v/>
      </c>
      <c r="H467" s="20" t="str">
        <f t="shared" si="32"/>
        <v/>
      </c>
      <c r="J467" t="str">
        <f>IF(I467="","",_xlfn.XLOOKUP(I467,Lists!$C:$C,Lists!$D:$D))</f>
        <v/>
      </c>
      <c r="N467" t="str">
        <f t="shared" si="33"/>
        <v/>
      </c>
      <c r="O467" t="str">
        <f>IF(I467="","",_xlfn.XLOOKUP(I467,Lists!$C:$C,Lists!$J:$J))</f>
        <v/>
      </c>
      <c r="P467" t="str">
        <f>IF(I467="","",_xlfn.XLOOKUP(I467,Lists!$C:$C,Lists!$E:$E))</f>
        <v/>
      </c>
      <c r="Q467" s="21" t="str">
        <f t="shared" si="34"/>
        <v/>
      </c>
      <c r="R467" t="str">
        <f t="shared" si="35"/>
        <v/>
      </c>
      <c r="S467" t="str">
        <f>IF(I467="","",_xlfn.XLOOKUP(I467,Lists!$C:$C,Lists!$I:$I))</f>
        <v/>
      </c>
    </row>
    <row r="468" spans="8:8">
      <c r="C468">
        <f>_xlfn.XLOOKUP(B468,Lists!B:B,Lists!A:A,"")</f>
        <v>0.0</v>
      </c>
      <c r="G468" t="str">
        <f t="shared" si="31"/>
        <v/>
      </c>
      <c r="H468" s="20" t="str">
        <f t="shared" si="32"/>
        <v/>
      </c>
      <c r="J468" t="str">
        <f>IF(I468="","",_xlfn.XLOOKUP(I468,Lists!$C:$C,Lists!$D:$D))</f>
        <v/>
      </c>
      <c r="N468" t="str">
        <f t="shared" si="33"/>
        <v/>
      </c>
      <c r="O468" t="str">
        <f>IF(I468="","",_xlfn.XLOOKUP(I468,Lists!$C:$C,Lists!$J:$J))</f>
        <v/>
      </c>
      <c r="P468" t="str">
        <f>IF(I468="","",_xlfn.XLOOKUP(I468,Lists!$C:$C,Lists!$E:$E))</f>
        <v/>
      </c>
      <c r="Q468" s="21" t="str">
        <f t="shared" si="34"/>
        <v/>
      </c>
      <c r="R468" t="str">
        <f t="shared" si="35"/>
        <v/>
      </c>
      <c r="S468" t="str">
        <f>IF(I468="","",_xlfn.XLOOKUP(I468,Lists!$C:$C,Lists!$I:$I))</f>
        <v/>
      </c>
    </row>
    <row r="469" spans="8:8">
      <c r="C469">
        <f>_xlfn.XLOOKUP(B469,Lists!B:B,Lists!A:A,"")</f>
        <v>0.0</v>
      </c>
      <c r="G469" t="str">
        <f t="shared" si="31"/>
        <v/>
      </c>
      <c r="H469" s="20" t="str">
        <f t="shared" si="32"/>
        <v/>
      </c>
      <c r="J469" t="str">
        <f>IF(I469="","",_xlfn.XLOOKUP(I469,Lists!$C:$C,Lists!$D:$D))</f>
        <v/>
      </c>
      <c r="N469" t="str">
        <f t="shared" si="33"/>
        <v/>
      </c>
      <c r="O469" t="str">
        <f>IF(I469="","",_xlfn.XLOOKUP(I469,Lists!$C:$C,Lists!$J:$J))</f>
        <v/>
      </c>
      <c r="P469" t="str">
        <f>IF(I469="","",_xlfn.XLOOKUP(I469,Lists!$C:$C,Lists!$E:$E))</f>
        <v/>
      </c>
      <c r="Q469" s="21" t="str">
        <f t="shared" si="34"/>
        <v/>
      </c>
      <c r="R469" t="str">
        <f t="shared" si="35"/>
        <v/>
      </c>
      <c r="S469" t="str">
        <f>IF(I469="","",_xlfn.XLOOKUP(I469,Lists!$C:$C,Lists!$I:$I))</f>
        <v/>
      </c>
    </row>
    <row r="470" spans="8:8">
      <c r="C470">
        <f>_xlfn.XLOOKUP(B470,Lists!B:B,Lists!A:A,"")</f>
        <v>0.0</v>
      </c>
      <c r="G470" t="str">
        <f t="shared" si="31"/>
        <v/>
      </c>
      <c r="H470" s="20" t="str">
        <f t="shared" si="32"/>
        <v/>
      </c>
      <c r="J470" t="str">
        <f>IF(I470="","",_xlfn.XLOOKUP(I470,Lists!$C:$C,Lists!$D:$D))</f>
        <v/>
      </c>
      <c r="N470" t="str">
        <f t="shared" si="33"/>
        <v/>
      </c>
      <c r="O470" t="str">
        <f>IF(I470="","",_xlfn.XLOOKUP(I470,Lists!$C:$C,Lists!$J:$J))</f>
        <v/>
      </c>
      <c r="P470" t="str">
        <f>IF(I470="","",_xlfn.XLOOKUP(I470,Lists!$C:$C,Lists!$E:$E))</f>
        <v/>
      </c>
      <c r="Q470" s="21" t="str">
        <f t="shared" si="34"/>
        <v/>
      </c>
      <c r="R470" t="str">
        <f t="shared" si="35"/>
        <v/>
      </c>
      <c r="S470" t="str">
        <f>IF(I470="","",_xlfn.XLOOKUP(I470,Lists!$C:$C,Lists!$I:$I))</f>
        <v/>
      </c>
    </row>
    <row r="471" spans="8:8">
      <c r="C471">
        <f>_xlfn.XLOOKUP(B471,Lists!B:B,Lists!A:A,"")</f>
        <v>0.0</v>
      </c>
      <c r="G471" t="str">
        <f t="shared" si="31"/>
        <v/>
      </c>
      <c r="H471" s="20" t="str">
        <f t="shared" si="32"/>
        <v/>
      </c>
      <c r="J471" t="str">
        <f>IF(I471="","",_xlfn.XLOOKUP(I471,Lists!$C:$C,Lists!$D:$D))</f>
        <v/>
      </c>
      <c r="N471" t="str">
        <f t="shared" si="33"/>
        <v/>
      </c>
      <c r="O471" t="str">
        <f>IF(I471="","",_xlfn.XLOOKUP(I471,Lists!$C:$C,Lists!$J:$J))</f>
        <v/>
      </c>
      <c r="P471" t="str">
        <f>IF(I471="","",_xlfn.XLOOKUP(I471,Lists!$C:$C,Lists!$E:$E))</f>
        <v/>
      </c>
      <c r="Q471" s="21" t="str">
        <f t="shared" si="34"/>
        <v/>
      </c>
      <c r="R471" t="str">
        <f t="shared" si="35"/>
        <v/>
      </c>
      <c r="S471" t="str">
        <f>IF(I471="","",_xlfn.XLOOKUP(I471,Lists!$C:$C,Lists!$I:$I))</f>
        <v/>
      </c>
    </row>
    <row r="472" spans="8:8">
      <c r="C472">
        <f>_xlfn.XLOOKUP(B472,Lists!B:B,Lists!A:A,"")</f>
        <v>0.0</v>
      </c>
      <c r="G472" t="str">
        <f t="shared" si="31"/>
        <v/>
      </c>
      <c r="H472" s="20" t="str">
        <f t="shared" si="32"/>
        <v/>
      </c>
      <c r="J472" t="str">
        <f>IF(I472="","",_xlfn.XLOOKUP(I472,Lists!$C:$C,Lists!$D:$D))</f>
        <v/>
      </c>
      <c r="N472" t="str">
        <f t="shared" si="33"/>
        <v/>
      </c>
      <c r="O472" t="str">
        <f>IF(I472="","",_xlfn.XLOOKUP(I472,Lists!$C:$C,Lists!$J:$J))</f>
        <v/>
      </c>
      <c r="P472" t="str">
        <f>IF(I472="","",_xlfn.XLOOKUP(I472,Lists!$C:$C,Lists!$E:$E))</f>
        <v/>
      </c>
      <c r="Q472" s="21" t="str">
        <f t="shared" si="34"/>
        <v/>
      </c>
      <c r="R472" t="str">
        <f t="shared" si="35"/>
        <v/>
      </c>
      <c r="S472" t="str">
        <f>IF(I472="","",_xlfn.XLOOKUP(I472,Lists!$C:$C,Lists!$I:$I))</f>
        <v/>
      </c>
    </row>
    <row r="473" spans="8:8">
      <c r="C473">
        <f>_xlfn.XLOOKUP(B473,Lists!B:B,Lists!A:A,"")</f>
        <v>0.0</v>
      </c>
      <c r="G473" t="str">
        <f t="shared" si="31"/>
        <v/>
      </c>
      <c r="H473" s="20" t="str">
        <f t="shared" si="32"/>
        <v/>
      </c>
      <c r="J473" t="str">
        <f>IF(I473="","",_xlfn.XLOOKUP(I473,Lists!$C:$C,Lists!$D:$D))</f>
        <v/>
      </c>
      <c r="N473" t="str">
        <f t="shared" si="33"/>
        <v/>
      </c>
      <c r="O473" t="str">
        <f>IF(I473="","",_xlfn.XLOOKUP(I473,Lists!$C:$C,Lists!$J:$J))</f>
        <v/>
      </c>
      <c r="P473" t="str">
        <f>IF(I473="","",_xlfn.XLOOKUP(I473,Lists!$C:$C,Lists!$E:$E))</f>
        <v/>
      </c>
      <c r="Q473" s="21" t="str">
        <f t="shared" si="34"/>
        <v/>
      </c>
      <c r="R473" t="str">
        <f t="shared" si="35"/>
        <v/>
      </c>
      <c r="S473" t="str">
        <f>IF(I473="","",_xlfn.XLOOKUP(I473,Lists!$C:$C,Lists!$I:$I))</f>
        <v/>
      </c>
    </row>
    <row r="474" spans="8:8">
      <c r="C474">
        <f>_xlfn.XLOOKUP(B474,Lists!B:B,Lists!A:A,"")</f>
        <v>0.0</v>
      </c>
      <c r="G474" t="str">
        <f t="shared" si="31"/>
        <v/>
      </c>
      <c r="H474" s="20" t="str">
        <f t="shared" si="32"/>
        <v/>
      </c>
      <c r="J474" t="str">
        <f>IF(I474="","",_xlfn.XLOOKUP(I474,Lists!$C:$C,Lists!$D:$D))</f>
        <v/>
      </c>
      <c r="N474" t="str">
        <f t="shared" si="33"/>
        <v/>
      </c>
      <c r="O474" t="str">
        <f>IF(I474="","",_xlfn.XLOOKUP(I474,Lists!$C:$C,Lists!$J:$J))</f>
        <v/>
      </c>
      <c r="P474" t="str">
        <f>IF(I474="","",_xlfn.XLOOKUP(I474,Lists!$C:$C,Lists!$E:$E))</f>
        <v/>
      </c>
      <c r="Q474" s="21" t="str">
        <f t="shared" si="34"/>
        <v/>
      </c>
      <c r="R474" t="str">
        <f t="shared" si="35"/>
        <v/>
      </c>
      <c r="S474" t="str">
        <f>IF(I474="","",_xlfn.XLOOKUP(I474,Lists!$C:$C,Lists!$I:$I))</f>
        <v/>
      </c>
    </row>
    <row r="475" spans="8:8">
      <c r="C475">
        <f>_xlfn.XLOOKUP(B475,Lists!B:B,Lists!A:A,"")</f>
        <v>0.0</v>
      </c>
      <c r="G475" t="str">
        <f t="shared" si="36" ref="G475:G538">IF(OR(E475="",F475=""),"",F475-E475+1)</f>
        <v/>
      </c>
      <c r="H475" s="20" t="str">
        <f t="shared" si="37" ref="H475:H538">IF(D475="","",IF(OR(D475="A",D475="B"),G475/80,IF(D475="A&amp;B",G475/160,"")))</f>
        <v/>
      </c>
      <c r="J475" t="str">
        <f>IF(I475="","",_xlfn.XLOOKUP(I475,Lists!$C:$C,Lists!$D:$D))</f>
        <v/>
      </c>
      <c r="N475" t="str">
        <f t="shared" si="38" ref="N475:N538">IF(OR(M475="",L475=""),"",(M475*L475)/100000)</f>
        <v/>
      </c>
      <c r="O475" t="str">
        <f>IF(I475="","",_xlfn.XLOOKUP(I475,Lists!$C:$C,Lists!$J:$J))</f>
        <v/>
      </c>
      <c r="P475" t="str">
        <f>IF(I475="","",_xlfn.XLOOKUP(I475,Lists!$C:$C,Lists!$E:$E))</f>
        <v/>
      </c>
      <c r="Q475" s="21" t="str">
        <f t="shared" si="39" ref="Q475:Q538">IF(OR(A475="",P475=""),"",A475+P475+1)</f>
        <v/>
      </c>
      <c r="R475" t="str">
        <f t="shared" si="40" ref="R475:R538">IF(Q475="","",IF(Q475&lt;=TODAY(),"Allow","Not Allow"))</f>
        <v/>
      </c>
      <c r="S475" t="str">
        <f>IF(I475="","",_xlfn.XLOOKUP(I475,Lists!$C:$C,Lists!$I:$I))</f>
        <v/>
      </c>
    </row>
    <row r="476" spans="8:8">
      <c r="C476">
        <f>_xlfn.XLOOKUP(B476,Lists!B:B,Lists!A:A,"")</f>
        <v>0.0</v>
      </c>
      <c r="G476" t="str">
        <f t="shared" si="36"/>
        <v/>
      </c>
      <c r="H476" s="20" t="str">
        <f t="shared" si="37"/>
        <v/>
      </c>
      <c r="J476" t="str">
        <f>IF(I476="","",_xlfn.XLOOKUP(I476,Lists!$C:$C,Lists!$D:$D))</f>
        <v/>
      </c>
      <c r="N476" t="str">
        <f t="shared" si="38"/>
        <v/>
      </c>
      <c r="O476" t="str">
        <f>IF(I476="","",_xlfn.XLOOKUP(I476,Lists!$C:$C,Lists!$J:$J))</f>
        <v/>
      </c>
      <c r="P476" t="str">
        <f>IF(I476="","",_xlfn.XLOOKUP(I476,Lists!$C:$C,Lists!$E:$E))</f>
        <v/>
      </c>
      <c r="Q476" s="21" t="str">
        <f t="shared" si="39"/>
        <v/>
      </c>
      <c r="R476" t="str">
        <f t="shared" si="40"/>
        <v/>
      </c>
      <c r="S476" t="str">
        <f>IF(I476="","",_xlfn.XLOOKUP(I476,Lists!$C:$C,Lists!$I:$I))</f>
        <v/>
      </c>
    </row>
    <row r="477" spans="8:8">
      <c r="C477">
        <f>_xlfn.XLOOKUP(B477,Lists!B:B,Lists!A:A,"")</f>
        <v>0.0</v>
      </c>
      <c r="G477" t="str">
        <f t="shared" si="36"/>
        <v/>
      </c>
      <c r="H477" s="20" t="str">
        <f t="shared" si="37"/>
        <v/>
      </c>
      <c r="J477" t="str">
        <f>IF(I477="","",_xlfn.XLOOKUP(I477,Lists!$C:$C,Lists!$D:$D))</f>
        <v/>
      </c>
      <c r="N477" t="str">
        <f t="shared" si="38"/>
        <v/>
      </c>
      <c r="O477" t="str">
        <f>IF(I477="","",_xlfn.XLOOKUP(I477,Lists!$C:$C,Lists!$J:$J))</f>
        <v/>
      </c>
      <c r="P477" t="str">
        <f>IF(I477="","",_xlfn.XLOOKUP(I477,Lists!$C:$C,Lists!$E:$E))</f>
        <v/>
      </c>
      <c r="Q477" s="21" t="str">
        <f t="shared" si="39"/>
        <v/>
      </c>
      <c r="R477" t="str">
        <f t="shared" si="40"/>
        <v/>
      </c>
      <c r="S477" t="str">
        <f>IF(I477="","",_xlfn.XLOOKUP(I477,Lists!$C:$C,Lists!$I:$I))</f>
        <v/>
      </c>
    </row>
    <row r="478" spans="8:8">
      <c r="C478">
        <f>_xlfn.XLOOKUP(B478,Lists!B:B,Lists!A:A,"")</f>
        <v>0.0</v>
      </c>
      <c r="G478" t="str">
        <f t="shared" si="36"/>
        <v/>
      </c>
      <c r="H478" s="20" t="str">
        <f t="shared" si="37"/>
        <v/>
      </c>
      <c r="J478" t="str">
        <f>IF(I478="","",_xlfn.XLOOKUP(I478,Lists!$C:$C,Lists!$D:$D))</f>
        <v/>
      </c>
      <c r="N478" t="str">
        <f t="shared" si="38"/>
        <v/>
      </c>
      <c r="O478" t="str">
        <f>IF(I478="","",_xlfn.XLOOKUP(I478,Lists!$C:$C,Lists!$J:$J))</f>
        <v/>
      </c>
      <c r="P478" t="str">
        <f>IF(I478="","",_xlfn.XLOOKUP(I478,Lists!$C:$C,Lists!$E:$E))</f>
        <v/>
      </c>
      <c r="Q478" s="21" t="str">
        <f t="shared" si="39"/>
        <v/>
      </c>
      <c r="R478" t="str">
        <f t="shared" si="40"/>
        <v/>
      </c>
      <c r="S478" t="str">
        <f>IF(I478="","",_xlfn.XLOOKUP(I478,Lists!$C:$C,Lists!$I:$I))</f>
        <v/>
      </c>
    </row>
    <row r="479" spans="8:8">
      <c r="C479">
        <f>_xlfn.XLOOKUP(B479,Lists!B:B,Lists!A:A,"")</f>
        <v>0.0</v>
      </c>
      <c r="G479" t="str">
        <f t="shared" si="36"/>
        <v/>
      </c>
      <c r="H479" s="20" t="str">
        <f t="shared" si="37"/>
        <v/>
      </c>
      <c r="J479" t="str">
        <f>IF(I479="","",_xlfn.XLOOKUP(I479,Lists!$C:$C,Lists!$D:$D))</f>
        <v/>
      </c>
      <c r="N479" t="str">
        <f t="shared" si="38"/>
        <v/>
      </c>
      <c r="O479" t="str">
        <f>IF(I479="","",_xlfn.XLOOKUP(I479,Lists!$C:$C,Lists!$J:$J))</f>
        <v/>
      </c>
      <c r="P479" t="str">
        <f>IF(I479="","",_xlfn.XLOOKUP(I479,Lists!$C:$C,Lists!$E:$E))</f>
        <v/>
      </c>
      <c r="Q479" s="21" t="str">
        <f t="shared" si="39"/>
        <v/>
      </c>
      <c r="R479" t="str">
        <f t="shared" si="40"/>
        <v/>
      </c>
      <c r="S479" t="str">
        <f>IF(I479="","",_xlfn.XLOOKUP(I479,Lists!$C:$C,Lists!$I:$I))</f>
        <v/>
      </c>
    </row>
    <row r="480" spans="8:8">
      <c r="C480">
        <f>_xlfn.XLOOKUP(B480,Lists!B:B,Lists!A:A,"")</f>
        <v>0.0</v>
      </c>
      <c r="G480" t="str">
        <f t="shared" si="36"/>
        <v/>
      </c>
      <c r="H480" s="20" t="str">
        <f t="shared" si="37"/>
        <v/>
      </c>
      <c r="J480" t="str">
        <f>IF(I480="","",_xlfn.XLOOKUP(I480,Lists!$C:$C,Lists!$D:$D))</f>
        <v/>
      </c>
      <c r="N480" t="str">
        <f t="shared" si="38"/>
        <v/>
      </c>
      <c r="O480" t="str">
        <f>IF(I480="","",_xlfn.XLOOKUP(I480,Lists!$C:$C,Lists!$J:$J))</f>
        <v/>
      </c>
      <c r="P480" t="str">
        <f>IF(I480="","",_xlfn.XLOOKUP(I480,Lists!$C:$C,Lists!$E:$E))</f>
        <v/>
      </c>
      <c r="Q480" s="21" t="str">
        <f t="shared" si="39"/>
        <v/>
      </c>
      <c r="R480" t="str">
        <f t="shared" si="40"/>
        <v/>
      </c>
      <c r="S480" t="str">
        <f>IF(I480="","",_xlfn.XLOOKUP(I480,Lists!$C:$C,Lists!$I:$I))</f>
        <v/>
      </c>
    </row>
    <row r="481" spans="8:8">
      <c r="C481">
        <f>_xlfn.XLOOKUP(B481,Lists!B:B,Lists!A:A,"")</f>
        <v>0.0</v>
      </c>
      <c r="G481" t="str">
        <f t="shared" si="36"/>
        <v/>
      </c>
      <c r="H481" s="20" t="str">
        <f t="shared" si="37"/>
        <v/>
      </c>
      <c r="J481" t="str">
        <f>IF(I481="","",_xlfn.XLOOKUP(I481,Lists!$C:$C,Lists!$D:$D))</f>
        <v/>
      </c>
      <c r="N481" t="str">
        <f t="shared" si="38"/>
        <v/>
      </c>
      <c r="O481" t="str">
        <f>IF(I481="","",_xlfn.XLOOKUP(I481,Lists!$C:$C,Lists!$J:$J))</f>
        <v/>
      </c>
      <c r="P481" t="str">
        <f>IF(I481="","",_xlfn.XLOOKUP(I481,Lists!$C:$C,Lists!$E:$E))</f>
        <v/>
      </c>
      <c r="Q481" s="21" t="str">
        <f t="shared" si="39"/>
        <v/>
      </c>
      <c r="R481" t="str">
        <f t="shared" si="40"/>
        <v/>
      </c>
      <c r="S481" t="str">
        <f>IF(I481="","",_xlfn.XLOOKUP(I481,Lists!$C:$C,Lists!$I:$I))</f>
        <v/>
      </c>
    </row>
    <row r="482" spans="8:8">
      <c r="C482">
        <f>_xlfn.XLOOKUP(B482,Lists!B:B,Lists!A:A,"")</f>
        <v>0.0</v>
      </c>
      <c r="G482" t="str">
        <f t="shared" si="36"/>
        <v/>
      </c>
      <c r="H482" s="20" t="str">
        <f t="shared" si="37"/>
        <v/>
      </c>
      <c r="J482" t="str">
        <f>IF(I482="","",_xlfn.XLOOKUP(I482,Lists!$C:$C,Lists!$D:$D))</f>
        <v/>
      </c>
      <c r="N482" t="str">
        <f t="shared" si="38"/>
        <v/>
      </c>
      <c r="O482" t="str">
        <f>IF(I482="","",_xlfn.XLOOKUP(I482,Lists!$C:$C,Lists!$J:$J))</f>
        <v/>
      </c>
      <c r="P482" t="str">
        <f>IF(I482="","",_xlfn.XLOOKUP(I482,Lists!$C:$C,Lists!$E:$E))</f>
        <v/>
      </c>
      <c r="Q482" s="21" t="str">
        <f t="shared" si="39"/>
        <v/>
      </c>
      <c r="R482" t="str">
        <f t="shared" si="40"/>
        <v/>
      </c>
      <c r="S482" t="str">
        <f>IF(I482="","",_xlfn.XLOOKUP(I482,Lists!$C:$C,Lists!$I:$I))</f>
        <v/>
      </c>
    </row>
    <row r="483" spans="8:8">
      <c r="C483">
        <f>_xlfn.XLOOKUP(B483,Lists!B:B,Lists!A:A,"")</f>
        <v>0.0</v>
      </c>
      <c r="G483" t="str">
        <f t="shared" si="36"/>
        <v/>
      </c>
      <c r="H483" s="20" t="str">
        <f t="shared" si="37"/>
        <v/>
      </c>
      <c r="J483" t="str">
        <f>IF(I483="","",_xlfn.XLOOKUP(I483,Lists!$C:$C,Lists!$D:$D))</f>
        <v/>
      </c>
      <c r="N483" t="str">
        <f t="shared" si="38"/>
        <v/>
      </c>
      <c r="O483" t="str">
        <f>IF(I483="","",_xlfn.XLOOKUP(I483,Lists!$C:$C,Lists!$J:$J))</f>
        <v/>
      </c>
      <c r="P483" t="str">
        <f>IF(I483="","",_xlfn.XLOOKUP(I483,Lists!$C:$C,Lists!$E:$E))</f>
        <v/>
      </c>
      <c r="Q483" s="21" t="str">
        <f t="shared" si="39"/>
        <v/>
      </c>
      <c r="R483" t="str">
        <f t="shared" si="40"/>
        <v/>
      </c>
      <c r="S483" t="str">
        <f>IF(I483="","",_xlfn.XLOOKUP(I483,Lists!$C:$C,Lists!$I:$I))</f>
        <v/>
      </c>
    </row>
    <row r="484" spans="8:8">
      <c r="C484">
        <f>_xlfn.XLOOKUP(B484,Lists!B:B,Lists!A:A,"")</f>
        <v>0.0</v>
      </c>
      <c r="G484" t="str">
        <f t="shared" si="36"/>
        <v/>
      </c>
      <c r="H484" s="20" t="str">
        <f t="shared" si="37"/>
        <v/>
      </c>
      <c r="J484" t="str">
        <f>IF(I484="","",_xlfn.XLOOKUP(I484,Lists!$C:$C,Lists!$D:$D))</f>
        <v/>
      </c>
      <c r="N484" t="str">
        <f t="shared" si="38"/>
        <v/>
      </c>
      <c r="O484" t="str">
        <f>IF(I484="","",_xlfn.XLOOKUP(I484,Lists!$C:$C,Lists!$J:$J))</f>
        <v/>
      </c>
      <c r="P484" t="str">
        <f>IF(I484="","",_xlfn.XLOOKUP(I484,Lists!$C:$C,Lists!$E:$E))</f>
        <v/>
      </c>
      <c r="Q484" s="21" t="str">
        <f t="shared" si="39"/>
        <v/>
      </c>
      <c r="R484" t="str">
        <f t="shared" si="40"/>
        <v/>
      </c>
      <c r="S484" t="str">
        <f>IF(I484="","",_xlfn.XLOOKUP(I484,Lists!$C:$C,Lists!$I:$I))</f>
        <v/>
      </c>
    </row>
    <row r="485" spans="8:8">
      <c r="C485">
        <f>_xlfn.XLOOKUP(B485,Lists!B:B,Lists!A:A,"")</f>
        <v>0.0</v>
      </c>
      <c r="G485" t="str">
        <f t="shared" si="36"/>
        <v/>
      </c>
      <c r="H485" s="20" t="str">
        <f t="shared" si="37"/>
        <v/>
      </c>
      <c r="J485" t="str">
        <f>IF(I485="","",_xlfn.XLOOKUP(I485,Lists!$C:$C,Lists!$D:$D))</f>
        <v/>
      </c>
      <c r="N485" t="str">
        <f t="shared" si="38"/>
        <v/>
      </c>
      <c r="O485" t="str">
        <f>IF(I485="","",_xlfn.XLOOKUP(I485,Lists!$C:$C,Lists!$J:$J))</f>
        <v/>
      </c>
      <c r="P485" t="str">
        <f>IF(I485="","",_xlfn.XLOOKUP(I485,Lists!$C:$C,Lists!$E:$E))</f>
        <v/>
      </c>
      <c r="Q485" s="21" t="str">
        <f t="shared" si="39"/>
        <v/>
      </c>
      <c r="R485" t="str">
        <f t="shared" si="40"/>
        <v/>
      </c>
      <c r="S485" t="str">
        <f>IF(I485="","",_xlfn.XLOOKUP(I485,Lists!$C:$C,Lists!$I:$I))</f>
        <v/>
      </c>
    </row>
    <row r="486" spans="8:8">
      <c r="C486">
        <f>_xlfn.XLOOKUP(B486,Lists!B:B,Lists!A:A,"")</f>
        <v>0.0</v>
      </c>
      <c r="G486" t="str">
        <f t="shared" si="36"/>
        <v/>
      </c>
      <c r="H486" s="20" t="str">
        <f t="shared" si="37"/>
        <v/>
      </c>
      <c r="J486" t="str">
        <f>IF(I486="","",_xlfn.XLOOKUP(I486,Lists!$C:$C,Lists!$D:$D))</f>
        <v/>
      </c>
      <c r="N486" t="str">
        <f t="shared" si="38"/>
        <v/>
      </c>
      <c r="O486" t="str">
        <f>IF(I486="","",_xlfn.XLOOKUP(I486,Lists!$C:$C,Lists!$J:$J))</f>
        <v/>
      </c>
      <c r="P486" t="str">
        <f>IF(I486="","",_xlfn.XLOOKUP(I486,Lists!$C:$C,Lists!$E:$E))</f>
        <v/>
      </c>
      <c r="Q486" s="21" t="str">
        <f t="shared" si="39"/>
        <v/>
      </c>
      <c r="R486" t="str">
        <f t="shared" si="40"/>
        <v/>
      </c>
      <c r="S486" t="str">
        <f>IF(I486="","",_xlfn.XLOOKUP(I486,Lists!$C:$C,Lists!$I:$I))</f>
        <v/>
      </c>
    </row>
    <row r="487" spans="8:8">
      <c r="C487">
        <f>_xlfn.XLOOKUP(B487,Lists!B:B,Lists!A:A,"")</f>
        <v>0.0</v>
      </c>
      <c r="G487" t="str">
        <f t="shared" si="36"/>
        <v/>
      </c>
      <c r="H487" s="20" t="str">
        <f t="shared" si="37"/>
        <v/>
      </c>
      <c r="J487" t="str">
        <f>IF(I487="","",_xlfn.XLOOKUP(I487,Lists!$C:$C,Lists!$D:$D))</f>
        <v/>
      </c>
      <c r="N487" t="str">
        <f t="shared" si="38"/>
        <v/>
      </c>
      <c r="O487" t="str">
        <f>IF(I487="","",_xlfn.XLOOKUP(I487,Lists!$C:$C,Lists!$J:$J))</f>
        <v/>
      </c>
      <c r="P487" t="str">
        <f>IF(I487="","",_xlfn.XLOOKUP(I487,Lists!$C:$C,Lists!$E:$E))</f>
        <v/>
      </c>
      <c r="Q487" s="21" t="str">
        <f t="shared" si="39"/>
        <v/>
      </c>
      <c r="R487" t="str">
        <f t="shared" si="40"/>
        <v/>
      </c>
      <c r="S487" t="str">
        <f>IF(I487="","",_xlfn.XLOOKUP(I487,Lists!$C:$C,Lists!$I:$I))</f>
        <v/>
      </c>
    </row>
    <row r="488" spans="8:8">
      <c r="C488">
        <f>_xlfn.XLOOKUP(B488,Lists!B:B,Lists!A:A,"")</f>
        <v>0.0</v>
      </c>
      <c r="G488" t="str">
        <f t="shared" si="36"/>
        <v/>
      </c>
      <c r="H488" s="20" t="str">
        <f t="shared" si="37"/>
        <v/>
      </c>
      <c r="J488" t="str">
        <f>IF(I488="","",_xlfn.XLOOKUP(I488,Lists!$C:$C,Lists!$D:$D))</f>
        <v/>
      </c>
      <c r="N488" t="str">
        <f t="shared" si="38"/>
        <v/>
      </c>
      <c r="O488" t="str">
        <f>IF(I488="","",_xlfn.XLOOKUP(I488,Lists!$C:$C,Lists!$J:$J))</f>
        <v/>
      </c>
      <c r="P488" t="str">
        <f>IF(I488="","",_xlfn.XLOOKUP(I488,Lists!$C:$C,Lists!$E:$E))</f>
        <v/>
      </c>
      <c r="Q488" s="21" t="str">
        <f t="shared" si="39"/>
        <v/>
      </c>
      <c r="R488" t="str">
        <f t="shared" si="40"/>
        <v/>
      </c>
      <c r="S488" t="str">
        <f>IF(I488="","",_xlfn.XLOOKUP(I488,Lists!$C:$C,Lists!$I:$I))</f>
        <v/>
      </c>
    </row>
    <row r="489" spans="8:8">
      <c r="C489">
        <f>_xlfn.XLOOKUP(B489,Lists!B:B,Lists!A:A,"")</f>
        <v>0.0</v>
      </c>
      <c r="G489" t="str">
        <f t="shared" si="36"/>
        <v/>
      </c>
      <c r="H489" s="20" t="str">
        <f t="shared" si="37"/>
        <v/>
      </c>
      <c r="J489" t="str">
        <f>IF(I489="","",_xlfn.XLOOKUP(I489,Lists!$C:$C,Lists!$D:$D))</f>
        <v/>
      </c>
      <c r="N489" t="str">
        <f t="shared" si="38"/>
        <v/>
      </c>
      <c r="O489" t="str">
        <f>IF(I489="","",_xlfn.XLOOKUP(I489,Lists!$C:$C,Lists!$J:$J))</f>
        <v/>
      </c>
      <c r="P489" t="str">
        <f>IF(I489="","",_xlfn.XLOOKUP(I489,Lists!$C:$C,Lists!$E:$E))</f>
        <v/>
      </c>
      <c r="Q489" s="21" t="str">
        <f t="shared" si="39"/>
        <v/>
      </c>
      <c r="R489" t="str">
        <f t="shared" si="40"/>
        <v/>
      </c>
      <c r="S489" t="str">
        <f>IF(I489="","",_xlfn.XLOOKUP(I489,Lists!$C:$C,Lists!$I:$I))</f>
        <v/>
      </c>
    </row>
    <row r="490" spans="8:8">
      <c r="C490">
        <f>_xlfn.XLOOKUP(B490,Lists!B:B,Lists!A:A,"")</f>
        <v>0.0</v>
      </c>
      <c r="G490" t="str">
        <f t="shared" si="36"/>
        <v/>
      </c>
      <c r="H490" s="20" t="str">
        <f t="shared" si="37"/>
        <v/>
      </c>
      <c r="J490" t="str">
        <f>IF(I490="","",_xlfn.XLOOKUP(I490,Lists!$C:$C,Lists!$D:$D))</f>
        <v/>
      </c>
      <c r="N490" t="str">
        <f t="shared" si="38"/>
        <v/>
      </c>
      <c r="O490" t="str">
        <f>IF(I490="","",_xlfn.XLOOKUP(I490,Lists!$C:$C,Lists!$J:$J))</f>
        <v/>
      </c>
      <c r="P490" t="str">
        <f>IF(I490="","",_xlfn.XLOOKUP(I490,Lists!$C:$C,Lists!$E:$E))</f>
        <v/>
      </c>
      <c r="Q490" s="21" t="str">
        <f t="shared" si="39"/>
        <v/>
      </c>
      <c r="R490" t="str">
        <f t="shared" si="40"/>
        <v/>
      </c>
      <c r="S490" t="str">
        <f>IF(I490="","",_xlfn.XLOOKUP(I490,Lists!$C:$C,Lists!$I:$I))</f>
        <v/>
      </c>
    </row>
    <row r="491" spans="8:8">
      <c r="C491">
        <f>_xlfn.XLOOKUP(B491,Lists!B:B,Lists!A:A,"")</f>
        <v>0.0</v>
      </c>
      <c r="G491" t="str">
        <f t="shared" si="36"/>
        <v/>
      </c>
      <c r="H491" s="20" t="str">
        <f t="shared" si="37"/>
        <v/>
      </c>
      <c r="J491" t="str">
        <f>IF(I491="","",_xlfn.XLOOKUP(I491,Lists!$C:$C,Lists!$D:$D))</f>
        <v/>
      </c>
      <c r="N491" t="str">
        <f t="shared" si="38"/>
        <v/>
      </c>
      <c r="O491" t="str">
        <f>IF(I491="","",_xlfn.XLOOKUP(I491,Lists!$C:$C,Lists!$J:$J))</f>
        <v/>
      </c>
      <c r="P491" t="str">
        <f>IF(I491="","",_xlfn.XLOOKUP(I491,Lists!$C:$C,Lists!$E:$E))</f>
        <v/>
      </c>
      <c r="Q491" s="21" t="str">
        <f t="shared" si="39"/>
        <v/>
      </c>
      <c r="R491" t="str">
        <f t="shared" si="40"/>
        <v/>
      </c>
      <c r="S491" t="str">
        <f>IF(I491="","",_xlfn.XLOOKUP(I491,Lists!$C:$C,Lists!$I:$I))</f>
        <v/>
      </c>
    </row>
    <row r="492" spans="8:8">
      <c r="C492">
        <f>_xlfn.XLOOKUP(B492,Lists!B:B,Lists!A:A,"")</f>
        <v>0.0</v>
      </c>
      <c r="G492" t="str">
        <f t="shared" si="36"/>
        <v/>
      </c>
      <c r="H492" s="20" t="str">
        <f t="shared" si="37"/>
        <v/>
      </c>
      <c r="J492" t="str">
        <f>IF(I492="","",_xlfn.XLOOKUP(I492,Lists!$C:$C,Lists!$D:$D))</f>
        <v/>
      </c>
      <c r="N492" t="str">
        <f t="shared" si="38"/>
        <v/>
      </c>
      <c r="O492" t="str">
        <f>IF(I492="","",_xlfn.XLOOKUP(I492,Lists!$C:$C,Lists!$J:$J))</f>
        <v/>
      </c>
      <c r="P492" t="str">
        <f>IF(I492="","",_xlfn.XLOOKUP(I492,Lists!$C:$C,Lists!$E:$E))</f>
        <v/>
      </c>
      <c r="Q492" s="21" t="str">
        <f t="shared" si="39"/>
        <v/>
      </c>
      <c r="R492" t="str">
        <f t="shared" si="40"/>
        <v/>
      </c>
      <c r="S492" t="str">
        <f>IF(I492="","",_xlfn.XLOOKUP(I492,Lists!$C:$C,Lists!$I:$I))</f>
        <v/>
      </c>
    </row>
    <row r="493" spans="8:8">
      <c r="C493">
        <f>_xlfn.XLOOKUP(B493,Lists!B:B,Lists!A:A,"")</f>
        <v>0.0</v>
      </c>
      <c r="G493" t="str">
        <f t="shared" si="36"/>
        <v/>
      </c>
      <c r="H493" s="20" t="str">
        <f t="shared" si="37"/>
        <v/>
      </c>
      <c r="J493" t="str">
        <f>IF(I493="","",_xlfn.XLOOKUP(I493,Lists!$C:$C,Lists!$D:$D))</f>
        <v/>
      </c>
      <c r="N493" t="str">
        <f t="shared" si="38"/>
        <v/>
      </c>
      <c r="O493" t="str">
        <f>IF(I493="","",_xlfn.XLOOKUP(I493,Lists!$C:$C,Lists!$J:$J))</f>
        <v/>
      </c>
      <c r="P493" t="str">
        <f>IF(I493="","",_xlfn.XLOOKUP(I493,Lists!$C:$C,Lists!$E:$E))</f>
        <v/>
      </c>
      <c r="Q493" s="21" t="str">
        <f t="shared" si="39"/>
        <v/>
      </c>
      <c r="R493" t="str">
        <f t="shared" si="40"/>
        <v/>
      </c>
      <c r="S493" t="str">
        <f>IF(I493="","",_xlfn.XLOOKUP(I493,Lists!$C:$C,Lists!$I:$I))</f>
        <v/>
      </c>
    </row>
    <row r="494" spans="8:8">
      <c r="C494">
        <f>_xlfn.XLOOKUP(B494,Lists!B:B,Lists!A:A,"")</f>
        <v>0.0</v>
      </c>
      <c r="G494" t="str">
        <f t="shared" si="36"/>
        <v/>
      </c>
      <c r="H494" s="20" t="str">
        <f t="shared" si="37"/>
        <v/>
      </c>
      <c r="J494" t="str">
        <f>IF(I494="","",_xlfn.XLOOKUP(I494,Lists!$C:$C,Lists!$D:$D))</f>
        <v/>
      </c>
      <c r="N494" t="str">
        <f t="shared" si="38"/>
        <v/>
      </c>
      <c r="O494" t="str">
        <f>IF(I494="","",_xlfn.XLOOKUP(I494,Lists!$C:$C,Lists!$J:$J))</f>
        <v/>
      </c>
      <c r="P494" t="str">
        <f>IF(I494="","",_xlfn.XLOOKUP(I494,Lists!$C:$C,Lists!$E:$E))</f>
        <v/>
      </c>
      <c r="Q494" s="21" t="str">
        <f t="shared" si="39"/>
        <v/>
      </c>
      <c r="R494" t="str">
        <f t="shared" si="40"/>
        <v/>
      </c>
      <c r="S494" t="str">
        <f>IF(I494="","",_xlfn.XLOOKUP(I494,Lists!$C:$C,Lists!$I:$I))</f>
        <v/>
      </c>
    </row>
    <row r="495" spans="8:8">
      <c r="C495">
        <f>_xlfn.XLOOKUP(B495,Lists!B:B,Lists!A:A,"")</f>
        <v>0.0</v>
      </c>
      <c r="G495" t="str">
        <f t="shared" si="36"/>
        <v/>
      </c>
      <c r="H495" s="20" t="str">
        <f t="shared" si="37"/>
        <v/>
      </c>
      <c r="J495" t="str">
        <f>IF(I495="","",_xlfn.XLOOKUP(I495,Lists!$C:$C,Lists!$D:$D))</f>
        <v/>
      </c>
      <c r="N495" t="str">
        <f t="shared" si="38"/>
        <v/>
      </c>
      <c r="O495" t="str">
        <f>IF(I495="","",_xlfn.XLOOKUP(I495,Lists!$C:$C,Lists!$J:$J))</f>
        <v/>
      </c>
      <c r="P495" t="str">
        <f>IF(I495="","",_xlfn.XLOOKUP(I495,Lists!$C:$C,Lists!$E:$E))</f>
        <v/>
      </c>
      <c r="Q495" s="21" t="str">
        <f t="shared" si="39"/>
        <v/>
      </c>
      <c r="R495" t="str">
        <f t="shared" si="40"/>
        <v/>
      </c>
      <c r="S495" t="str">
        <f>IF(I495="","",_xlfn.XLOOKUP(I495,Lists!$C:$C,Lists!$I:$I))</f>
        <v/>
      </c>
    </row>
    <row r="496" spans="8:8">
      <c r="C496">
        <f>_xlfn.XLOOKUP(B496,Lists!B:B,Lists!A:A,"")</f>
        <v>0.0</v>
      </c>
      <c r="G496" t="str">
        <f t="shared" si="36"/>
        <v/>
      </c>
      <c r="H496" s="20" t="str">
        <f t="shared" si="37"/>
        <v/>
      </c>
      <c r="J496" t="str">
        <f>IF(I496="","",_xlfn.XLOOKUP(I496,Lists!$C:$C,Lists!$D:$D))</f>
        <v/>
      </c>
      <c r="N496" t="str">
        <f t="shared" si="38"/>
        <v/>
      </c>
      <c r="O496" t="str">
        <f>IF(I496="","",_xlfn.XLOOKUP(I496,Lists!$C:$C,Lists!$J:$J))</f>
        <v/>
      </c>
      <c r="P496" t="str">
        <f>IF(I496="","",_xlfn.XLOOKUP(I496,Lists!$C:$C,Lists!$E:$E))</f>
        <v/>
      </c>
      <c r="Q496" s="21" t="str">
        <f t="shared" si="39"/>
        <v/>
      </c>
      <c r="R496" t="str">
        <f t="shared" si="40"/>
        <v/>
      </c>
      <c r="S496" t="str">
        <f>IF(I496="","",_xlfn.XLOOKUP(I496,Lists!$C:$C,Lists!$I:$I))</f>
        <v/>
      </c>
    </row>
    <row r="497" spans="8:8">
      <c r="C497">
        <f>_xlfn.XLOOKUP(B497,Lists!B:B,Lists!A:A,"")</f>
        <v>0.0</v>
      </c>
      <c r="G497" t="str">
        <f t="shared" si="36"/>
        <v/>
      </c>
      <c r="H497" s="20" t="str">
        <f t="shared" si="37"/>
        <v/>
      </c>
      <c r="J497" t="str">
        <f>IF(I497="","",_xlfn.XLOOKUP(I497,Lists!$C:$C,Lists!$D:$D))</f>
        <v/>
      </c>
      <c r="N497" t="str">
        <f t="shared" si="38"/>
        <v/>
      </c>
      <c r="O497" t="str">
        <f>IF(I497="","",_xlfn.XLOOKUP(I497,Lists!$C:$C,Lists!$J:$J))</f>
        <v/>
      </c>
      <c r="P497" t="str">
        <f>IF(I497="","",_xlfn.XLOOKUP(I497,Lists!$C:$C,Lists!$E:$E))</f>
        <v/>
      </c>
      <c r="Q497" s="21" t="str">
        <f t="shared" si="39"/>
        <v/>
      </c>
      <c r="R497" t="str">
        <f t="shared" si="40"/>
        <v/>
      </c>
      <c r="S497" t="str">
        <f>IF(I497="","",_xlfn.XLOOKUP(I497,Lists!$C:$C,Lists!$I:$I))</f>
        <v/>
      </c>
    </row>
    <row r="498" spans="8:8">
      <c r="C498">
        <f>_xlfn.XLOOKUP(B498,Lists!B:B,Lists!A:A,"")</f>
        <v>0.0</v>
      </c>
      <c r="G498" t="str">
        <f t="shared" si="36"/>
        <v/>
      </c>
      <c r="H498" s="20" t="str">
        <f t="shared" si="37"/>
        <v/>
      </c>
      <c r="J498" t="str">
        <f>IF(I498="","",_xlfn.XLOOKUP(I498,Lists!$C:$C,Lists!$D:$D))</f>
        <v/>
      </c>
      <c r="N498" t="str">
        <f t="shared" si="38"/>
        <v/>
      </c>
      <c r="O498" t="str">
        <f>IF(I498="","",_xlfn.XLOOKUP(I498,Lists!$C:$C,Lists!$J:$J))</f>
        <v/>
      </c>
      <c r="P498" t="str">
        <f>IF(I498="","",_xlfn.XLOOKUP(I498,Lists!$C:$C,Lists!$E:$E))</f>
        <v/>
      </c>
      <c r="Q498" s="21" t="str">
        <f t="shared" si="39"/>
        <v/>
      </c>
      <c r="R498" t="str">
        <f t="shared" si="40"/>
        <v/>
      </c>
      <c r="S498" t="str">
        <f>IF(I498="","",_xlfn.XLOOKUP(I498,Lists!$C:$C,Lists!$I:$I))</f>
        <v/>
      </c>
    </row>
    <row r="499" spans="8:8">
      <c r="C499">
        <f>_xlfn.XLOOKUP(B499,Lists!B:B,Lists!A:A,"")</f>
        <v>0.0</v>
      </c>
      <c r="G499" t="str">
        <f t="shared" si="36"/>
        <v/>
      </c>
      <c r="H499" s="20" t="str">
        <f t="shared" si="37"/>
        <v/>
      </c>
      <c r="J499" t="str">
        <f>IF(I499="","",_xlfn.XLOOKUP(I499,Lists!$C:$C,Lists!$D:$D))</f>
        <v/>
      </c>
      <c r="N499" t="str">
        <f t="shared" si="38"/>
        <v/>
      </c>
      <c r="O499" t="str">
        <f>IF(I499="","",_xlfn.XLOOKUP(I499,Lists!$C:$C,Lists!$J:$J))</f>
        <v/>
      </c>
      <c r="P499" t="str">
        <f>IF(I499="","",_xlfn.XLOOKUP(I499,Lists!$C:$C,Lists!$E:$E))</f>
        <v/>
      </c>
      <c r="Q499" s="21" t="str">
        <f t="shared" si="39"/>
        <v/>
      </c>
      <c r="R499" t="str">
        <f t="shared" si="40"/>
        <v/>
      </c>
      <c r="S499" t="str">
        <f>IF(I499="","",_xlfn.XLOOKUP(I499,Lists!$C:$C,Lists!$I:$I))</f>
        <v/>
      </c>
    </row>
    <row r="500" spans="8:8">
      <c r="C500">
        <f>_xlfn.XLOOKUP(B500,Lists!B:B,Lists!A:A,"")</f>
        <v>0.0</v>
      </c>
      <c r="G500" t="str">
        <f t="shared" si="36"/>
        <v/>
      </c>
      <c r="H500" s="20" t="str">
        <f t="shared" si="37"/>
        <v/>
      </c>
      <c r="J500" t="str">
        <f>IF(I500="","",_xlfn.XLOOKUP(I500,Lists!$C:$C,Lists!$D:$D))</f>
        <v/>
      </c>
      <c r="N500" t="str">
        <f t="shared" si="38"/>
        <v/>
      </c>
      <c r="O500" t="str">
        <f>IF(I500="","",_xlfn.XLOOKUP(I500,Lists!$C:$C,Lists!$J:$J))</f>
        <v/>
      </c>
      <c r="P500" t="str">
        <f>IF(I500="","",_xlfn.XLOOKUP(I500,Lists!$C:$C,Lists!$E:$E))</f>
        <v/>
      </c>
      <c r="Q500" s="21" t="str">
        <f t="shared" si="39"/>
        <v/>
      </c>
      <c r="R500" t="str">
        <f t="shared" si="40"/>
        <v/>
      </c>
      <c r="S500" t="str">
        <f>IF(I500="","",_xlfn.XLOOKUP(I500,Lists!$C:$C,Lists!$I:$I))</f>
        <v/>
      </c>
    </row>
    <row r="501" spans="8:8">
      <c r="C501">
        <f>_xlfn.XLOOKUP(B501,Lists!B:B,Lists!A:A,"")</f>
        <v>0.0</v>
      </c>
      <c r="G501" t="str">
        <f t="shared" si="36"/>
        <v/>
      </c>
      <c r="H501" s="20" t="str">
        <f t="shared" si="37"/>
        <v/>
      </c>
      <c r="J501" t="str">
        <f>IF(I501="","",_xlfn.XLOOKUP(I501,Lists!$C:$C,Lists!$D:$D))</f>
        <v/>
      </c>
      <c r="N501" t="str">
        <f t="shared" si="38"/>
        <v/>
      </c>
      <c r="O501" t="str">
        <f>IF(I501="","",_xlfn.XLOOKUP(I501,Lists!$C:$C,Lists!$J:$J))</f>
        <v/>
      </c>
      <c r="P501" t="str">
        <f>IF(I501="","",_xlfn.XLOOKUP(I501,Lists!$C:$C,Lists!$E:$E))</f>
        <v/>
      </c>
      <c r="Q501" s="21" t="str">
        <f t="shared" si="39"/>
        <v/>
      </c>
      <c r="R501" t="str">
        <f t="shared" si="40"/>
        <v/>
      </c>
      <c r="S501" t="str">
        <f>IF(I501="","",_xlfn.XLOOKUP(I501,Lists!$C:$C,Lists!$I:$I))</f>
        <v/>
      </c>
    </row>
    <row r="502" spans="8:8">
      <c r="C502">
        <f>_xlfn.XLOOKUP(B502,Lists!B:B,Lists!A:A,"")</f>
        <v>0.0</v>
      </c>
      <c r="G502" t="str">
        <f t="shared" si="36"/>
        <v/>
      </c>
      <c r="H502" s="20" t="str">
        <f t="shared" si="37"/>
        <v/>
      </c>
      <c r="J502" t="str">
        <f>IF(I502="","",_xlfn.XLOOKUP(I502,Lists!$C:$C,Lists!$D:$D))</f>
        <v/>
      </c>
      <c r="N502" t="str">
        <f t="shared" si="38"/>
        <v/>
      </c>
      <c r="O502" t="str">
        <f>IF(I502="","",_xlfn.XLOOKUP(I502,Lists!$C:$C,Lists!$J:$J))</f>
        <v/>
      </c>
      <c r="P502" t="str">
        <f>IF(I502="","",_xlfn.XLOOKUP(I502,Lists!$C:$C,Lists!$E:$E))</f>
        <v/>
      </c>
      <c r="Q502" s="21" t="str">
        <f t="shared" si="39"/>
        <v/>
      </c>
      <c r="R502" t="str">
        <f t="shared" si="40"/>
        <v/>
      </c>
      <c r="S502" t="str">
        <f>IF(I502="","",_xlfn.XLOOKUP(I502,Lists!$C:$C,Lists!$I:$I))</f>
        <v/>
      </c>
    </row>
    <row r="503" spans="8:8">
      <c r="C503">
        <f>_xlfn.XLOOKUP(B503,Lists!B:B,Lists!A:A,"")</f>
        <v>0.0</v>
      </c>
      <c r="G503" t="str">
        <f t="shared" si="36"/>
        <v/>
      </c>
      <c r="H503" s="20" t="str">
        <f t="shared" si="37"/>
        <v/>
      </c>
      <c r="J503" t="str">
        <f>IF(I503="","",_xlfn.XLOOKUP(I503,Lists!$C:$C,Lists!$D:$D))</f>
        <v/>
      </c>
      <c r="N503" t="str">
        <f t="shared" si="38"/>
        <v/>
      </c>
      <c r="O503" t="str">
        <f>IF(I503="","",_xlfn.XLOOKUP(I503,Lists!$C:$C,Lists!$J:$J))</f>
        <v/>
      </c>
      <c r="P503" t="str">
        <f>IF(I503="","",_xlfn.XLOOKUP(I503,Lists!$C:$C,Lists!$E:$E))</f>
        <v/>
      </c>
      <c r="Q503" s="21" t="str">
        <f t="shared" si="39"/>
        <v/>
      </c>
      <c r="R503" t="str">
        <f t="shared" si="40"/>
        <v/>
      </c>
      <c r="S503" t="str">
        <f>IF(I503="","",_xlfn.XLOOKUP(I503,Lists!$C:$C,Lists!$I:$I))</f>
        <v/>
      </c>
    </row>
    <row r="504" spans="8:8">
      <c r="C504">
        <f>_xlfn.XLOOKUP(B504,Lists!B:B,Lists!A:A,"")</f>
        <v>0.0</v>
      </c>
      <c r="G504" t="str">
        <f t="shared" si="36"/>
        <v/>
      </c>
      <c r="H504" s="20" t="str">
        <f t="shared" si="37"/>
        <v/>
      </c>
      <c r="J504" t="str">
        <f>IF(I504="","",_xlfn.XLOOKUP(I504,Lists!$C:$C,Lists!$D:$D))</f>
        <v/>
      </c>
      <c r="N504" t="str">
        <f t="shared" si="38"/>
        <v/>
      </c>
      <c r="O504" t="str">
        <f>IF(I504="","",_xlfn.XLOOKUP(I504,Lists!$C:$C,Lists!$J:$J))</f>
        <v/>
      </c>
      <c r="P504" t="str">
        <f>IF(I504="","",_xlfn.XLOOKUP(I504,Lists!$C:$C,Lists!$E:$E))</f>
        <v/>
      </c>
      <c r="Q504" s="21" t="str">
        <f t="shared" si="39"/>
        <v/>
      </c>
      <c r="R504" t="str">
        <f t="shared" si="40"/>
        <v/>
      </c>
      <c r="S504" t="str">
        <f>IF(I504="","",_xlfn.XLOOKUP(I504,Lists!$C:$C,Lists!$I:$I))</f>
        <v/>
      </c>
    </row>
    <row r="505" spans="8:8">
      <c r="C505">
        <f>_xlfn.XLOOKUP(B505,Lists!B:B,Lists!A:A,"")</f>
        <v>0.0</v>
      </c>
      <c r="G505" t="str">
        <f t="shared" si="36"/>
        <v/>
      </c>
      <c r="H505" s="20" t="str">
        <f t="shared" si="37"/>
        <v/>
      </c>
      <c r="J505" t="str">
        <f>IF(I505="","",_xlfn.XLOOKUP(I505,Lists!$C:$C,Lists!$D:$D))</f>
        <v/>
      </c>
      <c r="N505" t="str">
        <f t="shared" si="38"/>
        <v/>
      </c>
      <c r="O505" t="str">
        <f>IF(I505="","",_xlfn.XLOOKUP(I505,Lists!$C:$C,Lists!$J:$J))</f>
        <v/>
      </c>
      <c r="P505" t="str">
        <f>IF(I505="","",_xlfn.XLOOKUP(I505,Lists!$C:$C,Lists!$E:$E))</f>
        <v/>
      </c>
      <c r="Q505" s="21" t="str">
        <f t="shared" si="39"/>
        <v/>
      </c>
      <c r="R505" t="str">
        <f t="shared" si="40"/>
        <v/>
      </c>
      <c r="S505" t="str">
        <f>IF(I505="","",_xlfn.XLOOKUP(I505,Lists!$C:$C,Lists!$I:$I))</f>
        <v/>
      </c>
    </row>
    <row r="506" spans="8:8">
      <c r="C506">
        <f>_xlfn.XLOOKUP(B506,Lists!B:B,Lists!A:A,"")</f>
        <v>0.0</v>
      </c>
      <c r="G506" t="str">
        <f t="shared" si="36"/>
        <v/>
      </c>
      <c r="H506" s="20" t="str">
        <f t="shared" si="37"/>
        <v/>
      </c>
      <c r="J506" t="str">
        <f>IF(I506="","",_xlfn.XLOOKUP(I506,Lists!$C:$C,Lists!$D:$D))</f>
        <v/>
      </c>
      <c r="N506" t="str">
        <f t="shared" si="38"/>
        <v/>
      </c>
      <c r="O506" t="str">
        <f>IF(I506="","",_xlfn.XLOOKUP(I506,Lists!$C:$C,Lists!$J:$J))</f>
        <v/>
      </c>
      <c r="P506" t="str">
        <f>IF(I506="","",_xlfn.XLOOKUP(I506,Lists!$C:$C,Lists!$E:$E))</f>
        <v/>
      </c>
      <c r="Q506" s="21" t="str">
        <f t="shared" si="39"/>
        <v/>
      </c>
      <c r="R506" t="str">
        <f t="shared" si="40"/>
        <v/>
      </c>
      <c r="S506" t="str">
        <f>IF(I506="","",_xlfn.XLOOKUP(I506,Lists!$C:$C,Lists!$I:$I))</f>
        <v/>
      </c>
    </row>
    <row r="507" spans="8:8">
      <c r="C507">
        <f>_xlfn.XLOOKUP(B507,Lists!B:B,Lists!A:A,"")</f>
        <v>0.0</v>
      </c>
      <c r="G507" t="str">
        <f t="shared" si="36"/>
        <v/>
      </c>
      <c r="H507" s="20" t="str">
        <f t="shared" si="37"/>
        <v/>
      </c>
      <c r="J507" t="str">
        <f>IF(I507="","",_xlfn.XLOOKUP(I507,Lists!$C:$C,Lists!$D:$D))</f>
        <v/>
      </c>
      <c r="N507" t="str">
        <f t="shared" si="38"/>
        <v/>
      </c>
      <c r="O507" t="str">
        <f>IF(I507="","",_xlfn.XLOOKUP(I507,Lists!$C:$C,Lists!$J:$J))</f>
        <v/>
      </c>
      <c r="P507" t="str">
        <f>IF(I507="","",_xlfn.XLOOKUP(I507,Lists!$C:$C,Lists!$E:$E))</f>
        <v/>
      </c>
      <c r="Q507" s="21" t="str">
        <f t="shared" si="39"/>
        <v/>
      </c>
      <c r="R507" t="str">
        <f t="shared" si="40"/>
        <v/>
      </c>
      <c r="S507" t="str">
        <f>IF(I507="","",_xlfn.XLOOKUP(I507,Lists!$C:$C,Lists!$I:$I))</f>
        <v/>
      </c>
    </row>
    <row r="508" spans="8:8">
      <c r="C508">
        <f>_xlfn.XLOOKUP(B508,Lists!B:B,Lists!A:A,"")</f>
        <v>0.0</v>
      </c>
      <c r="G508" t="str">
        <f t="shared" si="36"/>
        <v/>
      </c>
      <c r="H508" s="20" t="str">
        <f t="shared" si="37"/>
        <v/>
      </c>
      <c r="J508" t="str">
        <f>IF(I508="","",_xlfn.XLOOKUP(I508,Lists!$C:$C,Lists!$D:$D))</f>
        <v/>
      </c>
      <c r="N508" t="str">
        <f t="shared" si="38"/>
        <v/>
      </c>
      <c r="O508" t="str">
        <f>IF(I508="","",_xlfn.XLOOKUP(I508,Lists!$C:$C,Lists!$J:$J))</f>
        <v/>
      </c>
      <c r="P508" t="str">
        <f>IF(I508="","",_xlfn.XLOOKUP(I508,Lists!$C:$C,Lists!$E:$E))</f>
        <v/>
      </c>
      <c r="Q508" s="21" t="str">
        <f t="shared" si="39"/>
        <v/>
      </c>
      <c r="R508" t="str">
        <f t="shared" si="40"/>
        <v/>
      </c>
      <c r="S508" t="str">
        <f>IF(I508="","",_xlfn.XLOOKUP(I508,Lists!$C:$C,Lists!$I:$I))</f>
        <v/>
      </c>
    </row>
    <row r="509" spans="8:8">
      <c r="C509">
        <f>_xlfn.XLOOKUP(B509,Lists!B:B,Lists!A:A,"")</f>
        <v>0.0</v>
      </c>
      <c r="G509" t="str">
        <f t="shared" si="36"/>
        <v/>
      </c>
      <c r="H509" s="20" t="str">
        <f t="shared" si="37"/>
        <v/>
      </c>
      <c r="J509" t="str">
        <f>IF(I509="","",_xlfn.XLOOKUP(I509,Lists!$C:$C,Lists!$D:$D))</f>
        <v/>
      </c>
      <c r="N509" t="str">
        <f t="shared" si="38"/>
        <v/>
      </c>
      <c r="O509" t="str">
        <f>IF(I509="","",_xlfn.XLOOKUP(I509,Lists!$C:$C,Lists!$J:$J))</f>
        <v/>
      </c>
      <c r="P509" t="str">
        <f>IF(I509="","",_xlfn.XLOOKUP(I509,Lists!$C:$C,Lists!$E:$E))</f>
        <v/>
      </c>
      <c r="Q509" s="21" t="str">
        <f t="shared" si="39"/>
        <v/>
      </c>
      <c r="R509" t="str">
        <f t="shared" si="40"/>
        <v/>
      </c>
      <c r="S509" t="str">
        <f>IF(I509="","",_xlfn.XLOOKUP(I509,Lists!$C:$C,Lists!$I:$I))</f>
        <v/>
      </c>
    </row>
    <row r="510" spans="8:8">
      <c r="C510">
        <f>_xlfn.XLOOKUP(B510,Lists!B:B,Lists!A:A,"")</f>
        <v>0.0</v>
      </c>
      <c r="G510" t="str">
        <f t="shared" si="36"/>
        <v/>
      </c>
      <c r="H510" s="20" t="str">
        <f t="shared" si="37"/>
        <v/>
      </c>
      <c r="J510" t="str">
        <f>IF(I510="","",_xlfn.XLOOKUP(I510,Lists!$C:$C,Lists!$D:$D))</f>
        <v/>
      </c>
      <c r="N510" t="str">
        <f t="shared" si="38"/>
        <v/>
      </c>
      <c r="O510" t="str">
        <f>IF(I510="","",_xlfn.XLOOKUP(I510,Lists!$C:$C,Lists!$J:$J))</f>
        <v/>
      </c>
      <c r="P510" t="str">
        <f>IF(I510="","",_xlfn.XLOOKUP(I510,Lists!$C:$C,Lists!$E:$E))</f>
        <v/>
      </c>
      <c r="Q510" s="21" t="str">
        <f t="shared" si="39"/>
        <v/>
      </c>
      <c r="R510" t="str">
        <f t="shared" si="40"/>
        <v/>
      </c>
      <c r="S510" t="str">
        <f>IF(I510="","",_xlfn.XLOOKUP(I510,Lists!$C:$C,Lists!$I:$I))</f>
        <v/>
      </c>
    </row>
    <row r="511" spans="8:8">
      <c r="C511">
        <f>_xlfn.XLOOKUP(B511,Lists!B:B,Lists!A:A,"")</f>
        <v>0.0</v>
      </c>
      <c r="G511" t="str">
        <f t="shared" si="36"/>
        <v/>
      </c>
      <c r="H511" s="20" t="str">
        <f t="shared" si="37"/>
        <v/>
      </c>
      <c r="J511" t="str">
        <f>IF(I511="","",_xlfn.XLOOKUP(I511,Lists!$C:$C,Lists!$D:$D))</f>
        <v/>
      </c>
      <c r="N511" t="str">
        <f t="shared" si="38"/>
        <v/>
      </c>
      <c r="O511" t="str">
        <f>IF(I511="","",_xlfn.XLOOKUP(I511,Lists!$C:$C,Lists!$J:$J))</f>
        <v/>
      </c>
      <c r="P511" t="str">
        <f>IF(I511="","",_xlfn.XLOOKUP(I511,Lists!$C:$C,Lists!$E:$E))</f>
        <v/>
      </c>
      <c r="Q511" s="21" t="str">
        <f t="shared" si="39"/>
        <v/>
      </c>
      <c r="R511" t="str">
        <f t="shared" si="40"/>
        <v/>
      </c>
      <c r="S511" t="str">
        <f>IF(I511="","",_xlfn.XLOOKUP(I511,Lists!$C:$C,Lists!$I:$I))</f>
        <v/>
      </c>
    </row>
    <row r="512" spans="8:8">
      <c r="C512">
        <f>_xlfn.XLOOKUP(B512,Lists!B:B,Lists!A:A,"")</f>
        <v>0.0</v>
      </c>
      <c r="G512" t="str">
        <f t="shared" si="36"/>
        <v/>
      </c>
      <c r="H512" s="20" t="str">
        <f t="shared" si="37"/>
        <v/>
      </c>
      <c r="J512" t="str">
        <f>IF(I512="","",_xlfn.XLOOKUP(I512,Lists!$C:$C,Lists!$D:$D))</f>
        <v/>
      </c>
      <c r="N512" t="str">
        <f t="shared" si="38"/>
        <v/>
      </c>
      <c r="O512" t="str">
        <f>IF(I512="","",_xlfn.XLOOKUP(I512,Lists!$C:$C,Lists!$J:$J))</f>
        <v/>
      </c>
      <c r="P512" t="str">
        <f>IF(I512="","",_xlfn.XLOOKUP(I512,Lists!$C:$C,Lists!$E:$E))</f>
        <v/>
      </c>
      <c r="Q512" s="21" t="str">
        <f t="shared" si="39"/>
        <v/>
      </c>
      <c r="R512" t="str">
        <f t="shared" si="40"/>
        <v/>
      </c>
      <c r="S512" t="str">
        <f>IF(I512="","",_xlfn.XLOOKUP(I512,Lists!$C:$C,Lists!$I:$I))</f>
        <v/>
      </c>
    </row>
    <row r="513" spans="8:8">
      <c r="C513">
        <f>_xlfn.XLOOKUP(B513,Lists!B:B,Lists!A:A,"")</f>
        <v>0.0</v>
      </c>
      <c r="G513" t="str">
        <f t="shared" si="36"/>
        <v/>
      </c>
      <c r="H513" s="20" t="str">
        <f t="shared" si="37"/>
        <v/>
      </c>
      <c r="J513" t="str">
        <f>IF(I513="","",_xlfn.XLOOKUP(I513,Lists!$C:$C,Lists!$D:$D))</f>
        <v/>
      </c>
      <c r="N513" t="str">
        <f t="shared" si="38"/>
        <v/>
      </c>
      <c r="O513" t="str">
        <f>IF(I513="","",_xlfn.XLOOKUP(I513,Lists!$C:$C,Lists!$J:$J))</f>
        <v/>
      </c>
      <c r="P513" t="str">
        <f>IF(I513="","",_xlfn.XLOOKUP(I513,Lists!$C:$C,Lists!$E:$E))</f>
        <v/>
      </c>
      <c r="Q513" s="21" t="str">
        <f t="shared" si="39"/>
        <v/>
      </c>
      <c r="R513" t="str">
        <f t="shared" si="40"/>
        <v/>
      </c>
      <c r="S513" t="str">
        <f>IF(I513="","",_xlfn.XLOOKUP(I513,Lists!$C:$C,Lists!$I:$I))</f>
        <v/>
      </c>
    </row>
    <row r="514" spans="8:8">
      <c r="C514">
        <f>_xlfn.XLOOKUP(B514,Lists!B:B,Lists!A:A,"")</f>
        <v>0.0</v>
      </c>
      <c r="G514" t="str">
        <f t="shared" si="36"/>
        <v/>
      </c>
      <c r="H514" s="20" t="str">
        <f t="shared" si="37"/>
        <v/>
      </c>
      <c r="J514" t="str">
        <f>IF(I514="","",_xlfn.XLOOKUP(I514,Lists!$C:$C,Lists!$D:$D))</f>
        <v/>
      </c>
      <c r="N514" t="str">
        <f t="shared" si="38"/>
        <v/>
      </c>
      <c r="O514" t="str">
        <f>IF(I514="","",_xlfn.XLOOKUP(I514,Lists!$C:$C,Lists!$J:$J))</f>
        <v/>
      </c>
      <c r="P514" t="str">
        <f>IF(I514="","",_xlfn.XLOOKUP(I514,Lists!$C:$C,Lists!$E:$E))</f>
        <v/>
      </c>
      <c r="Q514" s="21" t="str">
        <f t="shared" si="39"/>
        <v/>
      </c>
      <c r="R514" t="str">
        <f t="shared" si="40"/>
        <v/>
      </c>
      <c r="S514" t="str">
        <f>IF(I514="","",_xlfn.XLOOKUP(I514,Lists!$C:$C,Lists!$I:$I))</f>
        <v/>
      </c>
    </row>
    <row r="515" spans="8:8">
      <c r="C515">
        <f>_xlfn.XLOOKUP(B515,Lists!B:B,Lists!A:A,"")</f>
        <v>0.0</v>
      </c>
      <c r="G515" t="str">
        <f t="shared" si="36"/>
        <v/>
      </c>
      <c r="H515" s="20" t="str">
        <f t="shared" si="37"/>
        <v/>
      </c>
      <c r="J515" t="str">
        <f>IF(I515="","",_xlfn.XLOOKUP(I515,Lists!$C:$C,Lists!$D:$D))</f>
        <v/>
      </c>
      <c r="N515" t="str">
        <f t="shared" si="38"/>
        <v/>
      </c>
      <c r="O515" t="str">
        <f>IF(I515="","",_xlfn.XLOOKUP(I515,Lists!$C:$C,Lists!$J:$J))</f>
        <v/>
      </c>
      <c r="P515" t="str">
        <f>IF(I515="","",_xlfn.XLOOKUP(I515,Lists!$C:$C,Lists!$E:$E))</f>
        <v/>
      </c>
      <c r="Q515" s="21" t="str">
        <f t="shared" si="39"/>
        <v/>
      </c>
      <c r="R515" t="str">
        <f t="shared" si="40"/>
        <v/>
      </c>
      <c r="S515" t="str">
        <f>IF(I515="","",_xlfn.XLOOKUP(I515,Lists!$C:$C,Lists!$I:$I))</f>
        <v/>
      </c>
    </row>
    <row r="516" spans="8:8">
      <c r="C516">
        <f>_xlfn.XLOOKUP(B516,Lists!B:B,Lists!A:A,"")</f>
        <v>0.0</v>
      </c>
      <c r="G516" t="str">
        <f t="shared" si="36"/>
        <v/>
      </c>
      <c r="H516" s="20" t="str">
        <f t="shared" si="37"/>
        <v/>
      </c>
      <c r="J516" t="str">
        <f>IF(I516="","",_xlfn.XLOOKUP(I516,Lists!$C:$C,Lists!$D:$D))</f>
        <v/>
      </c>
      <c r="N516" t="str">
        <f t="shared" si="38"/>
        <v/>
      </c>
      <c r="O516" t="str">
        <f>IF(I516="","",_xlfn.XLOOKUP(I516,Lists!$C:$C,Lists!$J:$J))</f>
        <v/>
      </c>
      <c r="P516" t="str">
        <f>IF(I516="","",_xlfn.XLOOKUP(I516,Lists!$C:$C,Lists!$E:$E))</f>
        <v/>
      </c>
      <c r="Q516" s="21" t="str">
        <f t="shared" si="39"/>
        <v/>
      </c>
      <c r="R516" t="str">
        <f t="shared" si="40"/>
        <v/>
      </c>
      <c r="S516" t="str">
        <f>IF(I516="","",_xlfn.XLOOKUP(I516,Lists!$C:$C,Lists!$I:$I))</f>
        <v/>
      </c>
    </row>
    <row r="517" spans="8:8">
      <c r="C517">
        <f>_xlfn.XLOOKUP(B517,Lists!B:B,Lists!A:A,"")</f>
        <v>0.0</v>
      </c>
      <c r="G517" t="str">
        <f t="shared" si="36"/>
        <v/>
      </c>
      <c r="H517" s="20" t="str">
        <f t="shared" si="37"/>
        <v/>
      </c>
      <c r="J517" t="str">
        <f>IF(I517="","",_xlfn.XLOOKUP(I517,Lists!$C:$C,Lists!$D:$D))</f>
        <v/>
      </c>
      <c r="N517" t="str">
        <f t="shared" si="38"/>
        <v/>
      </c>
      <c r="O517" t="str">
        <f>IF(I517="","",_xlfn.XLOOKUP(I517,Lists!$C:$C,Lists!$J:$J))</f>
        <v/>
      </c>
      <c r="P517" t="str">
        <f>IF(I517="","",_xlfn.XLOOKUP(I517,Lists!$C:$C,Lists!$E:$E))</f>
        <v/>
      </c>
      <c r="Q517" s="21" t="str">
        <f t="shared" si="39"/>
        <v/>
      </c>
      <c r="R517" t="str">
        <f t="shared" si="40"/>
        <v/>
      </c>
      <c r="S517" t="str">
        <f>IF(I517="","",_xlfn.XLOOKUP(I517,Lists!$C:$C,Lists!$I:$I))</f>
        <v/>
      </c>
    </row>
    <row r="518" spans="8:8">
      <c r="C518">
        <f>_xlfn.XLOOKUP(B518,Lists!B:B,Lists!A:A,"")</f>
        <v>0.0</v>
      </c>
      <c r="G518" t="str">
        <f t="shared" si="36"/>
        <v/>
      </c>
      <c r="H518" s="20" t="str">
        <f t="shared" si="37"/>
        <v/>
      </c>
      <c r="J518" t="str">
        <f>IF(I518="","",_xlfn.XLOOKUP(I518,Lists!$C:$C,Lists!$D:$D))</f>
        <v/>
      </c>
      <c r="N518" t="str">
        <f t="shared" si="38"/>
        <v/>
      </c>
      <c r="O518" t="str">
        <f>IF(I518="","",_xlfn.XLOOKUP(I518,Lists!$C:$C,Lists!$J:$J))</f>
        <v/>
      </c>
      <c r="P518" t="str">
        <f>IF(I518="","",_xlfn.XLOOKUP(I518,Lists!$C:$C,Lists!$E:$E))</f>
        <v/>
      </c>
      <c r="Q518" s="21" t="str">
        <f t="shared" si="39"/>
        <v/>
      </c>
      <c r="R518" t="str">
        <f t="shared" si="40"/>
        <v/>
      </c>
      <c r="S518" t="str">
        <f>IF(I518="","",_xlfn.XLOOKUP(I518,Lists!$C:$C,Lists!$I:$I))</f>
        <v/>
      </c>
    </row>
    <row r="519" spans="8:8">
      <c r="C519">
        <f>_xlfn.XLOOKUP(B519,Lists!B:B,Lists!A:A,"")</f>
        <v>0.0</v>
      </c>
      <c r="G519" t="str">
        <f t="shared" si="36"/>
        <v/>
      </c>
      <c r="H519" s="20" t="str">
        <f t="shared" si="37"/>
        <v/>
      </c>
      <c r="J519" t="str">
        <f>IF(I519="","",_xlfn.XLOOKUP(I519,Lists!$C:$C,Lists!$D:$D))</f>
        <v/>
      </c>
      <c r="N519" t="str">
        <f t="shared" si="38"/>
        <v/>
      </c>
      <c r="O519" t="str">
        <f>IF(I519="","",_xlfn.XLOOKUP(I519,Lists!$C:$C,Lists!$J:$J))</f>
        <v/>
      </c>
      <c r="P519" t="str">
        <f>IF(I519="","",_xlfn.XLOOKUP(I519,Lists!$C:$C,Lists!$E:$E))</f>
        <v/>
      </c>
      <c r="Q519" s="21" t="str">
        <f t="shared" si="39"/>
        <v/>
      </c>
      <c r="R519" t="str">
        <f t="shared" si="40"/>
        <v/>
      </c>
      <c r="S519" t="str">
        <f>IF(I519="","",_xlfn.XLOOKUP(I519,Lists!$C:$C,Lists!$I:$I))</f>
        <v/>
      </c>
    </row>
    <row r="520" spans="8:8">
      <c r="C520">
        <f>_xlfn.XLOOKUP(B520,Lists!B:B,Lists!A:A,"")</f>
        <v>0.0</v>
      </c>
      <c r="G520" t="str">
        <f t="shared" si="36"/>
        <v/>
      </c>
      <c r="H520" s="20" t="str">
        <f t="shared" si="37"/>
        <v/>
      </c>
      <c r="J520" t="str">
        <f>IF(I520="","",_xlfn.XLOOKUP(I520,Lists!$C:$C,Lists!$D:$D))</f>
        <v/>
      </c>
      <c r="N520" t="str">
        <f t="shared" si="38"/>
        <v/>
      </c>
      <c r="O520" t="str">
        <f>IF(I520="","",_xlfn.XLOOKUP(I520,Lists!$C:$C,Lists!$J:$J))</f>
        <v/>
      </c>
      <c r="P520" t="str">
        <f>IF(I520="","",_xlfn.XLOOKUP(I520,Lists!$C:$C,Lists!$E:$E))</f>
        <v/>
      </c>
      <c r="Q520" s="21" t="str">
        <f t="shared" si="39"/>
        <v/>
      </c>
      <c r="R520" t="str">
        <f t="shared" si="40"/>
        <v/>
      </c>
      <c r="S520" t="str">
        <f>IF(I520="","",_xlfn.XLOOKUP(I520,Lists!$C:$C,Lists!$I:$I))</f>
        <v/>
      </c>
    </row>
    <row r="521" spans="8:8">
      <c r="C521">
        <f>_xlfn.XLOOKUP(B521,Lists!B:B,Lists!A:A,"")</f>
        <v>0.0</v>
      </c>
      <c r="G521" t="str">
        <f t="shared" si="36"/>
        <v/>
      </c>
      <c r="H521" s="20" t="str">
        <f t="shared" si="37"/>
        <v/>
      </c>
      <c r="J521" t="str">
        <f>IF(I521="","",_xlfn.XLOOKUP(I521,Lists!$C:$C,Lists!$D:$D))</f>
        <v/>
      </c>
      <c r="N521" t="str">
        <f t="shared" si="38"/>
        <v/>
      </c>
      <c r="O521" t="str">
        <f>IF(I521="","",_xlfn.XLOOKUP(I521,Lists!$C:$C,Lists!$J:$J))</f>
        <v/>
      </c>
      <c r="P521" t="str">
        <f>IF(I521="","",_xlfn.XLOOKUP(I521,Lists!$C:$C,Lists!$E:$E))</f>
        <v/>
      </c>
      <c r="Q521" s="21" t="str">
        <f t="shared" si="39"/>
        <v/>
      </c>
      <c r="R521" t="str">
        <f t="shared" si="40"/>
        <v/>
      </c>
      <c r="S521" t="str">
        <f>IF(I521="","",_xlfn.XLOOKUP(I521,Lists!$C:$C,Lists!$I:$I))</f>
        <v/>
      </c>
    </row>
    <row r="522" spans="8:8">
      <c r="C522">
        <f>_xlfn.XLOOKUP(B522,Lists!B:B,Lists!A:A,"")</f>
        <v>0.0</v>
      </c>
      <c r="G522" t="str">
        <f t="shared" si="36"/>
        <v/>
      </c>
      <c r="H522" s="20" t="str">
        <f t="shared" si="37"/>
        <v/>
      </c>
      <c r="J522" t="str">
        <f>IF(I522="","",_xlfn.XLOOKUP(I522,Lists!$C:$C,Lists!$D:$D))</f>
        <v/>
      </c>
      <c r="N522" t="str">
        <f t="shared" si="38"/>
        <v/>
      </c>
      <c r="O522" t="str">
        <f>IF(I522="","",_xlfn.XLOOKUP(I522,Lists!$C:$C,Lists!$J:$J))</f>
        <v/>
      </c>
      <c r="P522" t="str">
        <f>IF(I522="","",_xlfn.XLOOKUP(I522,Lists!$C:$C,Lists!$E:$E))</f>
        <v/>
      </c>
      <c r="Q522" s="21" t="str">
        <f t="shared" si="39"/>
        <v/>
      </c>
      <c r="R522" t="str">
        <f t="shared" si="40"/>
        <v/>
      </c>
      <c r="S522" t="str">
        <f>IF(I522="","",_xlfn.XLOOKUP(I522,Lists!$C:$C,Lists!$I:$I))</f>
        <v/>
      </c>
    </row>
    <row r="523" spans="8:8">
      <c r="C523">
        <f>_xlfn.XLOOKUP(B523,Lists!B:B,Lists!A:A,"")</f>
        <v>0.0</v>
      </c>
      <c r="G523" t="str">
        <f t="shared" si="36"/>
        <v/>
      </c>
      <c r="H523" s="20" t="str">
        <f t="shared" si="37"/>
        <v/>
      </c>
      <c r="J523" t="str">
        <f>IF(I523="","",_xlfn.XLOOKUP(I523,Lists!$C:$C,Lists!$D:$D))</f>
        <v/>
      </c>
      <c r="N523" t="str">
        <f t="shared" si="38"/>
        <v/>
      </c>
      <c r="O523" t="str">
        <f>IF(I523="","",_xlfn.XLOOKUP(I523,Lists!$C:$C,Lists!$J:$J))</f>
        <v/>
      </c>
      <c r="P523" t="str">
        <f>IF(I523="","",_xlfn.XLOOKUP(I523,Lists!$C:$C,Lists!$E:$E))</f>
        <v/>
      </c>
      <c r="Q523" s="21" t="str">
        <f t="shared" si="39"/>
        <v/>
      </c>
      <c r="R523" t="str">
        <f t="shared" si="40"/>
        <v/>
      </c>
      <c r="S523" t="str">
        <f>IF(I523="","",_xlfn.XLOOKUP(I523,Lists!$C:$C,Lists!$I:$I))</f>
        <v/>
      </c>
    </row>
    <row r="524" spans="8:8">
      <c r="C524">
        <f>_xlfn.XLOOKUP(B524,Lists!B:B,Lists!A:A,"")</f>
        <v>0.0</v>
      </c>
      <c r="G524" t="str">
        <f t="shared" si="36"/>
        <v/>
      </c>
      <c r="H524" s="20" t="str">
        <f t="shared" si="37"/>
        <v/>
      </c>
      <c r="J524" t="str">
        <f>IF(I524="","",_xlfn.XLOOKUP(I524,Lists!$C:$C,Lists!$D:$D))</f>
        <v/>
      </c>
      <c r="N524" t="str">
        <f t="shared" si="38"/>
        <v/>
      </c>
      <c r="O524" t="str">
        <f>IF(I524="","",_xlfn.XLOOKUP(I524,Lists!$C:$C,Lists!$J:$J))</f>
        <v/>
      </c>
      <c r="P524" t="str">
        <f>IF(I524="","",_xlfn.XLOOKUP(I524,Lists!$C:$C,Lists!$E:$E))</f>
        <v/>
      </c>
      <c r="Q524" s="21" t="str">
        <f t="shared" si="39"/>
        <v/>
      </c>
      <c r="R524" t="str">
        <f t="shared" si="40"/>
        <v/>
      </c>
      <c r="S524" t="str">
        <f>IF(I524="","",_xlfn.XLOOKUP(I524,Lists!$C:$C,Lists!$I:$I))</f>
        <v/>
      </c>
    </row>
    <row r="525" spans="8:8">
      <c r="C525">
        <f>_xlfn.XLOOKUP(B525,Lists!B:B,Lists!A:A,"")</f>
        <v>0.0</v>
      </c>
      <c r="G525" t="str">
        <f t="shared" si="36"/>
        <v/>
      </c>
      <c r="H525" s="20" t="str">
        <f t="shared" si="37"/>
        <v/>
      </c>
      <c r="J525" t="str">
        <f>IF(I525="","",_xlfn.XLOOKUP(I525,Lists!$C:$C,Lists!$D:$D))</f>
        <v/>
      </c>
      <c r="N525" t="str">
        <f t="shared" si="38"/>
        <v/>
      </c>
      <c r="O525" t="str">
        <f>IF(I525="","",_xlfn.XLOOKUP(I525,Lists!$C:$C,Lists!$J:$J))</f>
        <v/>
      </c>
      <c r="P525" t="str">
        <f>IF(I525="","",_xlfn.XLOOKUP(I525,Lists!$C:$C,Lists!$E:$E))</f>
        <v/>
      </c>
      <c r="Q525" s="21" t="str">
        <f t="shared" si="39"/>
        <v/>
      </c>
      <c r="R525" t="str">
        <f t="shared" si="40"/>
        <v/>
      </c>
      <c r="S525" t="str">
        <f>IF(I525="","",_xlfn.XLOOKUP(I525,Lists!$C:$C,Lists!$I:$I))</f>
        <v/>
      </c>
    </row>
    <row r="526" spans="8:8">
      <c r="C526">
        <f>_xlfn.XLOOKUP(B526,Lists!B:B,Lists!A:A,"")</f>
        <v>0.0</v>
      </c>
      <c r="G526" t="str">
        <f t="shared" si="36"/>
        <v/>
      </c>
      <c r="H526" s="20" t="str">
        <f t="shared" si="37"/>
        <v/>
      </c>
      <c r="J526" t="str">
        <f>IF(I526="","",_xlfn.XLOOKUP(I526,Lists!$C:$C,Lists!$D:$D))</f>
        <v/>
      </c>
      <c r="N526" t="str">
        <f t="shared" si="38"/>
        <v/>
      </c>
      <c r="O526" t="str">
        <f>IF(I526="","",_xlfn.XLOOKUP(I526,Lists!$C:$C,Lists!$J:$J))</f>
        <v/>
      </c>
      <c r="P526" t="str">
        <f>IF(I526="","",_xlfn.XLOOKUP(I526,Lists!$C:$C,Lists!$E:$E))</f>
        <v/>
      </c>
      <c r="Q526" s="21" t="str">
        <f t="shared" si="39"/>
        <v/>
      </c>
      <c r="R526" t="str">
        <f t="shared" si="40"/>
        <v/>
      </c>
      <c r="S526" t="str">
        <f>IF(I526="","",_xlfn.XLOOKUP(I526,Lists!$C:$C,Lists!$I:$I))</f>
        <v/>
      </c>
    </row>
    <row r="527" spans="8:8">
      <c r="C527">
        <f>_xlfn.XLOOKUP(B527,Lists!B:B,Lists!A:A,"")</f>
        <v>0.0</v>
      </c>
      <c r="G527" t="str">
        <f t="shared" si="36"/>
        <v/>
      </c>
      <c r="H527" s="20" t="str">
        <f t="shared" si="37"/>
        <v/>
      </c>
      <c r="J527" t="str">
        <f>IF(I527="","",_xlfn.XLOOKUP(I527,Lists!$C:$C,Lists!$D:$D))</f>
        <v/>
      </c>
      <c r="N527" t="str">
        <f t="shared" si="38"/>
        <v/>
      </c>
      <c r="O527" t="str">
        <f>IF(I527="","",_xlfn.XLOOKUP(I527,Lists!$C:$C,Lists!$J:$J))</f>
        <v/>
      </c>
      <c r="P527" t="str">
        <f>IF(I527="","",_xlfn.XLOOKUP(I527,Lists!$C:$C,Lists!$E:$E))</f>
        <v/>
      </c>
      <c r="Q527" s="21" t="str">
        <f t="shared" si="39"/>
        <v/>
      </c>
      <c r="R527" t="str">
        <f t="shared" si="40"/>
        <v/>
      </c>
      <c r="S527" t="str">
        <f>IF(I527="","",_xlfn.XLOOKUP(I527,Lists!$C:$C,Lists!$I:$I))</f>
        <v/>
      </c>
    </row>
    <row r="528" spans="8:8">
      <c r="C528">
        <f>_xlfn.XLOOKUP(B528,Lists!B:B,Lists!A:A,"")</f>
        <v>0.0</v>
      </c>
      <c r="G528" t="str">
        <f t="shared" si="36"/>
        <v/>
      </c>
      <c r="H528" s="20" t="str">
        <f t="shared" si="37"/>
        <v/>
      </c>
      <c r="J528" t="str">
        <f>IF(I528="","",_xlfn.XLOOKUP(I528,Lists!$C:$C,Lists!$D:$D))</f>
        <v/>
      </c>
      <c r="N528" t="str">
        <f t="shared" si="38"/>
        <v/>
      </c>
      <c r="O528" t="str">
        <f>IF(I528="","",_xlfn.XLOOKUP(I528,Lists!$C:$C,Lists!$J:$J))</f>
        <v/>
      </c>
      <c r="P528" t="str">
        <f>IF(I528="","",_xlfn.XLOOKUP(I528,Lists!$C:$C,Lists!$E:$E))</f>
        <v/>
      </c>
      <c r="Q528" s="21" t="str">
        <f t="shared" si="39"/>
        <v/>
      </c>
      <c r="R528" t="str">
        <f t="shared" si="40"/>
        <v/>
      </c>
      <c r="S528" t="str">
        <f>IF(I528="","",_xlfn.XLOOKUP(I528,Lists!$C:$C,Lists!$I:$I))</f>
        <v/>
      </c>
    </row>
    <row r="529" spans="8:8">
      <c r="C529">
        <f>_xlfn.XLOOKUP(B529,Lists!B:B,Lists!A:A,"")</f>
        <v>0.0</v>
      </c>
      <c r="G529" t="str">
        <f t="shared" si="36"/>
        <v/>
      </c>
      <c r="H529" s="20" t="str">
        <f t="shared" si="37"/>
        <v/>
      </c>
      <c r="J529" t="str">
        <f>IF(I529="","",_xlfn.XLOOKUP(I529,Lists!$C:$C,Lists!$D:$D))</f>
        <v/>
      </c>
      <c r="N529" t="str">
        <f t="shared" si="38"/>
        <v/>
      </c>
      <c r="O529" t="str">
        <f>IF(I529="","",_xlfn.XLOOKUP(I529,Lists!$C:$C,Lists!$J:$J))</f>
        <v/>
      </c>
      <c r="P529" t="str">
        <f>IF(I529="","",_xlfn.XLOOKUP(I529,Lists!$C:$C,Lists!$E:$E))</f>
        <v/>
      </c>
      <c r="Q529" s="21" t="str">
        <f t="shared" si="39"/>
        <v/>
      </c>
      <c r="R529" t="str">
        <f t="shared" si="40"/>
        <v/>
      </c>
      <c r="S529" t="str">
        <f>IF(I529="","",_xlfn.XLOOKUP(I529,Lists!$C:$C,Lists!$I:$I))</f>
        <v/>
      </c>
    </row>
    <row r="530" spans="8:8">
      <c r="C530">
        <f>_xlfn.XLOOKUP(B530,Lists!B:B,Lists!A:A,"")</f>
        <v>0.0</v>
      </c>
      <c r="G530" t="str">
        <f t="shared" si="36"/>
        <v/>
      </c>
      <c r="H530" s="20" t="str">
        <f t="shared" si="37"/>
        <v/>
      </c>
      <c r="J530" t="str">
        <f>IF(I530="","",_xlfn.XLOOKUP(I530,Lists!$C:$C,Lists!$D:$D))</f>
        <v/>
      </c>
      <c r="N530" t="str">
        <f t="shared" si="38"/>
        <v/>
      </c>
      <c r="O530" t="str">
        <f>IF(I530="","",_xlfn.XLOOKUP(I530,Lists!$C:$C,Lists!$J:$J))</f>
        <v/>
      </c>
      <c r="P530" t="str">
        <f>IF(I530="","",_xlfn.XLOOKUP(I530,Lists!$C:$C,Lists!$E:$E))</f>
        <v/>
      </c>
      <c r="Q530" s="21" t="str">
        <f t="shared" si="39"/>
        <v/>
      </c>
      <c r="R530" t="str">
        <f t="shared" si="40"/>
        <v/>
      </c>
      <c r="S530" t="str">
        <f>IF(I530="","",_xlfn.XLOOKUP(I530,Lists!$C:$C,Lists!$I:$I))</f>
        <v/>
      </c>
    </row>
    <row r="531" spans="8:8">
      <c r="C531">
        <f>_xlfn.XLOOKUP(B531,Lists!B:B,Lists!A:A,"")</f>
        <v>0.0</v>
      </c>
      <c r="G531" t="str">
        <f t="shared" si="36"/>
        <v/>
      </c>
      <c r="H531" s="20" t="str">
        <f t="shared" si="37"/>
        <v/>
      </c>
      <c r="J531" t="str">
        <f>IF(I531="","",_xlfn.XLOOKUP(I531,Lists!$C:$C,Lists!$D:$D))</f>
        <v/>
      </c>
      <c r="N531" t="str">
        <f t="shared" si="38"/>
        <v/>
      </c>
      <c r="O531" t="str">
        <f>IF(I531="","",_xlfn.XLOOKUP(I531,Lists!$C:$C,Lists!$J:$J))</f>
        <v/>
      </c>
      <c r="P531" t="str">
        <f>IF(I531="","",_xlfn.XLOOKUP(I531,Lists!$C:$C,Lists!$E:$E))</f>
        <v/>
      </c>
      <c r="Q531" s="21" t="str">
        <f t="shared" si="39"/>
        <v/>
      </c>
      <c r="R531" t="str">
        <f t="shared" si="40"/>
        <v/>
      </c>
      <c r="S531" t="str">
        <f>IF(I531="","",_xlfn.XLOOKUP(I531,Lists!$C:$C,Lists!$I:$I))</f>
        <v/>
      </c>
    </row>
    <row r="532" spans="8:8">
      <c r="C532">
        <f>_xlfn.XLOOKUP(B532,Lists!B:B,Lists!A:A,"")</f>
        <v>0.0</v>
      </c>
      <c r="G532" t="str">
        <f t="shared" si="36"/>
        <v/>
      </c>
      <c r="H532" s="20" t="str">
        <f t="shared" si="37"/>
        <v/>
      </c>
      <c r="J532" t="str">
        <f>IF(I532="","",_xlfn.XLOOKUP(I532,Lists!$C:$C,Lists!$D:$D))</f>
        <v/>
      </c>
      <c r="N532" t="str">
        <f t="shared" si="38"/>
        <v/>
      </c>
      <c r="O532" t="str">
        <f>IF(I532="","",_xlfn.XLOOKUP(I532,Lists!$C:$C,Lists!$J:$J))</f>
        <v/>
      </c>
      <c r="P532" t="str">
        <f>IF(I532="","",_xlfn.XLOOKUP(I532,Lists!$C:$C,Lists!$E:$E))</f>
        <v/>
      </c>
      <c r="Q532" s="21" t="str">
        <f t="shared" si="39"/>
        <v/>
      </c>
      <c r="R532" t="str">
        <f t="shared" si="40"/>
        <v/>
      </c>
      <c r="S532" t="str">
        <f>IF(I532="","",_xlfn.XLOOKUP(I532,Lists!$C:$C,Lists!$I:$I))</f>
        <v/>
      </c>
    </row>
    <row r="533" spans="8:8">
      <c r="C533">
        <f>_xlfn.XLOOKUP(B533,Lists!B:B,Lists!A:A,"")</f>
        <v>0.0</v>
      </c>
      <c r="G533" t="str">
        <f t="shared" si="36"/>
        <v/>
      </c>
      <c r="H533" s="20" t="str">
        <f t="shared" si="37"/>
        <v/>
      </c>
      <c r="J533" t="str">
        <f>IF(I533="","",_xlfn.XLOOKUP(I533,Lists!$C:$C,Lists!$D:$D))</f>
        <v/>
      </c>
      <c r="N533" t="str">
        <f t="shared" si="38"/>
        <v/>
      </c>
      <c r="O533" t="str">
        <f>IF(I533="","",_xlfn.XLOOKUP(I533,Lists!$C:$C,Lists!$J:$J))</f>
        <v/>
      </c>
      <c r="P533" t="str">
        <f>IF(I533="","",_xlfn.XLOOKUP(I533,Lists!$C:$C,Lists!$E:$E))</f>
        <v/>
      </c>
      <c r="Q533" s="21" t="str">
        <f t="shared" si="39"/>
        <v/>
      </c>
      <c r="R533" t="str">
        <f t="shared" si="40"/>
        <v/>
      </c>
      <c r="S533" t="str">
        <f>IF(I533="","",_xlfn.XLOOKUP(I533,Lists!$C:$C,Lists!$I:$I))</f>
        <v/>
      </c>
    </row>
    <row r="534" spans="8:8">
      <c r="C534">
        <f>_xlfn.XLOOKUP(B534,Lists!B:B,Lists!A:A,"")</f>
        <v>0.0</v>
      </c>
      <c r="G534" t="str">
        <f t="shared" si="36"/>
        <v/>
      </c>
      <c r="H534" s="20" t="str">
        <f t="shared" si="37"/>
        <v/>
      </c>
      <c r="J534" t="str">
        <f>IF(I534="","",_xlfn.XLOOKUP(I534,Lists!$C:$C,Lists!$D:$D))</f>
        <v/>
      </c>
      <c r="N534" t="str">
        <f t="shared" si="38"/>
        <v/>
      </c>
      <c r="O534" t="str">
        <f>IF(I534="","",_xlfn.XLOOKUP(I534,Lists!$C:$C,Lists!$J:$J))</f>
        <v/>
      </c>
      <c r="P534" t="str">
        <f>IF(I534="","",_xlfn.XLOOKUP(I534,Lists!$C:$C,Lists!$E:$E))</f>
        <v/>
      </c>
      <c r="Q534" s="21" t="str">
        <f t="shared" si="39"/>
        <v/>
      </c>
      <c r="R534" t="str">
        <f t="shared" si="40"/>
        <v/>
      </c>
      <c r="S534" t="str">
        <f>IF(I534="","",_xlfn.XLOOKUP(I534,Lists!$C:$C,Lists!$I:$I))</f>
        <v/>
      </c>
    </row>
    <row r="535" spans="8:8">
      <c r="C535">
        <f>_xlfn.XLOOKUP(B535,Lists!B:B,Lists!A:A,"")</f>
        <v>0.0</v>
      </c>
      <c r="G535" t="str">
        <f t="shared" si="36"/>
        <v/>
      </c>
      <c r="H535" s="20" t="str">
        <f t="shared" si="37"/>
        <v/>
      </c>
      <c r="J535" t="str">
        <f>IF(I535="","",_xlfn.XLOOKUP(I535,Lists!$C:$C,Lists!$D:$D))</f>
        <v/>
      </c>
      <c r="N535" t="str">
        <f t="shared" si="38"/>
        <v/>
      </c>
      <c r="O535" t="str">
        <f>IF(I535="","",_xlfn.XLOOKUP(I535,Lists!$C:$C,Lists!$J:$J))</f>
        <v/>
      </c>
      <c r="P535" t="str">
        <f>IF(I535="","",_xlfn.XLOOKUP(I535,Lists!$C:$C,Lists!$E:$E))</f>
        <v/>
      </c>
      <c r="Q535" s="21" t="str">
        <f t="shared" si="39"/>
        <v/>
      </c>
      <c r="R535" t="str">
        <f t="shared" si="40"/>
        <v/>
      </c>
      <c r="S535" t="str">
        <f>IF(I535="","",_xlfn.XLOOKUP(I535,Lists!$C:$C,Lists!$I:$I))</f>
        <v/>
      </c>
    </row>
    <row r="536" spans="8:8">
      <c r="C536">
        <f>_xlfn.XLOOKUP(B536,Lists!B:B,Lists!A:A,"")</f>
        <v>0.0</v>
      </c>
      <c r="G536" t="str">
        <f t="shared" si="36"/>
        <v/>
      </c>
      <c r="H536" s="20" t="str">
        <f t="shared" si="37"/>
        <v/>
      </c>
      <c r="J536" t="str">
        <f>IF(I536="","",_xlfn.XLOOKUP(I536,Lists!$C:$C,Lists!$D:$D))</f>
        <v/>
      </c>
      <c r="N536" t="str">
        <f t="shared" si="38"/>
        <v/>
      </c>
      <c r="O536" t="str">
        <f>IF(I536="","",_xlfn.XLOOKUP(I536,Lists!$C:$C,Lists!$J:$J))</f>
        <v/>
      </c>
      <c r="P536" t="str">
        <f>IF(I536="","",_xlfn.XLOOKUP(I536,Lists!$C:$C,Lists!$E:$E))</f>
        <v/>
      </c>
      <c r="Q536" s="21" t="str">
        <f t="shared" si="39"/>
        <v/>
      </c>
      <c r="R536" t="str">
        <f t="shared" si="40"/>
        <v/>
      </c>
      <c r="S536" t="str">
        <f>IF(I536="","",_xlfn.XLOOKUP(I536,Lists!$C:$C,Lists!$I:$I))</f>
        <v/>
      </c>
    </row>
    <row r="537" spans="8:8">
      <c r="C537">
        <f>_xlfn.XLOOKUP(B537,Lists!B:B,Lists!A:A,"")</f>
        <v>0.0</v>
      </c>
      <c r="G537" t="str">
        <f t="shared" si="36"/>
        <v/>
      </c>
      <c r="H537" s="20" t="str">
        <f t="shared" si="37"/>
        <v/>
      </c>
      <c r="J537" t="str">
        <f>IF(I537="","",_xlfn.XLOOKUP(I537,Lists!$C:$C,Lists!$D:$D))</f>
        <v/>
      </c>
      <c r="N537" t="str">
        <f t="shared" si="38"/>
        <v/>
      </c>
      <c r="O537" t="str">
        <f>IF(I537="","",_xlfn.XLOOKUP(I537,Lists!$C:$C,Lists!$J:$J))</f>
        <v/>
      </c>
      <c r="P537" t="str">
        <f>IF(I537="","",_xlfn.XLOOKUP(I537,Lists!$C:$C,Lists!$E:$E))</f>
        <v/>
      </c>
      <c r="Q537" s="21" t="str">
        <f t="shared" si="39"/>
        <v/>
      </c>
      <c r="R537" t="str">
        <f t="shared" si="40"/>
        <v/>
      </c>
      <c r="S537" t="str">
        <f>IF(I537="","",_xlfn.XLOOKUP(I537,Lists!$C:$C,Lists!$I:$I))</f>
        <v/>
      </c>
    </row>
    <row r="538" spans="8:8">
      <c r="C538">
        <f>_xlfn.XLOOKUP(B538,Lists!B:B,Lists!A:A,"")</f>
        <v>0.0</v>
      </c>
      <c r="G538" t="str">
        <f t="shared" si="36"/>
        <v/>
      </c>
      <c r="H538" s="20" t="str">
        <f t="shared" si="37"/>
        <v/>
      </c>
      <c r="J538" t="str">
        <f>IF(I538="","",_xlfn.XLOOKUP(I538,Lists!$C:$C,Lists!$D:$D))</f>
        <v/>
      </c>
      <c r="N538" t="str">
        <f t="shared" si="38"/>
        <v/>
      </c>
      <c r="O538" t="str">
        <f>IF(I538="","",_xlfn.XLOOKUP(I538,Lists!$C:$C,Lists!$J:$J))</f>
        <v/>
      </c>
      <c r="P538" t="str">
        <f>IF(I538="","",_xlfn.XLOOKUP(I538,Lists!$C:$C,Lists!$E:$E))</f>
        <v/>
      </c>
      <c r="Q538" s="21" t="str">
        <f t="shared" si="39"/>
        <v/>
      </c>
      <c r="R538" t="str">
        <f t="shared" si="40"/>
        <v/>
      </c>
      <c r="S538" t="str">
        <f>IF(I538="","",_xlfn.XLOOKUP(I538,Lists!$C:$C,Lists!$I:$I))</f>
        <v/>
      </c>
    </row>
    <row r="539" spans="8:8">
      <c r="C539">
        <f>_xlfn.XLOOKUP(B539,Lists!B:B,Lists!A:A,"")</f>
        <v>0.0</v>
      </c>
      <c r="G539" t="str">
        <f t="shared" si="41" ref="G539:G602">IF(OR(E539="",F539=""),"",F539-E539+1)</f>
        <v/>
      </c>
      <c r="H539" s="20" t="str">
        <f t="shared" si="42" ref="H539:H602">IF(D539="","",IF(OR(D539="A",D539="B"),G539/80,IF(D539="A&amp;B",G539/160,"")))</f>
        <v/>
      </c>
      <c r="J539" t="str">
        <f>IF(I539="","",_xlfn.XLOOKUP(I539,Lists!$C:$C,Lists!$D:$D))</f>
        <v/>
      </c>
      <c r="N539" t="str">
        <f t="shared" si="43" ref="N539:N602">IF(OR(M539="",L539=""),"",(M539*L539)/100000)</f>
        <v/>
      </c>
      <c r="O539" t="str">
        <f>IF(I539="","",_xlfn.XLOOKUP(I539,Lists!$C:$C,Lists!$J:$J))</f>
        <v/>
      </c>
      <c r="P539" t="str">
        <f>IF(I539="","",_xlfn.XLOOKUP(I539,Lists!$C:$C,Lists!$E:$E))</f>
        <v/>
      </c>
      <c r="Q539" s="21" t="str">
        <f t="shared" si="44" ref="Q539:Q602">IF(OR(A539="",P539=""),"",A539+P539+1)</f>
        <v/>
      </c>
      <c r="R539" t="str">
        <f t="shared" si="45" ref="R539:R602">IF(Q539="","",IF(Q539&lt;=TODAY(),"Allow","Not Allow"))</f>
        <v/>
      </c>
      <c r="S539" t="str">
        <f>IF(I539="","",_xlfn.XLOOKUP(I539,Lists!$C:$C,Lists!$I:$I))</f>
        <v/>
      </c>
    </row>
    <row r="540" spans="8:8">
      <c r="C540">
        <f>_xlfn.XLOOKUP(B540,Lists!B:B,Lists!A:A,"")</f>
        <v>0.0</v>
      </c>
      <c r="G540" t="str">
        <f t="shared" si="41"/>
        <v/>
      </c>
      <c r="H540" s="20" t="str">
        <f t="shared" si="42"/>
        <v/>
      </c>
      <c r="J540" t="str">
        <f>IF(I540="","",_xlfn.XLOOKUP(I540,Lists!$C:$C,Lists!$D:$D))</f>
        <v/>
      </c>
      <c r="N540" t="str">
        <f t="shared" si="43"/>
        <v/>
      </c>
      <c r="O540" t="str">
        <f>IF(I540="","",_xlfn.XLOOKUP(I540,Lists!$C:$C,Lists!$J:$J))</f>
        <v/>
      </c>
      <c r="P540" t="str">
        <f>IF(I540="","",_xlfn.XLOOKUP(I540,Lists!$C:$C,Lists!$E:$E))</f>
        <v/>
      </c>
      <c r="Q540" s="21" t="str">
        <f t="shared" si="44"/>
        <v/>
      </c>
      <c r="R540" t="str">
        <f t="shared" si="45"/>
        <v/>
      </c>
      <c r="S540" t="str">
        <f>IF(I540="","",_xlfn.XLOOKUP(I540,Lists!$C:$C,Lists!$I:$I))</f>
        <v/>
      </c>
    </row>
    <row r="541" spans="8:8">
      <c r="C541">
        <f>_xlfn.XLOOKUP(B541,Lists!B:B,Lists!A:A,"")</f>
        <v>0.0</v>
      </c>
      <c r="G541" t="str">
        <f t="shared" si="41"/>
        <v/>
      </c>
      <c r="H541" s="20" t="str">
        <f t="shared" si="42"/>
        <v/>
      </c>
      <c r="J541" t="str">
        <f>IF(I541="","",_xlfn.XLOOKUP(I541,Lists!$C:$C,Lists!$D:$D))</f>
        <v/>
      </c>
      <c r="N541" t="str">
        <f t="shared" si="43"/>
        <v/>
      </c>
      <c r="O541" t="str">
        <f>IF(I541="","",_xlfn.XLOOKUP(I541,Lists!$C:$C,Lists!$J:$J))</f>
        <v/>
      </c>
      <c r="P541" t="str">
        <f>IF(I541="","",_xlfn.XLOOKUP(I541,Lists!$C:$C,Lists!$E:$E))</f>
        <v/>
      </c>
      <c r="Q541" s="21" t="str">
        <f t="shared" si="44"/>
        <v/>
      </c>
      <c r="R541" t="str">
        <f t="shared" si="45"/>
        <v/>
      </c>
      <c r="S541" t="str">
        <f>IF(I541="","",_xlfn.XLOOKUP(I541,Lists!$C:$C,Lists!$I:$I))</f>
        <v/>
      </c>
    </row>
    <row r="542" spans="8:8">
      <c r="C542">
        <f>_xlfn.XLOOKUP(B542,Lists!B:B,Lists!A:A,"")</f>
        <v>0.0</v>
      </c>
      <c r="G542" t="str">
        <f t="shared" si="41"/>
        <v/>
      </c>
      <c r="H542" s="20" t="str">
        <f t="shared" si="42"/>
        <v/>
      </c>
      <c r="J542" t="str">
        <f>IF(I542="","",_xlfn.XLOOKUP(I542,Lists!$C:$C,Lists!$D:$D))</f>
        <v/>
      </c>
      <c r="N542" t="str">
        <f t="shared" si="43"/>
        <v/>
      </c>
      <c r="O542" t="str">
        <f>IF(I542="","",_xlfn.XLOOKUP(I542,Lists!$C:$C,Lists!$J:$J))</f>
        <v/>
      </c>
      <c r="P542" t="str">
        <f>IF(I542="","",_xlfn.XLOOKUP(I542,Lists!$C:$C,Lists!$E:$E))</f>
        <v/>
      </c>
      <c r="Q542" s="21" t="str">
        <f t="shared" si="44"/>
        <v/>
      </c>
      <c r="R542" t="str">
        <f t="shared" si="45"/>
        <v/>
      </c>
      <c r="S542" t="str">
        <f>IF(I542="","",_xlfn.XLOOKUP(I542,Lists!$C:$C,Lists!$I:$I))</f>
        <v/>
      </c>
    </row>
    <row r="543" spans="8:8">
      <c r="C543">
        <f>_xlfn.XLOOKUP(B543,Lists!B:B,Lists!A:A,"")</f>
        <v>0.0</v>
      </c>
      <c r="G543" t="str">
        <f t="shared" si="41"/>
        <v/>
      </c>
      <c r="H543" s="20" t="str">
        <f t="shared" si="42"/>
        <v/>
      </c>
      <c r="J543" t="str">
        <f>IF(I543="","",_xlfn.XLOOKUP(I543,Lists!$C:$C,Lists!$D:$D))</f>
        <v/>
      </c>
      <c r="N543" t="str">
        <f t="shared" si="43"/>
        <v/>
      </c>
      <c r="O543" t="str">
        <f>IF(I543="","",_xlfn.XLOOKUP(I543,Lists!$C:$C,Lists!$J:$J))</f>
        <v/>
      </c>
      <c r="P543" t="str">
        <f>IF(I543="","",_xlfn.XLOOKUP(I543,Lists!$C:$C,Lists!$E:$E))</f>
        <v/>
      </c>
      <c r="Q543" s="21" t="str">
        <f t="shared" si="44"/>
        <v/>
      </c>
      <c r="R543" t="str">
        <f t="shared" si="45"/>
        <v/>
      </c>
      <c r="S543" t="str">
        <f>IF(I543="","",_xlfn.XLOOKUP(I543,Lists!$C:$C,Lists!$I:$I))</f>
        <v/>
      </c>
    </row>
    <row r="544" spans="8:8">
      <c r="C544">
        <f>_xlfn.XLOOKUP(B544,Lists!B:B,Lists!A:A,"")</f>
        <v>0.0</v>
      </c>
      <c r="G544" t="str">
        <f t="shared" si="41"/>
        <v/>
      </c>
      <c r="H544" s="20" t="str">
        <f t="shared" si="42"/>
        <v/>
      </c>
      <c r="J544" t="str">
        <f>IF(I544="","",_xlfn.XLOOKUP(I544,Lists!$C:$C,Lists!$D:$D))</f>
        <v/>
      </c>
      <c r="N544" t="str">
        <f t="shared" si="43"/>
        <v/>
      </c>
      <c r="O544" t="str">
        <f>IF(I544="","",_xlfn.XLOOKUP(I544,Lists!$C:$C,Lists!$J:$J))</f>
        <v/>
      </c>
      <c r="P544" t="str">
        <f>IF(I544="","",_xlfn.XLOOKUP(I544,Lists!$C:$C,Lists!$E:$E))</f>
        <v/>
      </c>
      <c r="Q544" s="21" t="str">
        <f t="shared" si="44"/>
        <v/>
      </c>
      <c r="R544" t="str">
        <f t="shared" si="45"/>
        <v/>
      </c>
      <c r="S544" t="str">
        <f>IF(I544="","",_xlfn.XLOOKUP(I544,Lists!$C:$C,Lists!$I:$I))</f>
        <v/>
      </c>
    </row>
    <row r="545" spans="8:8">
      <c r="C545">
        <f>_xlfn.XLOOKUP(B545,Lists!B:B,Lists!A:A,"")</f>
        <v>0.0</v>
      </c>
      <c r="G545" t="str">
        <f t="shared" si="41"/>
        <v/>
      </c>
      <c r="H545" s="20" t="str">
        <f t="shared" si="42"/>
        <v/>
      </c>
      <c r="J545" t="str">
        <f>IF(I545="","",_xlfn.XLOOKUP(I545,Lists!$C:$C,Lists!$D:$D))</f>
        <v/>
      </c>
      <c r="N545" t="str">
        <f t="shared" si="43"/>
        <v/>
      </c>
      <c r="O545" t="str">
        <f>IF(I545="","",_xlfn.XLOOKUP(I545,Lists!$C:$C,Lists!$J:$J))</f>
        <v/>
      </c>
      <c r="P545" t="str">
        <f>IF(I545="","",_xlfn.XLOOKUP(I545,Lists!$C:$C,Lists!$E:$E))</f>
        <v/>
      </c>
      <c r="Q545" s="21" t="str">
        <f t="shared" si="44"/>
        <v/>
      </c>
      <c r="R545" t="str">
        <f t="shared" si="45"/>
        <v/>
      </c>
      <c r="S545" t="str">
        <f>IF(I545="","",_xlfn.XLOOKUP(I545,Lists!$C:$C,Lists!$I:$I))</f>
        <v/>
      </c>
    </row>
    <row r="546" spans="8:8">
      <c r="C546">
        <f>_xlfn.XLOOKUP(B546,Lists!B:B,Lists!A:A,"")</f>
        <v>0.0</v>
      </c>
      <c r="G546" t="str">
        <f t="shared" si="41"/>
        <v/>
      </c>
      <c r="H546" s="20" t="str">
        <f t="shared" si="42"/>
        <v/>
      </c>
      <c r="J546" t="str">
        <f>IF(I546="","",_xlfn.XLOOKUP(I546,Lists!$C:$C,Lists!$D:$D))</f>
        <v/>
      </c>
      <c r="N546" t="str">
        <f t="shared" si="43"/>
        <v/>
      </c>
      <c r="O546" t="str">
        <f>IF(I546="","",_xlfn.XLOOKUP(I546,Lists!$C:$C,Lists!$J:$J))</f>
        <v/>
      </c>
      <c r="P546" t="str">
        <f>IF(I546="","",_xlfn.XLOOKUP(I546,Lists!$C:$C,Lists!$E:$E))</f>
        <v/>
      </c>
      <c r="Q546" s="21" t="str">
        <f t="shared" si="44"/>
        <v/>
      </c>
      <c r="R546" t="str">
        <f t="shared" si="45"/>
        <v/>
      </c>
      <c r="S546" t="str">
        <f>IF(I546="","",_xlfn.XLOOKUP(I546,Lists!$C:$C,Lists!$I:$I))</f>
        <v/>
      </c>
    </row>
    <row r="547" spans="8:8">
      <c r="C547">
        <f>_xlfn.XLOOKUP(B547,Lists!B:B,Lists!A:A,"")</f>
        <v>0.0</v>
      </c>
      <c r="G547" t="str">
        <f t="shared" si="41"/>
        <v/>
      </c>
      <c r="H547" s="20" t="str">
        <f t="shared" si="42"/>
        <v/>
      </c>
      <c r="J547" t="str">
        <f>IF(I547="","",_xlfn.XLOOKUP(I547,Lists!$C:$C,Lists!$D:$D))</f>
        <v/>
      </c>
      <c r="N547" t="str">
        <f t="shared" si="43"/>
        <v/>
      </c>
      <c r="O547" t="str">
        <f>IF(I547="","",_xlfn.XLOOKUP(I547,Lists!$C:$C,Lists!$J:$J))</f>
        <v/>
      </c>
      <c r="P547" t="str">
        <f>IF(I547="","",_xlfn.XLOOKUP(I547,Lists!$C:$C,Lists!$E:$E))</f>
        <v/>
      </c>
      <c r="Q547" s="21" t="str">
        <f t="shared" si="44"/>
        <v/>
      </c>
      <c r="R547" t="str">
        <f t="shared" si="45"/>
        <v/>
      </c>
      <c r="S547" t="str">
        <f>IF(I547="","",_xlfn.XLOOKUP(I547,Lists!$C:$C,Lists!$I:$I))</f>
        <v/>
      </c>
    </row>
    <row r="548" spans="8:8">
      <c r="C548">
        <f>_xlfn.XLOOKUP(B548,Lists!B:B,Lists!A:A,"")</f>
        <v>0.0</v>
      </c>
      <c r="G548" t="str">
        <f t="shared" si="41"/>
        <v/>
      </c>
      <c r="H548" s="20" t="str">
        <f t="shared" si="42"/>
        <v/>
      </c>
      <c r="J548" t="str">
        <f>IF(I548="","",_xlfn.XLOOKUP(I548,Lists!$C:$C,Lists!$D:$D))</f>
        <v/>
      </c>
      <c r="N548" t="str">
        <f t="shared" si="43"/>
        <v/>
      </c>
      <c r="O548" t="str">
        <f>IF(I548="","",_xlfn.XLOOKUP(I548,Lists!$C:$C,Lists!$J:$J))</f>
        <v/>
      </c>
      <c r="P548" t="str">
        <f>IF(I548="","",_xlfn.XLOOKUP(I548,Lists!$C:$C,Lists!$E:$E))</f>
        <v/>
      </c>
      <c r="Q548" s="21" t="str">
        <f t="shared" si="44"/>
        <v/>
      </c>
      <c r="R548" t="str">
        <f t="shared" si="45"/>
        <v/>
      </c>
      <c r="S548" t="str">
        <f>IF(I548="","",_xlfn.XLOOKUP(I548,Lists!$C:$C,Lists!$I:$I))</f>
        <v/>
      </c>
    </row>
    <row r="549" spans="8:8">
      <c r="C549">
        <f>_xlfn.XLOOKUP(B549,Lists!B:B,Lists!A:A,"")</f>
        <v>0.0</v>
      </c>
      <c r="G549" t="str">
        <f t="shared" si="41"/>
        <v/>
      </c>
      <c r="H549" s="20" t="str">
        <f t="shared" si="42"/>
        <v/>
      </c>
      <c r="J549" t="str">
        <f>IF(I549="","",_xlfn.XLOOKUP(I549,Lists!$C:$C,Lists!$D:$D))</f>
        <v/>
      </c>
      <c r="N549" t="str">
        <f t="shared" si="43"/>
        <v/>
      </c>
      <c r="O549" t="str">
        <f>IF(I549="","",_xlfn.XLOOKUP(I549,Lists!$C:$C,Lists!$J:$J))</f>
        <v/>
      </c>
      <c r="P549" t="str">
        <f>IF(I549="","",_xlfn.XLOOKUP(I549,Lists!$C:$C,Lists!$E:$E))</f>
        <v/>
      </c>
      <c r="Q549" s="21" t="str">
        <f t="shared" si="44"/>
        <v/>
      </c>
      <c r="R549" t="str">
        <f t="shared" si="45"/>
        <v/>
      </c>
      <c r="S549" t="str">
        <f>IF(I549="","",_xlfn.XLOOKUP(I549,Lists!$C:$C,Lists!$I:$I))</f>
        <v/>
      </c>
    </row>
    <row r="550" spans="8:8">
      <c r="C550">
        <f>_xlfn.XLOOKUP(B550,Lists!B:B,Lists!A:A,"")</f>
        <v>0.0</v>
      </c>
      <c r="G550" t="str">
        <f t="shared" si="41"/>
        <v/>
      </c>
      <c r="H550" s="20" t="str">
        <f t="shared" si="42"/>
        <v/>
      </c>
      <c r="J550" t="str">
        <f>IF(I550="","",_xlfn.XLOOKUP(I550,Lists!$C:$C,Lists!$D:$D))</f>
        <v/>
      </c>
      <c r="N550" t="str">
        <f t="shared" si="43"/>
        <v/>
      </c>
      <c r="O550" t="str">
        <f>IF(I550="","",_xlfn.XLOOKUP(I550,Lists!$C:$C,Lists!$J:$J))</f>
        <v/>
      </c>
      <c r="P550" t="str">
        <f>IF(I550="","",_xlfn.XLOOKUP(I550,Lists!$C:$C,Lists!$E:$E))</f>
        <v/>
      </c>
      <c r="Q550" s="21" t="str">
        <f t="shared" si="44"/>
        <v/>
      </c>
      <c r="R550" t="str">
        <f t="shared" si="45"/>
        <v/>
      </c>
      <c r="S550" t="str">
        <f>IF(I550="","",_xlfn.XLOOKUP(I550,Lists!$C:$C,Lists!$I:$I))</f>
        <v/>
      </c>
    </row>
    <row r="551" spans="8:8">
      <c r="C551">
        <f>_xlfn.XLOOKUP(B551,Lists!B:B,Lists!A:A,"")</f>
        <v>0.0</v>
      </c>
      <c r="G551" t="str">
        <f t="shared" si="41"/>
        <v/>
      </c>
      <c r="H551" s="20" t="str">
        <f t="shared" si="42"/>
        <v/>
      </c>
      <c r="J551" t="str">
        <f>IF(I551="","",_xlfn.XLOOKUP(I551,Lists!$C:$C,Lists!$D:$D))</f>
        <v/>
      </c>
      <c r="N551" t="str">
        <f t="shared" si="43"/>
        <v/>
      </c>
      <c r="O551" t="str">
        <f>IF(I551="","",_xlfn.XLOOKUP(I551,Lists!$C:$C,Lists!$J:$J))</f>
        <v/>
      </c>
      <c r="P551" t="str">
        <f>IF(I551="","",_xlfn.XLOOKUP(I551,Lists!$C:$C,Lists!$E:$E))</f>
        <v/>
      </c>
      <c r="Q551" s="21" t="str">
        <f t="shared" si="44"/>
        <v/>
      </c>
      <c r="R551" t="str">
        <f t="shared" si="45"/>
        <v/>
      </c>
      <c r="S551" t="str">
        <f>IF(I551="","",_xlfn.XLOOKUP(I551,Lists!$C:$C,Lists!$I:$I))</f>
        <v/>
      </c>
    </row>
    <row r="552" spans="8:8">
      <c r="C552">
        <f>_xlfn.XLOOKUP(B552,Lists!B:B,Lists!A:A,"")</f>
        <v>0.0</v>
      </c>
      <c r="G552" t="str">
        <f t="shared" si="41"/>
        <v/>
      </c>
      <c r="H552" s="20" t="str">
        <f t="shared" si="42"/>
        <v/>
      </c>
      <c r="J552" t="str">
        <f>IF(I552="","",_xlfn.XLOOKUP(I552,Lists!$C:$C,Lists!$D:$D))</f>
        <v/>
      </c>
      <c r="N552" t="str">
        <f t="shared" si="43"/>
        <v/>
      </c>
      <c r="O552" t="str">
        <f>IF(I552="","",_xlfn.XLOOKUP(I552,Lists!$C:$C,Lists!$J:$J))</f>
        <v/>
      </c>
      <c r="P552" t="str">
        <f>IF(I552="","",_xlfn.XLOOKUP(I552,Lists!$C:$C,Lists!$E:$E))</f>
        <v/>
      </c>
      <c r="Q552" s="21" t="str">
        <f t="shared" si="44"/>
        <v/>
      </c>
      <c r="R552" t="str">
        <f t="shared" si="45"/>
        <v/>
      </c>
      <c r="S552" t="str">
        <f>IF(I552="","",_xlfn.XLOOKUP(I552,Lists!$C:$C,Lists!$I:$I))</f>
        <v/>
      </c>
    </row>
    <row r="553" spans="8:8">
      <c r="C553">
        <f>_xlfn.XLOOKUP(B553,Lists!B:B,Lists!A:A,"")</f>
        <v>0.0</v>
      </c>
      <c r="G553" t="str">
        <f t="shared" si="41"/>
        <v/>
      </c>
      <c r="H553" s="20" t="str">
        <f t="shared" si="42"/>
        <v/>
      </c>
      <c r="J553" t="str">
        <f>IF(I553="","",_xlfn.XLOOKUP(I553,Lists!$C:$C,Lists!$D:$D))</f>
        <v/>
      </c>
      <c r="N553" t="str">
        <f t="shared" si="43"/>
        <v/>
      </c>
      <c r="O553" t="str">
        <f>IF(I553="","",_xlfn.XLOOKUP(I553,Lists!$C:$C,Lists!$J:$J))</f>
        <v/>
      </c>
      <c r="P553" t="str">
        <f>IF(I553="","",_xlfn.XLOOKUP(I553,Lists!$C:$C,Lists!$E:$E))</f>
        <v/>
      </c>
      <c r="Q553" s="21" t="str">
        <f t="shared" si="44"/>
        <v/>
      </c>
      <c r="R553" t="str">
        <f t="shared" si="45"/>
        <v/>
      </c>
      <c r="S553" t="str">
        <f>IF(I553="","",_xlfn.XLOOKUP(I553,Lists!$C:$C,Lists!$I:$I))</f>
        <v/>
      </c>
    </row>
    <row r="554" spans="8:8">
      <c r="C554">
        <f>_xlfn.XLOOKUP(B554,Lists!B:B,Lists!A:A,"")</f>
        <v>0.0</v>
      </c>
      <c r="G554" t="str">
        <f t="shared" si="41"/>
        <v/>
      </c>
      <c r="H554" s="20" t="str">
        <f t="shared" si="42"/>
        <v/>
      </c>
      <c r="J554" t="str">
        <f>IF(I554="","",_xlfn.XLOOKUP(I554,Lists!$C:$C,Lists!$D:$D))</f>
        <v/>
      </c>
      <c r="N554" t="str">
        <f t="shared" si="43"/>
        <v/>
      </c>
      <c r="O554" t="str">
        <f>IF(I554="","",_xlfn.XLOOKUP(I554,Lists!$C:$C,Lists!$J:$J))</f>
        <v/>
      </c>
      <c r="P554" t="str">
        <f>IF(I554="","",_xlfn.XLOOKUP(I554,Lists!$C:$C,Lists!$E:$E))</f>
        <v/>
      </c>
      <c r="Q554" s="21" t="str">
        <f t="shared" si="44"/>
        <v/>
      </c>
      <c r="R554" t="str">
        <f t="shared" si="45"/>
        <v/>
      </c>
      <c r="S554" t="str">
        <f>IF(I554="","",_xlfn.XLOOKUP(I554,Lists!$C:$C,Lists!$I:$I))</f>
        <v/>
      </c>
    </row>
    <row r="555" spans="8:8">
      <c r="C555">
        <f>_xlfn.XLOOKUP(B555,Lists!B:B,Lists!A:A,"")</f>
        <v>0.0</v>
      </c>
      <c r="G555" t="str">
        <f t="shared" si="41"/>
        <v/>
      </c>
      <c r="H555" s="20" t="str">
        <f t="shared" si="42"/>
        <v/>
      </c>
      <c r="J555" t="str">
        <f>IF(I555="","",_xlfn.XLOOKUP(I555,Lists!$C:$C,Lists!$D:$D))</f>
        <v/>
      </c>
      <c r="N555" t="str">
        <f t="shared" si="43"/>
        <v/>
      </c>
      <c r="O555" t="str">
        <f>IF(I555="","",_xlfn.XLOOKUP(I555,Lists!$C:$C,Lists!$J:$J))</f>
        <v/>
      </c>
      <c r="P555" t="str">
        <f>IF(I555="","",_xlfn.XLOOKUP(I555,Lists!$C:$C,Lists!$E:$E))</f>
        <v/>
      </c>
      <c r="Q555" s="21" t="str">
        <f t="shared" si="44"/>
        <v/>
      </c>
      <c r="R555" t="str">
        <f t="shared" si="45"/>
        <v/>
      </c>
      <c r="S555" t="str">
        <f>IF(I555="","",_xlfn.XLOOKUP(I555,Lists!$C:$C,Lists!$I:$I))</f>
        <v/>
      </c>
    </row>
    <row r="556" spans="8:8">
      <c r="C556">
        <f>_xlfn.XLOOKUP(B556,Lists!B:B,Lists!A:A,"")</f>
        <v>0.0</v>
      </c>
      <c r="G556" t="str">
        <f t="shared" si="41"/>
        <v/>
      </c>
      <c r="H556" s="20" t="str">
        <f t="shared" si="42"/>
        <v/>
      </c>
      <c r="J556" t="str">
        <f>IF(I556="","",_xlfn.XLOOKUP(I556,Lists!$C:$C,Lists!$D:$D))</f>
        <v/>
      </c>
      <c r="N556" t="str">
        <f t="shared" si="43"/>
        <v/>
      </c>
      <c r="O556" t="str">
        <f>IF(I556="","",_xlfn.XLOOKUP(I556,Lists!$C:$C,Lists!$J:$J))</f>
        <v/>
      </c>
      <c r="P556" t="str">
        <f>IF(I556="","",_xlfn.XLOOKUP(I556,Lists!$C:$C,Lists!$E:$E))</f>
        <v/>
      </c>
      <c r="Q556" s="21" t="str">
        <f t="shared" si="44"/>
        <v/>
      </c>
      <c r="R556" t="str">
        <f t="shared" si="45"/>
        <v/>
      </c>
      <c r="S556" t="str">
        <f>IF(I556="","",_xlfn.XLOOKUP(I556,Lists!$C:$C,Lists!$I:$I))</f>
        <v/>
      </c>
    </row>
    <row r="557" spans="8:8">
      <c r="C557">
        <f>_xlfn.XLOOKUP(B557,Lists!B:B,Lists!A:A,"")</f>
        <v>0.0</v>
      </c>
      <c r="G557" t="str">
        <f t="shared" si="41"/>
        <v/>
      </c>
      <c r="H557" s="20" t="str">
        <f t="shared" si="42"/>
        <v/>
      </c>
      <c r="J557" t="str">
        <f>IF(I557="","",_xlfn.XLOOKUP(I557,Lists!$C:$C,Lists!$D:$D))</f>
        <v/>
      </c>
      <c r="N557" t="str">
        <f t="shared" si="43"/>
        <v/>
      </c>
      <c r="O557" t="str">
        <f>IF(I557="","",_xlfn.XLOOKUP(I557,Lists!$C:$C,Lists!$J:$J))</f>
        <v/>
      </c>
      <c r="P557" t="str">
        <f>IF(I557="","",_xlfn.XLOOKUP(I557,Lists!$C:$C,Lists!$E:$E))</f>
        <v/>
      </c>
      <c r="Q557" s="21" t="str">
        <f t="shared" si="44"/>
        <v/>
      </c>
      <c r="R557" t="str">
        <f t="shared" si="45"/>
        <v/>
      </c>
      <c r="S557" t="str">
        <f>IF(I557="","",_xlfn.XLOOKUP(I557,Lists!$C:$C,Lists!$I:$I))</f>
        <v/>
      </c>
    </row>
    <row r="558" spans="8:8">
      <c r="C558">
        <f>_xlfn.XLOOKUP(B558,Lists!B:B,Lists!A:A,"")</f>
        <v>0.0</v>
      </c>
      <c r="G558" t="str">
        <f t="shared" si="41"/>
        <v/>
      </c>
      <c r="H558" s="20" t="str">
        <f t="shared" si="42"/>
        <v/>
      </c>
      <c r="J558" t="str">
        <f>IF(I558="","",_xlfn.XLOOKUP(I558,Lists!$C:$C,Lists!$D:$D))</f>
        <v/>
      </c>
      <c r="N558" t="str">
        <f t="shared" si="43"/>
        <v/>
      </c>
      <c r="O558" t="str">
        <f>IF(I558="","",_xlfn.XLOOKUP(I558,Lists!$C:$C,Lists!$J:$J))</f>
        <v/>
      </c>
      <c r="P558" t="str">
        <f>IF(I558="","",_xlfn.XLOOKUP(I558,Lists!$C:$C,Lists!$E:$E))</f>
        <v/>
      </c>
      <c r="Q558" s="21" t="str">
        <f t="shared" si="44"/>
        <v/>
      </c>
      <c r="R558" t="str">
        <f t="shared" si="45"/>
        <v/>
      </c>
      <c r="S558" t="str">
        <f>IF(I558="","",_xlfn.XLOOKUP(I558,Lists!$C:$C,Lists!$I:$I))</f>
        <v/>
      </c>
    </row>
    <row r="559" spans="8:8">
      <c r="C559">
        <f>_xlfn.XLOOKUP(B559,Lists!B:B,Lists!A:A,"")</f>
        <v>0.0</v>
      </c>
      <c r="G559" t="str">
        <f t="shared" si="41"/>
        <v/>
      </c>
      <c r="H559" s="20" t="str">
        <f t="shared" si="42"/>
        <v/>
      </c>
      <c r="J559" t="str">
        <f>IF(I559="","",_xlfn.XLOOKUP(I559,Lists!$C:$C,Lists!$D:$D))</f>
        <v/>
      </c>
      <c r="N559" t="str">
        <f t="shared" si="43"/>
        <v/>
      </c>
      <c r="O559" t="str">
        <f>IF(I559="","",_xlfn.XLOOKUP(I559,Lists!$C:$C,Lists!$J:$J))</f>
        <v/>
      </c>
      <c r="P559" t="str">
        <f>IF(I559="","",_xlfn.XLOOKUP(I559,Lists!$C:$C,Lists!$E:$E))</f>
        <v/>
      </c>
      <c r="Q559" s="21" t="str">
        <f t="shared" si="44"/>
        <v/>
      </c>
      <c r="R559" t="str">
        <f t="shared" si="45"/>
        <v/>
      </c>
      <c r="S559" t="str">
        <f>IF(I559="","",_xlfn.XLOOKUP(I559,Lists!$C:$C,Lists!$I:$I))</f>
        <v/>
      </c>
    </row>
    <row r="560" spans="8:8">
      <c r="C560">
        <f>_xlfn.XLOOKUP(B560,Lists!B:B,Lists!A:A,"")</f>
        <v>0.0</v>
      </c>
      <c r="G560" t="str">
        <f t="shared" si="41"/>
        <v/>
      </c>
      <c r="H560" s="20" t="str">
        <f t="shared" si="42"/>
        <v/>
      </c>
      <c r="J560" t="str">
        <f>IF(I560="","",_xlfn.XLOOKUP(I560,Lists!$C:$C,Lists!$D:$D))</f>
        <v/>
      </c>
      <c r="N560" t="str">
        <f t="shared" si="43"/>
        <v/>
      </c>
      <c r="O560" t="str">
        <f>IF(I560="","",_xlfn.XLOOKUP(I560,Lists!$C:$C,Lists!$J:$J))</f>
        <v/>
      </c>
      <c r="P560" t="str">
        <f>IF(I560="","",_xlfn.XLOOKUP(I560,Lists!$C:$C,Lists!$E:$E))</f>
        <v/>
      </c>
      <c r="Q560" s="21" t="str">
        <f t="shared" si="44"/>
        <v/>
      </c>
      <c r="R560" t="str">
        <f t="shared" si="45"/>
        <v/>
      </c>
      <c r="S560" t="str">
        <f>IF(I560="","",_xlfn.XLOOKUP(I560,Lists!$C:$C,Lists!$I:$I))</f>
        <v/>
      </c>
    </row>
    <row r="561" spans="8:8">
      <c r="C561">
        <f>_xlfn.XLOOKUP(B561,Lists!B:B,Lists!A:A,"")</f>
        <v>0.0</v>
      </c>
      <c r="G561" t="str">
        <f t="shared" si="41"/>
        <v/>
      </c>
      <c r="H561" s="20" t="str">
        <f t="shared" si="42"/>
        <v/>
      </c>
      <c r="J561" t="str">
        <f>IF(I561="","",_xlfn.XLOOKUP(I561,Lists!$C:$C,Lists!$D:$D))</f>
        <v/>
      </c>
      <c r="N561" t="str">
        <f t="shared" si="43"/>
        <v/>
      </c>
      <c r="O561" t="str">
        <f>IF(I561="","",_xlfn.XLOOKUP(I561,Lists!$C:$C,Lists!$J:$J))</f>
        <v/>
      </c>
      <c r="P561" t="str">
        <f>IF(I561="","",_xlfn.XLOOKUP(I561,Lists!$C:$C,Lists!$E:$E))</f>
        <v/>
      </c>
      <c r="Q561" s="21" t="str">
        <f t="shared" si="44"/>
        <v/>
      </c>
      <c r="R561" t="str">
        <f t="shared" si="45"/>
        <v/>
      </c>
      <c r="S561" t="str">
        <f>IF(I561="","",_xlfn.XLOOKUP(I561,Lists!$C:$C,Lists!$I:$I))</f>
        <v/>
      </c>
    </row>
    <row r="562" spans="8:8">
      <c r="C562">
        <f>_xlfn.XLOOKUP(B562,Lists!B:B,Lists!A:A,"")</f>
        <v>0.0</v>
      </c>
      <c r="G562" t="str">
        <f t="shared" si="41"/>
        <v/>
      </c>
      <c r="H562" s="20" t="str">
        <f t="shared" si="42"/>
        <v/>
      </c>
      <c r="J562" t="str">
        <f>IF(I562="","",_xlfn.XLOOKUP(I562,Lists!$C:$C,Lists!$D:$D))</f>
        <v/>
      </c>
      <c r="N562" t="str">
        <f t="shared" si="43"/>
        <v/>
      </c>
      <c r="O562" t="str">
        <f>IF(I562="","",_xlfn.XLOOKUP(I562,Lists!$C:$C,Lists!$J:$J))</f>
        <v/>
      </c>
      <c r="P562" t="str">
        <f>IF(I562="","",_xlfn.XLOOKUP(I562,Lists!$C:$C,Lists!$E:$E))</f>
        <v/>
      </c>
      <c r="Q562" s="21" t="str">
        <f t="shared" si="44"/>
        <v/>
      </c>
      <c r="R562" t="str">
        <f t="shared" si="45"/>
        <v/>
      </c>
      <c r="S562" t="str">
        <f>IF(I562="","",_xlfn.XLOOKUP(I562,Lists!$C:$C,Lists!$I:$I))</f>
        <v/>
      </c>
    </row>
    <row r="563" spans="8:8">
      <c r="C563">
        <f>_xlfn.XLOOKUP(B563,Lists!B:B,Lists!A:A,"")</f>
        <v>0.0</v>
      </c>
      <c r="G563" t="str">
        <f t="shared" si="41"/>
        <v/>
      </c>
      <c r="H563" s="20" t="str">
        <f t="shared" si="42"/>
        <v/>
      </c>
      <c r="J563" t="str">
        <f>IF(I563="","",_xlfn.XLOOKUP(I563,Lists!$C:$C,Lists!$D:$D))</f>
        <v/>
      </c>
      <c r="N563" t="str">
        <f t="shared" si="43"/>
        <v/>
      </c>
      <c r="O563" t="str">
        <f>IF(I563="","",_xlfn.XLOOKUP(I563,Lists!$C:$C,Lists!$J:$J))</f>
        <v/>
      </c>
      <c r="P563" t="str">
        <f>IF(I563="","",_xlfn.XLOOKUP(I563,Lists!$C:$C,Lists!$E:$E))</f>
        <v/>
      </c>
      <c r="Q563" s="21" t="str">
        <f t="shared" si="44"/>
        <v/>
      </c>
      <c r="R563" t="str">
        <f t="shared" si="45"/>
        <v/>
      </c>
      <c r="S563" t="str">
        <f>IF(I563="","",_xlfn.XLOOKUP(I563,Lists!$C:$C,Lists!$I:$I))</f>
        <v/>
      </c>
    </row>
    <row r="564" spans="8:8">
      <c r="C564">
        <f>_xlfn.XLOOKUP(B564,Lists!B:B,Lists!A:A,"")</f>
        <v>0.0</v>
      </c>
      <c r="G564" t="str">
        <f t="shared" si="41"/>
        <v/>
      </c>
      <c r="H564" s="20" t="str">
        <f t="shared" si="42"/>
        <v/>
      </c>
      <c r="J564" t="str">
        <f>IF(I564="","",_xlfn.XLOOKUP(I564,Lists!$C:$C,Lists!$D:$D))</f>
        <v/>
      </c>
      <c r="N564" t="str">
        <f t="shared" si="43"/>
        <v/>
      </c>
      <c r="O564" t="str">
        <f>IF(I564="","",_xlfn.XLOOKUP(I564,Lists!$C:$C,Lists!$J:$J))</f>
        <v/>
      </c>
      <c r="P564" t="str">
        <f>IF(I564="","",_xlfn.XLOOKUP(I564,Lists!$C:$C,Lists!$E:$E))</f>
        <v/>
      </c>
      <c r="Q564" s="21" t="str">
        <f t="shared" si="44"/>
        <v/>
      </c>
      <c r="R564" t="str">
        <f t="shared" si="45"/>
        <v/>
      </c>
      <c r="S564" t="str">
        <f>IF(I564="","",_xlfn.XLOOKUP(I564,Lists!$C:$C,Lists!$I:$I))</f>
        <v/>
      </c>
    </row>
    <row r="565" spans="8:8">
      <c r="C565">
        <f>_xlfn.XLOOKUP(B565,Lists!B:B,Lists!A:A,"")</f>
        <v>0.0</v>
      </c>
      <c r="G565" t="str">
        <f t="shared" si="41"/>
        <v/>
      </c>
      <c r="H565" s="20" t="str">
        <f t="shared" si="42"/>
        <v/>
      </c>
      <c r="J565" t="str">
        <f>IF(I565="","",_xlfn.XLOOKUP(I565,Lists!$C:$C,Lists!$D:$D))</f>
        <v/>
      </c>
      <c r="N565" t="str">
        <f t="shared" si="43"/>
        <v/>
      </c>
      <c r="O565" t="str">
        <f>IF(I565="","",_xlfn.XLOOKUP(I565,Lists!$C:$C,Lists!$J:$J))</f>
        <v/>
      </c>
      <c r="P565" t="str">
        <f>IF(I565="","",_xlfn.XLOOKUP(I565,Lists!$C:$C,Lists!$E:$E))</f>
        <v/>
      </c>
      <c r="Q565" s="21" t="str">
        <f t="shared" si="44"/>
        <v/>
      </c>
      <c r="R565" t="str">
        <f t="shared" si="45"/>
        <v/>
      </c>
      <c r="S565" t="str">
        <f>IF(I565="","",_xlfn.XLOOKUP(I565,Lists!$C:$C,Lists!$I:$I))</f>
        <v/>
      </c>
    </row>
    <row r="566" spans="8:8">
      <c r="C566">
        <f>_xlfn.XLOOKUP(B566,Lists!B:B,Lists!A:A,"")</f>
        <v>0.0</v>
      </c>
      <c r="G566" t="str">
        <f t="shared" si="41"/>
        <v/>
      </c>
      <c r="H566" s="20" t="str">
        <f t="shared" si="42"/>
        <v/>
      </c>
      <c r="J566" t="str">
        <f>IF(I566="","",_xlfn.XLOOKUP(I566,Lists!$C:$C,Lists!$D:$D))</f>
        <v/>
      </c>
      <c r="N566" t="str">
        <f t="shared" si="43"/>
        <v/>
      </c>
      <c r="O566" t="str">
        <f>IF(I566="","",_xlfn.XLOOKUP(I566,Lists!$C:$C,Lists!$J:$J))</f>
        <v/>
      </c>
      <c r="P566" t="str">
        <f>IF(I566="","",_xlfn.XLOOKUP(I566,Lists!$C:$C,Lists!$E:$E))</f>
        <v/>
      </c>
      <c r="Q566" s="21" t="str">
        <f t="shared" si="44"/>
        <v/>
      </c>
      <c r="R566" t="str">
        <f t="shared" si="45"/>
        <v/>
      </c>
      <c r="S566" t="str">
        <f>IF(I566="","",_xlfn.XLOOKUP(I566,Lists!$C:$C,Lists!$I:$I))</f>
        <v/>
      </c>
    </row>
    <row r="567" spans="8:8">
      <c r="C567">
        <f>_xlfn.XLOOKUP(B567,Lists!B:B,Lists!A:A,"")</f>
        <v>0.0</v>
      </c>
      <c r="G567" t="str">
        <f t="shared" si="41"/>
        <v/>
      </c>
      <c r="H567" s="20" t="str">
        <f t="shared" si="42"/>
        <v/>
      </c>
      <c r="J567" t="str">
        <f>IF(I567="","",_xlfn.XLOOKUP(I567,Lists!$C:$C,Lists!$D:$D))</f>
        <v/>
      </c>
      <c r="N567" t="str">
        <f t="shared" si="43"/>
        <v/>
      </c>
      <c r="O567" t="str">
        <f>IF(I567="","",_xlfn.XLOOKUP(I567,Lists!$C:$C,Lists!$J:$J))</f>
        <v/>
      </c>
      <c r="P567" t="str">
        <f>IF(I567="","",_xlfn.XLOOKUP(I567,Lists!$C:$C,Lists!$E:$E))</f>
        <v/>
      </c>
      <c r="Q567" s="21" t="str">
        <f t="shared" si="44"/>
        <v/>
      </c>
      <c r="R567" t="str">
        <f t="shared" si="45"/>
        <v/>
      </c>
      <c r="S567" t="str">
        <f>IF(I567="","",_xlfn.XLOOKUP(I567,Lists!$C:$C,Lists!$I:$I))</f>
        <v/>
      </c>
    </row>
    <row r="568" spans="8:8">
      <c r="C568">
        <f>_xlfn.XLOOKUP(B568,Lists!B:B,Lists!A:A,"")</f>
        <v>0.0</v>
      </c>
      <c r="G568" t="str">
        <f t="shared" si="41"/>
        <v/>
      </c>
      <c r="H568" s="20" t="str">
        <f t="shared" si="42"/>
        <v/>
      </c>
      <c r="J568" t="str">
        <f>IF(I568="","",_xlfn.XLOOKUP(I568,Lists!$C:$C,Lists!$D:$D))</f>
        <v/>
      </c>
      <c r="N568" t="str">
        <f t="shared" si="43"/>
        <v/>
      </c>
      <c r="O568" t="str">
        <f>IF(I568="","",_xlfn.XLOOKUP(I568,Lists!$C:$C,Lists!$J:$J))</f>
        <v/>
      </c>
      <c r="P568" t="str">
        <f>IF(I568="","",_xlfn.XLOOKUP(I568,Lists!$C:$C,Lists!$E:$E))</f>
        <v/>
      </c>
      <c r="Q568" s="21" t="str">
        <f t="shared" si="44"/>
        <v/>
      </c>
      <c r="R568" t="str">
        <f t="shared" si="45"/>
        <v/>
      </c>
      <c r="S568" t="str">
        <f>IF(I568="","",_xlfn.XLOOKUP(I568,Lists!$C:$C,Lists!$I:$I))</f>
        <v/>
      </c>
    </row>
    <row r="569" spans="8:8">
      <c r="C569">
        <f>_xlfn.XLOOKUP(B569,Lists!B:B,Lists!A:A,"")</f>
        <v>0.0</v>
      </c>
      <c r="G569" t="str">
        <f t="shared" si="41"/>
        <v/>
      </c>
      <c r="H569" s="20" t="str">
        <f t="shared" si="42"/>
        <v/>
      </c>
      <c r="J569" t="str">
        <f>IF(I569="","",_xlfn.XLOOKUP(I569,Lists!$C:$C,Lists!$D:$D))</f>
        <v/>
      </c>
      <c r="N569" t="str">
        <f t="shared" si="43"/>
        <v/>
      </c>
      <c r="O569" t="str">
        <f>IF(I569="","",_xlfn.XLOOKUP(I569,Lists!$C:$C,Lists!$J:$J))</f>
        <v/>
      </c>
      <c r="P569" t="str">
        <f>IF(I569="","",_xlfn.XLOOKUP(I569,Lists!$C:$C,Lists!$E:$E))</f>
        <v/>
      </c>
      <c r="Q569" s="21" t="str">
        <f t="shared" si="44"/>
        <v/>
      </c>
      <c r="R569" t="str">
        <f t="shared" si="45"/>
        <v/>
      </c>
      <c r="S569" t="str">
        <f>IF(I569="","",_xlfn.XLOOKUP(I569,Lists!$C:$C,Lists!$I:$I))</f>
        <v/>
      </c>
    </row>
    <row r="570" spans="8:8">
      <c r="C570">
        <f>_xlfn.XLOOKUP(B570,Lists!B:B,Lists!A:A,"")</f>
        <v>0.0</v>
      </c>
      <c r="G570" t="str">
        <f t="shared" si="41"/>
        <v/>
      </c>
      <c r="H570" s="20" t="str">
        <f t="shared" si="42"/>
        <v/>
      </c>
      <c r="J570" t="str">
        <f>IF(I570="","",_xlfn.XLOOKUP(I570,Lists!$C:$C,Lists!$D:$D))</f>
        <v/>
      </c>
      <c r="N570" t="str">
        <f t="shared" si="43"/>
        <v/>
      </c>
      <c r="O570" t="str">
        <f>IF(I570="","",_xlfn.XLOOKUP(I570,Lists!$C:$C,Lists!$J:$J))</f>
        <v/>
      </c>
      <c r="P570" t="str">
        <f>IF(I570="","",_xlfn.XLOOKUP(I570,Lists!$C:$C,Lists!$E:$E))</f>
        <v/>
      </c>
      <c r="Q570" s="21" t="str">
        <f t="shared" si="44"/>
        <v/>
      </c>
      <c r="R570" t="str">
        <f t="shared" si="45"/>
        <v/>
      </c>
      <c r="S570" t="str">
        <f>IF(I570="","",_xlfn.XLOOKUP(I570,Lists!$C:$C,Lists!$I:$I))</f>
        <v/>
      </c>
    </row>
    <row r="571" spans="8:8">
      <c r="C571">
        <f>_xlfn.XLOOKUP(B571,Lists!B:B,Lists!A:A,"")</f>
        <v>0.0</v>
      </c>
      <c r="G571" t="str">
        <f t="shared" si="41"/>
        <v/>
      </c>
      <c r="H571" s="20" t="str">
        <f t="shared" si="42"/>
        <v/>
      </c>
      <c r="J571" t="str">
        <f>IF(I571="","",_xlfn.XLOOKUP(I571,Lists!$C:$C,Lists!$D:$D))</f>
        <v/>
      </c>
      <c r="N571" t="str">
        <f t="shared" si="43"/>
        <v/>
      </c>
      <c r="O571" t="str">
        <f>IF(I571="","",_xlfn.XLOOKUP(I571,Lists!$C:$C,Lists!$J:$J))</f>
        <v/>
      </c>
      <c r="P571" t="str">
        <f>IF(I571="","",_xlfn.XLOOKUP(I571,Lists!$C:$C,Lists!$E:$E))</f>
        <v/>
      </c>
      <c r="Q571" s="21" t="str">
        <f t="shared" si="44"/>
        <v/>
      </c>
      <c r="R571" t="str">
        <f t="shared" si="45"/>
        <v/>
      </c>
      <c r="S571" t="str">
        <f>IF(I571="","",_xlfn.XLOOKUP(I571,Lists!$C:$C,Lists!$I:$I))</f>
        <v/>
      </c>
    </row>
    <row r="572" spans="8:8">
      <c r="C572">
        <f>_xlfn.XLOOKUP(B572,Lists!B:B,Lists!A:A,"")</f>
        <v>0.0</v>
      </c>
      <c r="G572" t="str">
        <f t="shared" si="41"/>
        <v/>
      </c>
      <c r="H572" s="20" t="str">
        <f t="shared" si="42"/>
        <v/>
      </c>
      <c r="J572" t="str">
        <f>IF(I572="","",_xlfn.XLOOKUP(I572,Lists!$C:$C,Lists!$D:$D))</f>
        <v/>
      </c>
      <c r="N572" t="str">
        <f t="shared" si="43"/>
        <v/>
      </c>
      <c r="O572" t="str">
        <f>IF(I572="","",_xlfn.XLOOKUP(I572,Lists!$C:$C,Lists!$J:$J))</f>
        <v/>
      </c>
      <c r="P572" t="str">
        <f>IF(I572="","",_xlfn.XLOOKUP(I572,Lists!$C:$C,Lists!$E:$E))</f>
        <v/>
      </c>
      <c r="Q572" s="21" t="str">
        <f t="shared" si="44"/>
        <v/>
      </c>
      <c r="R572" t="str">
        <f t="shared" si="45"/>
        <v/>
      </c>
      <c r="S572" t="str">
        <f>IF(I572="","",_xlfn.XLOOKUP(I572,Lists!$C:$C,Lists!$I:$I))</f>
        <v/>
      </c>
    </row>
    <row r="573" spans="8:8">
      <c r="C573">
        <f>_xlfn.XLOOKUP(B573,Lists!B:B,Lists!A:A,"")</f>
        <v>0.0</v>
      </c>
      <c r="G573" t="str">
        <f t="shared" si="41"/>
        <v/>
      </c>
      <c r="H573" s="20" t="str">
        <f t="shared" si="42"/>
        <v/>
      </c>
      <c r="J573" t="str">
        <f>IF(I573="","",_xlfn.XLOOKUP(I573,Lists!$C:$C,Lists!$D:$D))</f>
        <v/>
      </c>
      <c r="N573" t="str">
        <f t="shared" si="43"/>
        <v/>
      </c>
      <c r="O573" t="str">
        <f>IF(I573="","",_xlfn.XLOOKUP(I573,Lists!$C:$C,Lists!$J:$J))</f>
        <v/>
      </c>
      <c r="P573" t="str">
        <f>IF(I573="","",_xlfn.XLOOKUP(I573,Lists!$C:$C,Lists!$E:$E))</f>
        <v/>
      </c>
      <c r="Q573" s="21" t="str">
        <f t="shared" si="44"/>
        <v/>
      </c>
      <c r="R573" t="str">
        <f t="shared" si="45"/>
        <v/>
      </c>
      <c r="S573" t="str">
        <f>IF(I573="","",_xlfn.XLOOKUP(I573,Lists!$C:$C,Lists!$I:$I))</f>
        <v/>
      </c>
    </row>
    <row r="574" spans="8:8">
      <c r="C574">
        <f>_xlfn.XLOOKUP(B574,Lists!B:B,Lists!A:A,"")</f>
        <v>0.0</v>
      </c>
      <c r="G574" t="str">
        <f t="shared" si="41"/>
        <v/>
      </c>
      <c r="H574" s="20" t="str">
        <f t="shared" si="42"/>
        <v/>
      </c>
      <c r="J574" t="str">
        <f>IF(I574="","",_xlfn.XLOOKUP(I574,Lists!$C:$C,Lists!$D:$D))</f>
        <v/>
      </c>
      <c r="N574" t="str">
        <f t="shared" si="43"/>
        <v/>
      </c>
      <c r="O574" t="str">
        <f>IF(I574="","",_xlfn.XLOOKUP(I574,Lists!$C:$C,Lists!$J:$J))</f>
        <v/>
      </c>
      <c r="P574" t="str">
        <f>IF(I574="","",_xlfn.XLOOKUP(I574,Lists!$C:$C,Lists!$E:$E))</f>
        <v/>
      </c>
      <c r="Q574" s="21" t="str">
        <f t="shared" si="44"/>
        <v/>
      </c>
      <c r="R574" t="str">
        <f t="shared" si="45"/>
        <v/>
      </c>
      <c r="S574" t="str">
        <f>IF(I574="","",_xlfn.XLOOKUP(I574,Lists!$C:$C,Lists!$I:$I))</f>
        <v/>
      </c>
    </row>
    <row r="575" spans="8:8">
      <c r="C575">
        <f>_xlfn.XLOOKUP(B575,Lists!B:B,Lists!A:A,"")</f>
        <v>0.0</v>
      </c>
      <c r="G575" t="str">
        <f t="shared" si="41"/>
        <v/>
      </c>
      <c r="H575" s="20" t="str">
        <f t="shared" si="42"/>
        <v/>
      </c>
      <c r="J575" t="str">
        <f>IF(I575="","",_xlfn.XLOOKUP(I575,Lists!$C:$C,Lists!$D:$D))</f>
        <v/>
      </c>
      <c r="N575" t="str">
        <f t="shared" si="43"/>
        <v/>
      </c>
      <c r="O575" t="str">
        <f>IF(I575="","",_xlfn.XLOOKUP(I575,Lists!$C:$C,Lists!$J:$J))</f>
        <v/>
      </c>
      <c r="P575" t="str">
        <f>IF(I575="","",_xlfn.XLOOKUP(I575,Lists!$C:$C,Lists!$E:$E))</f>
        <v/>
      </c>
      <c r="Q575" s="21" t="str">
        <f t="shared" si="44"/>
        <v/>
      </c>
      <c r="R575" t="str">
        <f t="shared" si="45"/>
        <v/>
      </c>
      <c r="S575" t="str">
        <f>IF(I575="","",_xlfn.XLOOKUP(I575,Lists!$C:$C,Lists!$I:$I))</f>
        <v/>
      </c>
    </row>
    <row r="576" spans="8:8">
      <c r="C576">
        <f>_xlfn.XLOOKUP(B576,Lists!B:B,Lists!A:A,"")</f>
        <v>0.0</v>
      </c>
      <c r="G576" t="str">
        <f t="shared" si="41"/>
        <v/>
      </c>
      <c r="H576" s="20" t="str">
        <f t="shared" si="42"/>
        <v/>
      </c>
      <c r="J576" t="str">
        <f>IF(I576="","",_xlfn.XLOOKUP(I576,Lists!$C:$C,Lists!$D:$D))</f>
        <v/>
      </c>
      <c r="N576" t="str">
        <f t="shared" si="43"/>
        <v/>
      </c>
      <c r="O576" t="str">
        <f>IF(I576="","",_xlfn.XLOOKUP(I576,Lists!$C:$C,Lists!$J:$J))</f>
        <v/>
      </c>
      <c r="P576" t="str">
        <f>IF(I576="","",_xlfn.XLOOKUP(I576,Lists!$C:$C,Lists!$E:$E))</f>
        <v/>
      </c>
      <c r="Q576" s="21" t="str">
        <f t="shared" si="44"/>
        <v/>
      </c>
      <c r="R576" t="str">
        <f t="shared" si="45"/>
        <v/>
      </c>
      <c r="S576" t="str">
        <f>IF(I576="","",_xlfn.XLOOKUP(I576,Lists!$C:$C,Lists!$I:$I))</f>
        <v/>
      </c>
    </row>
    <row r="577" spans="8:8">
      <c r="C577">
        <f>_xlfn.XLOOKUP(B577,Lists!B:B,Lists!A:A,"")</f>
        <v>0.0</v>
      </c>
      <c r="G577" t="str">
        <f t="shared" si="41"/>
        <v/>
      </c>
      <c r="H577" s="20" t="str">
        <f t="shared" si="42"/>
        <v/>
      </c>
      <c r="J577" t="str">
        <f>IF(I577="","",_xlfn.XLOOKUP(I577,Lists!$C:$C,Lists!$D:$D))</f>
        <v/>
      </c>
      <c r="N577" t="str">
        <f t="shared" si="43"/>
        <v/>
      </c>
      <c r="O577" t="str">
        <f>IF(I577="","",_xlfn.XLOOKUP(I577,Lists!$C:$C,Lists!$J:$J))</f>
        <v/>
      </c>
      <c r="P577" t="str">
        <f>IF(I577="","",_xlfn.XLOOKUP(I577,Lists!$C:$C,Lists!$E:$E))</f>
        <v/>
      </c>
      <c r="Q577" s="21" t="str">
        <f t="shared" si="44"/>
        <v/>
      </c>
      <c r="R577" t="str">
        <f t="shared" si="45"/>
        <v/>
      </c>
      <c r="S577" t="str">
        <f>IF(I577="","",_xlfn.XLOOKUP(I577,Lists!$C:$C,Lists!$I:$I))</f>
        <v/>
      </c>
    </row>
    <row r="578" spans="8:8">
      <c r="C578">
        <f>_xlfn.XLOOKUP(B578,Lists!B:B,Lists!A:A,"")</f>
        <v>0.0</v>
      </c>
      <c r="G578" t="str">
        <f t="shared" si="41"/>
        <v/>
      </c>
      <c r="H578" s="20" t="str">
        <f t="shared" si="42"/>
        <v/>
      </c>
      <c r="J578" t="str">
        <f>IF(I578="","",_xlfn.XLOOKUP(I578,Lists!$C:$C,Lists!$D:$D))</f>
        <v/>
      </c>
      <c r="N578" t="str">
        <f t="shared" si="43"/>
        <v/>
      </c>
      <c r="O578" t="str">
        <f>IF(I578="","",_xlfn.XLOOKUP(I578,Lists!$C:$C,Lists!$J:$J))</f>
        <v/>
      </c>
      <c r="P578" t="str">
        <f>IF(I578="","",_xlfn.XLOOKUP(I578,Lists!$C:$C,Lists!$E:$E))</f>
        <v/>
      </c>
      <c r="Q578" s="21" t="str">
        <f t="shared" si="44"/>
        <v/>
      </c>
      <c r="R578" t="str">
        <f t="shared" si="45"/>
        <v/>
      </c>
      <c r="S578" t="str">
        <f>IF(I578="","",_xlfn.XLOOKUP(I578,Lists!$C:$C,Lists!$I:$I))</f>
        <v/>
      </c>
    </row>
    <row r="579" spans="8:8">
      <c r="C579">
        <f>_xlfn.XLOOKUP(B579,Lists!B:B,Lists!A:A,"")</f>
        <v>0.0</v>
      </c>
      <c r="G579" t="str">
        <f t="shared" si="41"/>
        <v/>
      </c>
      <c r="H579" s="20" t="str">
        <f t="shared" si="42"/>
        <v/>
      </c>
      <c r="J579" t="str">
        <f>IF(I579="","",_xlfn.XLOOKUP(I579,Lists!$C:$C,Lists!$D:$D))</f>
        <v/>
      </c>
      <c r="N579" t="str">
        <f t="shared" si="43"/>
        <v/>
      </c>
      <c r="O579" t="str">
        <f>IF(I579="","",_xlfn.XLOOKUP(I579,Lists!$C:$C,Lists!$J:$J))</f>
        <v/>
      </c>
      <c r="P579" t="str">
        <f>IF(I579="","",_xlfn.XLOOKUP(I579,Lists!$C:$C,Lists!$E:$E))</f>
        <v/>
      </c>
      <c r="Q579" s="21" t="str">
        <f t="shared" si="44"/>
        <v/>
      </c>
      <c r="R579" t="str">
        <f t="shared" si="45"/>
        <v/>
      </c>
      <c r="S579" t="str">
        <f>IF(I579="","",_xlfn.XLOOKUP(I579,Lists!$C:$C,Lists!$I:$I))</f>
        <v/>
      </c>
    </row>
    <row r="580" spans="8:8">
      <c r="C580">
        <f>_xlfn.XLOOKUP(B580,Lists!B:B,Lists!A:A,"")</f>
        <v>0.0</v>
      </c>
      <c r="G580" t="str">
        <f t="shared" si="41"/>
        <v/>
      </c>
      <c r="H580" s="20" t="str">
        <f t="shared" si="42"/>
        <v/>
      </c>
      <c r="J580" t="str">
        <f>IF(I580="","",_xlfn.XLOOKUP(I580,Lists!$C:$C,Lists!$D:$D))</f>
        <v/>
      </c>
      <c r="N580" t="str">
        <f t="shared" si="43"/>
        <v/>
      </c>
      <c r="O580" t="str">
        <f>IF(I580="","",_xlfn.XLOOKUP(I580,Lists!$C:$C,Lists!$J:$J))</f>
        <v/>
      </c>
      <c r="P580" t="str">
        <f>IF(I580="","",_xlfn.XLOOKUP(I580,Lists!$C:$C,Lists!$E:$E))</f>
        <v/>
      </c>
      <c r="Q580" s="21" t="str">
        <f t="shared" si="44"/>
        <v/>
      </c>
      <c r="R580" t="str">
        <f t="shared" si="45"/>
        <v/>
      </c>
      <c r="S580" t="str">
        <f>IF(I580="","",_xlfn.XLOOKUP(I580,Lists!$C:$C,Lists!$I:$I))</f>
        <v/>
      </c>
    </row>
    <row r="581" spans="8:8">
      <c r="C581">
        <f>_xlfn.XLOOKUP(B581,Lists!B:B,Lists!A:A,"")</f>
        <v>0.0</v>
      </c>
      <c r="G581" t="str">
        <f t="shared" si="41"/>
        <v/>
      </c>
      <c r="H581" s="20" t="str">
        <f t="shared" si="42"/>
        <v/>
      </c>
      <c r="J581" t="str">
        <f>IF(I581="","",_xlfn.XLOOKUP(I581,Lists!$C:$C,Lists!$D:$D))</f>
        <v/>
      </c>
      <c r="N581" t="str">
        <f t="shared" si="43"/>
        <v/>
      </c>
      <c r="O581" t="str">
        <f>IF(I581="","",_xlfn.XLOOKUP(I581,Lists!$C:$C,Lists!$J:$J))</f>
        <v/>
      </c>
      <c r="P581" t="str">
        <f>IF(I581="","",_xlfn.XLOOKUP(I581,Lists!$C:$C,Lists!$E:$E))</f>
        <v/>
      </c>
      <c r="Q581" s="21" t="str">
        <f t="shared" si="44"/>
        <v/>
      </c>
      <c r="R581" t="str">
        <f t="shared" si="45"/>
        <v/>
      </c>
      <c r="S581" t="str">
        <f>IF(I581="","",_xlfn.XLOOKUP(I581,Lists!$C:$C,Lists!$I:$I))</f>
        <v/>
      </c>
    </row>
    <row r="582" spans="8:8">
      <c r="C582">
        <f>_xlfn.XLOOKUP(B582,Lists!B:B,Lists!A:A,"")</f>
        <v>0.0</v>
      </c>
      <c r="G582" t="str">
        <f t="shared" si="41"/>
        <v/>
      </c>
      <c r="H582" s="20" t="str">
        <f t="shared" si="42"/>
        <v/>
      </c>
      <c r="J582" t="str">
        <f>IF(I582="","",_xlfn.XLOOKUP(I582,Lists!$C:$C,Lists!$D:$D))</f>
        <v/>
      </c>
      <c r="N582" t="str">
        <f t="shared" si="43"/>
        <v/>
      </c>
      <c r="O582" t="str">
        <f>IF(I582="","",_xlfn.XLOOKUP(I582,Lists!$C:$C,Lists!$J:$J))</f>
        <v/>
      </c>
      <c r="P582" t="str">
        <f>IF(I582="","",_xlfn.XLOOKUP(I582,Lists!$C:$C,Lists!$E:$E))</f>
        <v/>
      </c>
      <c r="Q582" s="21" t="str">
        <f t="shared" si="44"/>
        <v/>
      </c>
      <c r="R582" t="str">
        <f t="shared" si="45"/>
        <v/>
      </c>
      <c r="S582" t="str">
        <f>IF(I582="","",_xlfn.XLOOKUP(I582,Lists!$C:$C,Lists!$I:$I))</f>
        <v/>
      </c>
    </row>
    <row r="583" spans="8:8">
      <c r="C583">
        <f>_xlfn.XLOOKUP(B583,Lists!B:B,Lists!A:A,"")</f>
        <v>0.0</v>
      </c>
      <c r="G583" t="str">
        <f t="shared" si="41"/>
        <v/>
      </c>
      <c r="H583" s="20" t="str">
        <f t="shared" si="42"/>
        <v/>
      </c>
      <c r="J583" t="str">
        <f>IF(I583="","",_xlfn.XLOOKUP(I583,Lists!$C:$C,Lists!$D:$D))</f>
        <v/>
      </c>
      <c r="N583" t="str">
        <f t="shared" si="43"/>
        <v/>
      </c>
      <c r="O583" t="str">
        <f>IF(I583="","",_xlfn.XLOOKUP(I583,Lists!$C:$C,Lists!$J:$J))</f>
        <v/>
      </c>
      <c r="P583" t="str">
        <f>IF(I583="","",_xlfn.XLOOKUP(I583,Lists!$C:$C,Lists!$E:$E))</f>
        <v/>
      </c>
      <c r="Q583" s="21" t="str">
        <f t="shared" si="44"/>
        <v/>
      </c>
      <c r="R583" t="str">
        <f t="shared" si="45"/>
        <v/>
      </c>
      <c r="S583" t="str">
        <f>IF(I583="","",_xlfn.XLOOKUP(I583,Lists!$C:$C,Lists!$I:$I))</f>
        <v/>
      </c>
    </row>
    <row r="584" spans="8:8">
      <c r="C584">
        <f>_xlfn.XLOOKUP(B584,Lists!B:B,Lists!A:A,"")</f>
        <v>0.0</v>
      </c>
      <c r="G584" t="str">
        <f t="shared" si="41"/>
        <v/>
      </c>
      <c r="H584" s="20" t="str">
        <f t="shared" si="42"/>
        <v/>
      </c>
      <c r="J584" t="str">
        <f>IF(I584="","",_xlfn.XLOOKUP(I584,Lists!$C:$C,Lists!$D:$D))</f>
        <v/>
      </c>
      <c r="N584" t="str">
        <f t="shared" si="43"/>
        <v/>
      </c>
      <c r="O584" t="str">
        <f>IF(I584="","",_xlfn.XLOOKUP(I584,Lists!$C:$C,Lists!$J:$J))</f>
        <v/>
      </c>
      <c r="P584" t="str">
        <f>IF(I584="","",_xlfn.XLOOKUP(I584,Lists!$C:$C,Lists!$E:$E))</f>
        <v/>
      </c>
      <c r="Q584" s="21" t="str">
        <f t="shared" si="44"/>
        <v/>
      </c>
      <c r="R584" t="str">
        <f t="shared" si="45"/>
        <v/>
      </c>
      <c r="S584" t="str">
        <f>IF(I584="","",_xlfn.XLOOKUP(I584,Lists!$C:$C,Lists!$I:$I))</f>
        <v/>
      </c>
    </row>
    <row r="585" spans="8:8">
      <c r="C585">
        <f>_xlfn.XLOOKUP(B585,Lists!B:B,Lists!A:A,"")</f>
        <v>0.0</v>
      </c>
      <c r="G585" t="str">
        <f t="shared" si="41"/>
        <v/>
      </c>
      <c r="H585" s="20" t="str">
        <f t="shared" si="42"/>
        <v/>
      </c>
      <c r="J585" t="str">
        <f>IF(I585="","",_xlfn.XLOOKUP(I585,Lists!$C:$C,Lists!$D:$D))</f>
        <v/>
      </c>
      <c r="N585" t="str">
        <f t="shared" si="43"/>
        <v/>
      </c>
      <c r="O585" t="str">
        <f>IF(I585="","",_xlfn.XLOOKUP(I585,Lists!$C:$C,Lists!$J:$J))</f>
        <v/>
      </c>
      <c r="P585" t="str">
        <f>IF(I585="","",_xlfn.XLOOKUP(I585,Lists!$C:$C,Lists!$E:$E))</f>
        <v/>
      </c>
      <c r="Q585" s="21" t="str">
        <f t="shared" si="44"/>
        <v/>
      </c>
      <c r="R585" t="str">
        <f t="shared" si="45"/>
        <v/>
      </c>
      <c r="S585" t="str">
        <f>IF(I585="","",_xlfn.XLOOKUP(I585,Lists!$C:$C,Lists!$I:$I))</f>
        <v/>
      </c>
    </row>
    <row r="586" spans="8:8">
      <c r="C586">
        <f>_xlfn.XLOOKUP(B586,Lists!B:B,Lists!A:A,"")</f>
        <v>0.0</v>
      </c>
      <c r="G586" t="str">
        <f t="shared" si="41"/>
        <v/>
      </c>
      <c r="H586" s="20" t="str">
        <f t="shared" si="42"/>
        <v/>
      </c>
      <c r="J586" t="str">
        <f>IF(I586="","",_xlfn.XLOOKUP(I586,Lists!$C:$C,Lists!$D:$D))</f>
        <v/>
      </c>
      <c r="N586" t="str">
        <f t="shared" si="43"/>
        <v/>
      </c>
      <c r="O586" t="str">
        <f>IF(I586="","",_xlfn.XLOOKUP(I586,Lists!$C:$C,Lists!$J:$J))</f>
        <v/>
      </c>
      <c r="P586" t="str">
        <f>IF(I586="","",_xlfn.XLOOKUP(I586,Lists!$C:$C,Lists!$E:$E))</f>
        <v/>
      </c>
      <c r="Q586" s="21" t="str">
        <f t="shared" si="44"/>
        <v/>
      </c>
      <c r="R586" t="str">
        <f t="shared" si="45"/>
        <v/>
      </c>
      <c r="S586" t="str">
        <f>IF(I586="","",_xlfn.XLOOKUP(I586,Lists!$C:$C,Lists!$I:$I))</f>
        <v/>
      </c>
    </row>
    <row r="587" spans="8:8">
      <c r="C587">
        <f>_xlfn.XLOOKUP(B587,Lists!B:B,Lists!A:A,"")</f>
        <v>0.0</v>
      </c>
      <c r="G587" t="str">
        <f t="shared" si="41"/>
        <v/>
      </c>
      <c r="H587" s="20" t="str">
        <f t="shared" si="42"/>
        <v/>
      </c>
      <c r="J587" t="str">
        <f>IF(I587="","",_xlfn.XLOOKUP(I587,Lists!$C:$C,Lists!$D:$D))</f>
        <v/>
      </c>
      <c r="N587" t="str">
        <f t="shared" si="43"/>
        <v/>
      </c>
      <c r="O587" t="str">
        <f>IF(I587="","",_xlfn.XLOOKUP(I587,Lists!$C:$C,Lists!$J:$J))</f>
        <v/>
      </c>
      <c r="P587" t="str">
        <f>IF(I587="","",_xlfn.XLOOKUP(I587,Lists!$C:$C,Lists!$E:$E))</f>
        <v/>
      </c>
      <c r="Q587" s="21" t="str">
        <f t="shared" si="44"/>
        <v/>
      </c>
      <c r="R587" t="str">
        <f t="shared" si="45"/>
        <v/>
      </c>
      <c r="S587" t="str">
        <f>IF(I587="","",_xlfn.XLOOKUP(I587,Lists!$C:$C,Lists!$I:$I))</f>
        <v/>
      </c>
    </row>
    <row r="588" spans="8:8">
      <c r="C588">
        <f>_xlfn.XLOOKUP(B588,Lists!B:B,Lists!A:A,"")</f>
        <v>0.0</v>
      </c>
      <c r="G588" t="str">
        <f t="shared" si="41"/>
        <v/>
      </c>
      <c r="H588" s="20" t="str">
        <f t="shared" si="42"/>
        <v/>
      </c>
      <c r="J588" t="str">
        <f>IF(I588="","",_xlfn.XLOOKUP(I588,Lists!$C:$C,Lists!$D:$D))</f>
        <v/>
      </c>
      <c r="N588" t="str">
        <f t="shared" si="43"/>
        <v/>
      </c>
      <c r="O588" t="str">
        <f>IF(I588="","",_xlfn.XLOOKUP(I588,Lists!$C:$C,Lists!$J:$J))</f>
        <v/>
      </c>
      <c r="P588" t="str">
        <f>IF(I588="","",_xlfn.XLOOKUP(I588,Lists!$C:$C,Lists!$E:$E))</f>
        <v/>
      </c>
      <c r="Q588" s="21" t="str">
        <f t="shared" si="44"/>
        <v/>
      </c>
      <c r="R588" t="str">
        <f t="shared" si="45"/>
        <v/>
      </c>
      <c r="S588" t="str">
        <f>IF(I588="","",_xlfn.XLOOKUP(I588,Lists!$C:$C,Lists!$I:$I))</f>
        <v/>
      </c>
    </row>
    <row r="589" spans="8:8">
      <c r="C589">
        <f>_xlfn.XLOOKUP(B589,Lists!B:B,Lists!A:A,"")</f>
        <v>0.0</v>
      </c>
      <c r="G589" t="str">
        <f t="shared" si="41"/>
        <v/>
      </c>
      <c r="H589" s="20" t="str">
        <f t="shared" si="42"/>
        <v/>
      </c>
      <c r="J589" t="str">
        <f>IF(I589="","",_xlfn.XLOOKUP(I589,Lists!$C:$C,Lists!$D:$D))</f>
        <v/>
      </c>
      <c r="N589" t="str">
        <f t="shared" si="43"/>
        <v/>
      </c>
      <c r="O589" t="str">
        <f>IF(I589="","",_xlfn.XLOOKUP(I589,Lists!$C:$C,Lists!$J:$J))</f>
        <v/>
      </c>
      <c r="P589" t="str">
        <f>IF(I589="","",_xlfn.XLOOKUP(I589,Lists!$C:$C,Lists!$E:$E))</f>
        <v/>
      </c>
      <c r="Q589" s="21" t="str">
        <f t="shared" si="44"/>
        <v/>
      </c>
      <c r="R589" t="str">
        <f t="shared" si="45"/>
        <v/>
      </c>
      <c r="S589" t="str">
        <f>IF(I589="","",_xlfn.XLOOKUP(I589,Lists!$C:$C,Lists!$I:$I))</f>
        <v/>
      </c>
    </row>
    <row r="590" spans="8:8">
      <c r="C590">
        <f>_xlfn.XLOOKUP(B590,Lists!B:B,Lists!A:A,"")</f>
        <v>0.0</v>
      </c>
      <c r="G590" t="str">
        <f t="shared" si="41"/>
        <v/>
      </c>
      <c r="H590" s="20" t="str">
        <f t="shared" si="42"/>
        <v/>
      </c>
      <c r="J590" t="str">
        <f>IF(I590="","",_xlfn.XLOOKUP(I590,Lists!$C:$C,Lists!$D:$D))</f>
        <v/>
      </c>
      <c r="N590" t="str">
        <f t="shared" si="43"/>
        <v/>
      </c>
      <c r="O590" t="str">
        <f>IF(I590="","",_xlfn.XLOOKUP(I590,Lists!$C:$C,Lists!$J:$J))</f>
        <v/>
      </c>
      <c r="P590" t="str">
        <f>IF(I590="","",_xlfn.XLOOKUP(I590,Lists!$C:$C,Lists!$E:$E))</f>
        <v/>
      </c>
      <c r="Q590" s="21" t="str">
        <f t="shared" si="44"/>
        <v/>
      </c>
      <c r="R590" t="str">
        <f t="shared" si="45"/>
        <v/>
      </c>
      <c r="S590" t="str">
        <f>IF(I590="","",_xlfn.XLOOKUP(I590,Lists!$C:$C,Lists!$I:$I))</f>
        <v/>
      </c>
    </row>
    <row r="591" spans="8:8">
      <c r="C591">
        <f>_xlfn.XLOOKUP(B591,Lists!B:B,Lists!A:A,"")</f>
        <v>0.0</v>
      </c>
      <c r="G591" t="str">
        <f t="shared" si="41"/>
        <v/>
      </c>
      <c r="H591" s="20" t="str">
        <f t="shared" si="42"/>
        <v/>
      </c>
      <c r="J591" t="str">
        <f>IF(I591="","",_xlfn.XLOOKUP(I591,Lists!$C:$C,Lists!$D:$D))</f>
        <v/>
      </c>
      <c r="N591" t="str">
        <f t="shared" si="43"/>
        <v/>
      </c>
      <c r="O591" t="str">
        <f>IF(I591="","",_xlfn.XLOOKUP(I591,Lists!$C:$C,Lists!$J:$J))</f>
        <v/>
      </c>
      <c r="P591" t="str">
        <f>IF(I591="","",_xlfn.XLOOKUP(I591,Lists!$C:$C,Lists!$E:$E))</f>
        <v/>
      </c>
      <c r="Q591" s="21" t="str">
        <f t="shared" si="44"/>
        <v/>
      </c>
      <c r="R591" t="str">
        <f t="shared" si="45"/>
        <v/>
      </c>
      <c r="S591" t="str">
        <f>IF(I591="","",_xlfn.XLOOKUP(I591,Lists!$C:$C,Lists!$I:$I))</f>
        <v/>
      </c>
    </row>
    <row r="592" spans="8:8">
      <c r="C592">
        <f>_xlfn.XLOOKUP(B592,Lists!B:B,Lists!A:A,"")</f>
        <v>0.0</v>
      </c>
      <c r="G592" t="str">
        <f t="shared" si="41"/>
        <v/>
      </c>
      <c r="H592" s="20" t="str">
        <f t="shared" si="42"/>
        <v/>
      </c>
      <c r="J592" t="str">
        <f>IF(I592="","",_xlfn.XLOOKUP(I592,Lists!$C:$C,Lists!$D:$D))</f>
        <v/>
      </c>
      <c r="N592" t="str">
        <f t="shared" si="43"/>
        <v/>
      </c>
      <c r="O592" t="str">
        <f>IF(I592="","",_xlfn.XLOOKUP(I592,Lists!$C:$C,Lists!$J:$J))</f>
        <v/>
      </c>
      <c r="P592" t="str">
        <f>IF(I592="","",_xlfn.XLOOKUP(I592,Lists!$C:$C,Lists!$E:$E))</f>
        <v/>
      </c>
      <c r="Q592" s="21" t="str">
        <f t="shared" si="44"/>
        <v/>
      </c>
      <c r="R592" t="str">
        <f t="shared" si="45"/>
        <v/>
      </c>
      <c r="S592" t="str">
        <f>IF(I592="","",_xlfn.XLOOKUP(I592,Lists!$C:$C,Lists!$I:$I))</f>
        <v/>
      </c>
    </row>
    <row r="593" spans="8:8">
      <c r="C593">
        <f>_xlfn.XLOOKUP(B593,Lists!B:B,Lists!A:A,"")</f>
        <v>0.0</v>
      </c>
      <c r="G593" t="str">
        <f t="shared" si="41"/>
        <v/>
      </c>
      <c r="H593" s="20" t="str">
        <f t="shared" si="42"/>
        <v/>
      </c>
      <c r="J593" t="str">
        <f>IF(I593="","",_xlfn.XLOOKUP(I593,Lists!$C:$C,Lists!$D:$D))</f>
        <v/>
      </c>
      <c r="N593" t="str">
        <f t="shared" si="43"/>
        <v/>
      </c>
      <c r="O593" t="str">
        <f>IF(I593="","",_xlfn.XLOOKUP(I593,Lists!$C:$C,Lists!$J:$J))</f>
        <v/>
      </c>
      <c r="P593" t="str">
        <f>IF(I593="","",_xlfn.XLOOKUP(I593,Lists!$C:$C,Lists!$E:$E))</f>
        <v/>
      </c>
      <c r="Q593" s="21" t="str">
        <f t="shared" si="44"/>
        <v/>
      </c>
      <c r="R593" t="str">
        <f t="shared" si="45"/>
        <v/>
      </c>
      <c r="S593" t="str">
        <f>IF(I593="","",_xlfn.XLOOKUP(I593,Lists!$C:$C,Lists!$I:$I))</f>
        <v/>
      </c>
    </row>
    <row r="594" spans="8:8">
      <c r="C594">
        <f>_xlfn.XLOOKUP(B594,Lists!B:B,Lists!A:A,"")</f>
        <v>0.0</v>
      </c>
      <c r="G594" t="str">
        <f t="shared" si="41"/>
        <v/>
      </c>
      <c r="H594" s="20" t="str">
        <f t="shared" si="42"/>
        <v/>
      </c>
      <c r="J594" t="str">
        <f>IF(I594="","",_xlfn.XLOOKUP(I594,Lists!$C:$C,Lists!$D:$D))</f>
        <v/>
      </c>
      <c r="N594" t="str">
        <f t="shared" si="43"/>
        <v/>
      </c>
      <c r="O594" t="str">
        <f>IF(I594="","",_xlfn.XLOOKUP(I594,Lists!$C:$C,Lists!$J:$J))</f>
        <v/>
      </c>
      <c r="P594" t="str">
        <f>IF(I594="","",_xlfn.XLOOKUP(I594,Lists!$C:$C,Lists!$E:$E))</f>
        <v/>
      </c>
      <c r="Q594" s="21" t="str">
        <f t="shared" si="44"/>
        <v/>
      </c>
      <c r="R594" t="str">
        <f t="shared" si="45"/>
        <v/>
      </c>
      <c r="S594" t="str">
        <f>IF(I594="","",_xlfn.XLOOKUP(I594,Lists!$C:$C,Lists!$I:$I))</f>
        <v/>
      </c>
    </row>
    <row r="595" spans="8:8">
      <c r="C595">
        <f>_xlfn.XLOOKUP(B595,Lists!B:B,Lists!A:A,"")</f>
        <v>0.0</v>
      </c>
      <c r="G595" t="str">
        <f t="shared" si="41"/>
        <v/>
      </c>
      <c r="H595" s="20" t="str">
        <f t="shared" si="42"/>
        <v/>
      </c>
      <c r="J595" t="str">
        <f>IF(I595="","",_xlfn.XLOOKUP(I595,Lists!$C:$C,Lists!$D:$D))</f>
        <v/>
      </c>
      <c r="N595" t="str">
        <f t="shared" si="43"/>
        <v/>
      </c>
      <c r="O595" t="str">
        <f>IF(I595="","",_xlfn.XLOOKUP(I595,Lists!$C:$C,Lists!$J:$J))</f>
        <v/>
      </c>
      <c r="P595" t="str">
        <f>IF(I595="","",_xlfn.XLOOKUP(I595,Lists!$C:$C,Lists!$E:$E))</f>
        <v/>
      </c>
      <c r="Q595" s="21" t="str">
        <f t="shared" si="44"/>
        <v/>
      </c>
      <c r="R595" t="str">
        <f t="shared" si="45"/>
        <v/>
      </c>
      <c r="S595" t="str">
        <f>IF(I595="","",_xlfn.XLOOKUP(I595,Lists!$C:$C,Lists!$I:$I))</f>
        <v/>
      </c>
    </row>
    <row r="596" spans="8:8">
      <c r="C596">
        <f>_xlfn.XLOOKUP(B596,Lists!B:B,Lists!A:A,"")</f>
        <v>0.0</v>
      </c>
      <c r="G596" t="str">
        <f t="shared" si="41"/>
        <v/>
      </c>
      <c r="H596" s="20" t="str">
        <f t="shared" si="42"/>
        <v/>
      </c>
      <c r="J596" t="str">
        <f>IF(I596="","",_xlfn.XLOOKUP(I596,Lists!$C:$C,Lists!$D:$D))</f>
        <v/>
      </c>
      <c r="N596" t="str">
        <f t="shared" si="43"/>
        <v/>
      </c>
      <c r="O596" t="str">
        <f>IF(I596="","",_xlfn.XLOOKUP(I596,Lists!$C:$C,Lists!$J:$J))</f>
        <v/>
      </c>
      <c r="P596" t="str">
        <f>IF(I596="","",_xlfn.XLOOKUP(I596,Lists!$C:$C,Lists!$E:$E))</f>
        <v/>
      </c>
      <c r="Q596" s="21" t="str">
        <f t="shared" si="44"/>
        <v/>
      </c>
      <c r="R596" t="str">
        <f t="shared" si="45"/>
        <v/>
      </c>
      <c r="S596" t="str">
        <f>IF(I596="","",_xlfn.XLOOKUP(I596,Lists!$C:$C,Lists!$I:$I))</f>
        <v/>
      </c>
    </row>
    <row r="597" spans="8:8">
      <c r="C597">
        <f>_xlfn.XLOOKUP(B597,Lists!B:B,Lists!A:A,"")</f>
        <v>0.0</v>
      </c>
      <c r="G597" t="str">
        <f t="shared" si="41"/>
        <v/>
      </c>
      <c r="H597" s="20" t="str">
        <f t="shared" si="42"/>
        <v/>
      </c>
      <c r="J597" t="str">
        <f>IF(I597="","",_xlfn.XLOOKUP(I597,Lists!$C:$C,Lists!$D:$D))</f>
        <v/>
      </c>
      <c r="N597" t="str">
        <f t="shared" si="43"/>
        <v/>
      </c>
      <c r="O597" t="str">
        <f>IF(I597="","",_xlfn.XLOOKUP(I597,Lists!$C:$C,Lists!$J:$J))</f>
        <v/>
      </c>
      <c r="P597" t="str">
        <f>IF(I597="","",_xlfn.XLOOKUP(I597,Lists!$C:$C,Lists!$E:$E))</f>
        <v/>
      </c>
      <c r="Q597" s="21" t="str">
        <f t="shared" si="44"/>
        <v/>
      </c>
      <c r="R597" t="str">
        <f t="shared" si="45"/>
        <v/>
      </c>
      <c r="S597" t="str">
        <f>IF(I597="","",_xlfn.XLOOKUP(I597,Lists!$C:$C,Lists!$I:$I))</f>
        <v/>
      </c>
    </row>
    <row r="598" spans="8:8">
      <c r="C598">
        <f>_xlfn.XLOOKUP(B598,Lists!B:B,Lists!A:A,"")</f>
        <v>0.0</v>
      </c>
      <c r="G598" t="str">
        <f t="shared" si="41"/>
        <v/>
      </c>
      <c r="H598" s="20" t="str">
        <f t="shared" si="42"/>
        <v/>
      </c>
      <c r="J598" t="str">
        <f>IF(I598="","",_xlfn.XLOOKUP(I598,Lists!$C:$C,Lists!$D:$D))</f>
        <v/>
      </c>
      <c r="N598" t="str">
        <f t="shared" si="43"/>
        <v/>
      </c>
      <c r="O598" t="str">
        <f>IF(I598="","",_xlfn.XLOOKUP(I598,Lists!$C:$C,Lists!$J:$J))</f>
        <v/>
      </c>
      <c r="P598" t="str">
        <f>IF(I598="","",_xlfn.XLOOKUP(I598,Lists!$C:$C,Lists!$E:$E))</f>
        <v/>
      </c>
      <c r="Q598" s="21" t="str">
        <f t="shared" si="44"/>
        <v/>
      </c>
      <c r="R598" t="str">
        <f t="shared" si="45"/>
        <v/>
      </c>
      <c r="S598" t="str">
        <f>IF(I598="","",_xlfn.XLOOKUP(I598,Lists!$C:$C,Lists!$I:$I))</f>
        <v/>
      </c>
    </row>
    <row r="599" spans="8:8">
      <c r="C599">
        <f>_xlfn.XLOOKUP(B599,Lists!B:B,Lists!A:A,"")</f>
        <v>0.0</v>
      </c>
      <c r="G599" t="str">
        <f t="shared" si="41"/>
        <v/>
      </c>
      <c r="H599" s="20" t="str">
        <f t="shared" si="42"/>
        <v/>
      </c>
      <c r="J599" t="str">
        <f>IF(I599="","",_xlfn.XLOOKUP(I599,Lists!$C:$C,Lists!$D:$D))</f>
        <v/>
      </c>
      <c r="N599" t="str">
        <f t="shared" si="43"/>
        <v/>
      </c>
      <c r="O599" t="str">
        <f>IF(I599="","",_xlfn.XLOOKUP(I599,Lists!$C:$C,Lists!$J:$J))</f>
        <v/>
      </c>
      <c r="P599" t="str">
        <f>IF(I599="","",_xlfn.XLOOKUP(I599,Lists!$C:$C,Lists!$E:$E))</f>
        <v/>
      </c>
      <c r="Q599" s="21" t="str">
        <f t="shared" si="44"/>
        <v/>
      </c>
      <c r="R599" t="str">
        <f t="shared" si="45"/>
        <v/>
      </c>
      <c r="S599" t="str">
        <f>IF(I599="","",_xlfn.XLOOKUP(I599,Lists!$C:$C,Lists!$I:$I))</f>
        <v/>
      </c>
    </row>
    <row r="600" spans="8:8">
      <c r="C600">
        <f>_xlfn.XLOOKUP(B600,Lists!B:B,Lists!A:A,"")</f>
        <v>0.0</v>
      </c>
      <c r="G600" t="str">
        <f t="shared" si="41"/>
        <v/>
      </c>
      <c r="H600" s="20" t="str">
        <f t="shared" si="42"/>
        <v/>
      </c>
      <c r="J600" t="str">
        <f>IF(I600="","",_xlfn.XLOOKUP(I600,Lists!$C:$C,Lists!$D:$D))</f>
        <v/>
      </c>
      <c r="N600" t="str">
        <f t="shared" si="43"/>
        <v/>
      </c>
      <c r="O600" t="str">
        <f>IF(I600="","",_xlfn.XLOOKUP(I600,Lists!$C:$C,Lists!$J:$J))</f>
        <v/>
      </c>
      <c r="P600" t="str">
        <f>IF(I600="","",_xlfn.XLOOKUP(I600,Lists!$C:$C,Lists!$E:$E))</f>
        <v/>
      </c>
      <c r="Q600" s="21" t="str">
        <f t="shared" si="44"/>
        <v/>
      </c>
      <c r="R600" t="str">
        <f t="shared" si="45"/>
        <v/>
      </c>
      <c r="S600" t="str">
        <f>IF(I600="","",_xlfn.XLOOKUP(I600,Lists!$C:$C,Lists!$I:$I))</f>
        <v/>
      </c>
    </row>
    <row r="601" spans="8:8">
      <c r="C601">
        <f>_xlfn.XLOOKUP(B601,Lists!B:B,Lists!A:A,"")</f>
        <v>0.0</v>
      </c>
      <c r="G601" t="str">
        <f t="shared" si="41"/>
        <v/>
      </c>
      <c r="H601" s="20" t="str">
        <f t="shared" si="42"/>
        <v/>
      </c>
      <c r="J601" t="str">
        <f>IF(I601="","",_xlfn.XLOOKUP(I601,Lists!$C:$C,Lists!$D:$D))</f>
        <v/>
      </c>
      <c r="N601" t="str">
        <f t="shared" si="43"/>
        <v/>
      </c>
      <c r="O601" t="str">
        <f>IF(I601="","",_xlfn.XLOOKUP(I601,Lists!$C:$C,Lists!$J:$J))</f>
        <v/>
      </c>
      <c r="P601" t="str">
        <f>IF(I601="","",_xlfn.XLOOKUP(I601,Lists!$C:$C,Lists!$E:$E))</f>
        <v/>
      </c>
      <c r="Q601" s="21" t="str">
        <f t="shared" si="44"/>
        <v/>
      </c>
      <c r="R601" t="str">
        <f t="shared" si="45"/>
        <v/>
      </c>
      <c r="S601" t="str">
        <f>IF(I601="","",_xlfn.XLOOKUP(I601,Lists!$C:$C,Lists!$I:$I))</f>
        <v/>
      </c>
    </row>
    <row r="602" spans="8:8">
      <c r="C602">
        <f>_xlfn.XLOOKUP(B602,Lists!B:B,Lists!A:A,"")</f>
        <v>0.0</v>
      </c>
      <c r="G602" t="str">
        <f t="shared" si="41"/>
        <v/>
      </c>
      <c r="H602" s="20" t="str">
        <f t="shared" si="42"/>
        <v/>
      </c>
      <c r="J602" t="str">
        <f>IF(I602="","",_xlfn.XLOOKUP(I602,Lists!$C:$C,Lists!$D:$D))</f>
        <v/>
      </c>
      <c r="N602" t="str">
        <f t="shared" si="43"/>
        <v/>
      </c>
      <c r="O602" t="str">
        <f>IF(I602="","",_xlfn.XLOOKUP(I602,Lists!$C:$C,Lists!$J:$J))</f>
        <v/>
      </c>
      <c r="P602" t="str">
        <f>IF(I602="","",_xlfn.XLOOKUP(I602,Lists!$C:$C,Lists!$E:$E))</f>
        <v/>
      </c>
      <c r="Q602" s="21" t="str">
        <f t="shared" si="44"/>
        <v/>
      </c>
      <c r="R602" t="str">
        <f t="shared" si="45"/>
        <v/>
      </c>
      <c r="S602" t="str">
        <f>IF(I602="","",_xlfn.XLOOKUP(I602,Lists!$C:$C,Lists!$I:$I))</f>
        <v/>
      </c>
    </row>
    <row r="603" spans="8:8">
      <c r="C603">
        <f>_xlfn.XLOOKUP(B603,Lists!B:B,Lists!A:A,"")</f>
        <v>0.0</v>
      </c>
      <c r="G603" t="str">
        <f t="shared" si="46" ref="G603:G666">IF(OR(E603="",F603=""),"",F603-E603+1)</f>
        <v/>
      </c>
      <c r="H603" s="20" t="str">
        <f t="shared" si="47" ref="H603:H666">IF(D603="","",IF(OR(D603="A",D603="B"),G603/80,IF(D603="A&amp;B",G603/160,"")))</f>
        <v/>
      </c>
      <c r="J603" t="str">
        <f>IF(I603="","",_xlfn.XLOOKUP(I603,Lists!$C:$C,Lists!$D:$D))</f>
        <v/>
      </c>
      <c r="N603" t="str">
        <f t="shared" si="48" ref="N603:N666">IF(OR(M603="",L603=""),"",(M603*L603)/100000)</f>
        <v/>
      </c>
      <c r="O603" t="str">
        <f>IF(I603="","",_xlfn.XLOOKUP(I603,Lists!$C:$C,Lists!$J:$J))</f>
        <v/>
      </c>
      <c r="P603" t="str">
        <f>IF(I603="","",_xlfn.XLOOKUP(I603,Lists!$C:$C,Lists!$E:$E))</f>
        <v/>
      </c>
      <c r="Q603" s="21" t="str">
        <f t="shared" si="49" ref="Q603:Q666">IF(OR(A603="",P603=""),"",A603+P603+1)</f>
        <v/>
      </c>
      <c r="R603" t="str">
        <f t="shared" si="50" ref="R603:R666">IF(Q603="","",IF(Q603&lt;=TODAY(),"Allow","Not Allow"))</f>
        <v/>
      </c>
      <c r="S603" t="str">
        <f>IF(I603="","",_xlfn.XLOOKUP(I603,Lists!$C:$C,Lists!$I:$I))</f>
        <v/>
      </c>
    </row>
    <row r="604" spans="8:8">
      <c r="C604">
        <f>_xlfn.XLOOKUP(B604,Lists!B:B,Lists!A:A,"")</f>
        <v>0.0</v>
      </c>
      <c r="G604" t="str">
        <f t="shared" si="46"/>
        <v/>
      </c>
      <c r="H604" s="20" t="str">
        <f t="shared" si="47"/>
        <v/>
      </c>
      <c r="J604" t="str">
        <f>IF(I604="","",_xlfn.XLOOKUP(I604,Lists!$C:$C,Lists!$D:$D))</f>
        <v/>
      </c>
      <c r="N604" t="str">
        <f t="shared" si="48"/>
        <v/>
      </c>
      <c r="O604" t="str">
        <f>IF(I604="","",_xlfn.XLOOKUP(I604,Lists!$C:$C,Lists!$J:$J))</f>
        <v/>
      </c>
      <c r="P604" t="str">
        <f>IF(I604="","",_xlfn.XLOOKUP(I604,Lists!$C:$C,Lists!$E:$E))</f>
        <v/>
      </c>
      <c r="Q604" s="21" t="str">
        <f t="shared" si="49"/>
        <v/>
      </c>
      <c r="R604" t="str">
        <f t="shared" si="50"/>
        <v/>
      </c>
      <c r="S604" t="str">
        <f>IF(I604="","",_xlfn.XLOOKUP(I604,Lists!$C:$C,Lists!$I:$I))</f>
        <v/>
      </c>
    </row>
    <row r="605" spans="8:8">
      <c r="C605">
        <f>_xlfn.XLOOKUP(B605,Lists!B:B,Lists!A:A,"")</f>
        <v>0.0</v>
      </c>
      <c r="G605" t="str">
        <f t="shared" si="46"/>
        <v/>
      </c>
      <c r="H605" s="20" t="str">
        <f t="shared" si="47"/>
        <v/>
      </c>
      <c r="J605" t="str">
        <f>IF(I605="","",_xlfn.XLOOKUP(I605,Lists!$C:$C,Lists!$D:$D))</f>
        <v/>
      </c>
      <c r="N605" t="str">
        <f t="shared" si="48"/>
        <v/>
      </c>
      <c r="O605" t="str">
        <f>IF(I605="","",_xlfn.XLOOKUP(I605,Lists!$C:$C,Lists!$J:$J))</f>
        <v/>
      </c>
      <c r="P605" t="str">
        <f>IF(I605="","",_xlfn.XLOOKUP(I605,Lists!$C:$C,Lists!$E:$E))</f>
        <v/>
      </c>
      <c r="Q605" s="21" t="str">
        <f t="shared" si="49"/>
        <v/>
      </c>
      <c r="R605" t="str">
        <f t="shared" si="50"/>
        <v/>
      </c>
      <c r="S605" t="str">
        <f>IF(I605="","",_xlfn.XLOOKUP(I605,Lists!$C:$C,Lists!$I:$I))</f>
        <v/>
      </c>
    </row>
    <row r="606" spans="8:8">
      <c r="C606">
        <f>_xlfn.XLOOKUP(B606,Lists!B:B,Lists!A:A,"")</f>
        <v>0.0</v>
      </c>
      <c r="G606" t="str">
        <f t="shared" si="46"/>
        <v/>
      </c>
      <c r="H606" s="20" t="str">
        <f t="shared" si="47"/>
        <v/>
      </c>
      <c r="J606" t="str">
        <f>IF(I606="","",_xlfn.XLOOKUP(I606,Lists!$C:$C,Lists!$D:$D))</f>
        <v/>
      </c>
      <c r="N606" t="str">
        <f t="shared" si="48"/>
        <v/>
      </c>
      <c r="O606" t="str">
        <f>IF(I606="","",_xlfn.XLOOKUP(I606,Lists!$C:$C,Lists!$J:$J))</f>
        <v/>
      </c>
      <c r="P606" t="str">
        <f>IF(I606="","",_xlfn.XLOOKUP(I606,Lists!$C:$C,Lists!$E:$E))</f>
        <v/>
      </c>
      <c r="Q606" s="21" t="str">
        <f t="shared" si="49"/>
        <v/>
      </c>
      <c r="R606" t="str">
        <f t="shared" si="50"/>
        <v/>
      </c>
      <c r="S606" t="str">
        <f>IF(I606="","",_xlfn.XLOOKUP(I606,Lists!$C:$C,Lists!$I:$I))</f>
        <v/>
      </c>
    </row>
    <row r="607" spans="8:8">
      <c r="C607">
        <f>_xlfn.XLOOKUP(B607,Lists!B:B,Lists!A:A,"")</f>
        <v>0.0</v>
      </c>
      <c r="G607" t="str">
        <f t="shared" si="46"/>
        <v/>
      </c>
      <c r="H607" s="20" t="str">
        <f t="shared" si="47"/>
        <v/>
      </c>
      <c r="J607" t="str">
        <f>IF(I607="","",_xlfn.XLOOKUP(I607,Lists!$C:$C,Lists!$D:$D))</f>
        <v/>
      </c>
      <c r="N607" t="str">
        <f t="shared" si="48"/>
        <v/>
      </c>
      <c r="O607" t="str">
        <f>IF(I607="","",_xlfn.XLOOKUP(I607,Lists!$C:$C,Lists!$J:$J))</f>
        <v/>
      </c>
      <c r="P607" t="str">
        <f>IF(I607="","",_xlfn.XLOOKUP(I607,Lists!$C:$C,Lists!$E:$E))</f>
        <v/>
      </c>
      <c r="Q607" s="21" t="str">
        <f t="shared" si="49"/>
        <v/>
      </c>
      <c r="R607" t="str">
        <f t="shared" si="50"/>
        <v/>
      </c>
      <c r="S607" t="str">
        <f>IF(I607="","",_xlfn.XLOOKUP(I607,Lists!$C:$C,Lists!$I:$I))</f>
        <v/>
      </c>
    </row>
    <row r="608" spans="8:8">
      <c r="C608">
        <f>_xlfn.XLOOKUP(B608,Lists!B:B,Lists!A:A,"")</f>
        <v>0.0</v>
      </c>
      <c r="G608" t="str">
        <f t="shared" si="46"/>
        <v/>
      </c>
      <c r="H608" s="20" t="str">
        <f t="shared" si="47"/>
        <v/>
      </c>
      <c r="J608" t="str">
        <f>IF(I608="","",_xlfn.XLOOKUP(I608,Lists!$C:$C,Lists!$D:$D))</f>
        <v/>
      </c>
      <c r="N608" t="str">
        <f t="shared" si="48"/>
        <v/>
      </c>
      <c r="O608" t="str">
        <f>IF(I608="","",_xlfn.XLOOKUP(I608,Lists!$C:$C,Lists!$J:$J))</f>
        <v/>
      </c>
      <c r="P608" t="str">
        <f>IF(I608="","",_xlfn.XLOOKUP(I608,Lists!$C:$C,Lists!$E:$E))</f>
        <v/>
      </c>
      <c r="Q608" s="21" t="str">
        <f t="shared" si="49"/>
        <v/>
      </c>
      <c r="R608" t="str">
        <f t="shared" si="50"/>
        <v/>
      </c>
      <c r="S608" t="str">
        <f>IF(I608="","",_xlfn.XLOOKUP(I608,Lists!$C:$C,Lists!$I:$I))</f>
        <v/>
      </c>
    </row>
    <row r="609" spans="8:8">
      <c r="C609">
        <f>_xlfn.XLOOKUP(B609,Lists!B:B,Lists!A:A,"")</f>
        <v>0.0</v>
      </c>
      <c r="G609" t="str">
        <f t="shared" si="46"/>
        <v/>
      </c>
      <c r="H609" s="20" t="str">
        <f t="shared" si="47"/>
        <v/>
      </c>
      <c r="J609" t="str">
        <f>IF(I609="","",_xlfn.XLOOKUP(I609,Lists!$C:$C,Lists!$D:$D))</f>
        <v/>
      </c>
      <c r="N609" t="str">
        <f t="shared" si="48"/>
        <v/>
      </c>
      <c r="O609" t="str">
        <f>IF(I609="","",_xlfn.XLOOKUP(I609,Lists!$C:$C,Lists!$J:$J))</f>
        <v/>
      </c>
      <c r="P609" t="str">
        <f>IF(I609="","",_xlfn.XLOOKUP(I609,Lists!$C:$C,Lists!$E:$E))</f>
        <v/>
      </c>
      <c r="Q609" s="21" t="str">
        <f t="shared" si="49"/>
        <v/>
      </c>
      <c r="R609" t="str">
        <f t="shared" si="50"/>
        <v/>
      </c>
      <c r="S609" t="str">
        <f>IF(I609="","",_xlfn.XLOOKUP(I609,Lists!$C:$C,Lists!$I:$I))</f>
        <v/>
      </c>
    </row>
    <row r="610" spans="8:8">
      <c r="C610">
        <f>_xlfn.XLOOKUP(B610,Lists!B:B,Lists!A:A,"")</f>
        <v>0.0</v>
      </c>
      <c r="G610" t="str">
        <f t="shared" si="46"/>
        <v/>
      </c>
      <c r="H610" s="20" t="str">
        <f t="shared" si="47"/>
        <v/>
      </c>
      <c r="J610" t="str">
        <f>IF(I610="","",_xlfn.XLOOKUP(I610,Lists!$C:$C,Lists!$D:$D))</f>
        <v/>
      </c>
      <c r="N610" t="str">
        <f t="shared" si="48"/>
        <v/>
      </c>
      <c r="O610" t="str">
        <f>IF(I610="","",_xlfn.XLOOKUP(I610,Lists!$C:$C,Lists!$J:$J))</f>
        <v/>
      </c>
      <c r="P610" t="str">
        <f>IF(I610="","",_xlfn.XLOOKUP(I610,Lists!$C:$C,Lists!$E:$E))</f>
        <v/>
      </c>
      <c r="Q610" s="21" t="str">
        <f t="shared" si="49"/>
        <v/>
      </c>
      <c r="R610" t="str">
        <f t="shared" si="50"/>
        <v/>
      </c>
      <c r="S610" t="str">
        <f>IF(I610="","",_xlfn.XLOOKUP(I610,Lists!$C:$C,Lists!$I:$I))</f>
        <v/>
      </c>
    </row>
    <row r="611" spans="8:8">
      <c r="C611">
        <f>_xlfn.XLOOKUP(B611,Lists!B:B,Lists!A:A,"")</f>
        <v>0.0</v>
      </c>
      <c r="G611" t="str">
        <f t="shared" si="46"/>
        <v/>
      </c>
      <c r="H611" s="20" t="str">
        <f t="shared" si="47"/>
        <v/>
      </c>
      <c r="J611" t="str">
        <f>IF(I611="","",_xlfn.XLOOKUP(I611,Lists!$C:$C,Lists!$D:$D))</f>
        <v/>
      </c>
      <c r="N611" t="str">
        <f t="shared" si="48"/>
        <v/>
      </c>
      <c r="O611" t="str">
        <f>IF(I611="","",_xlfn.XLOOKUP(I611,Lists!$C:$C,Lists!$J:$J))</f>
        <v/>
      </c>
      <c r="P611" t="str">
        <f>IF(I611="","",_xlfn.XLOOKUP(I611,Lists!$C:$C,Lists!$E:$E))</f>
        <v/>
      </c>
      <c r="Q611" s="21" t="str">
        <f t="shared" si="49"/>
        <v/>
      </c>
      <c r="R611" t="str">
        <f t="shared" si="50"/>
        <v/>
      </c>
      <c r="S611" t="str">
        <f>IF(I611="","",_xlfn.XLOOKUP(I611,Lists!$C:$C,Lists!$I:$I))</f>
        <v/>
      </c>
    </row>
    <row r="612" spans="8:8">
      <c r="C612">
        <f>_xlfn.XLOOKUP(B612,Lists!B:B,Lists!A:A,"")</f>
        <v>0.0</v>
      </c>
      <c r="G612" t="str">
        <f t="shared" si="46"/>
        <v/>
      </c>
      <c r="H612" s="20" t="str">
        <f t="shared" si="47"/>
        <v/>
      </c>
      <c r="J612" t="str">
        <f>IF(I612="","",_xlfn.XLOOKUP(I612,Lists!$C:$C,Lists!$D:$D))</f>
        <v/>
      </c>
      <c r="N612" t="str">
        <f t="shared" si="48"/>
        <v/>
      </c>
      <c r="O612" t="str">
        <f>IF(I612="","",_xlfn.XLOOKUP(I612,Lists!$C:$C,Lists!$J:$J))</f>
        <v/>
      </c>
      <c r="P612" t="str">
        <f>IF(I612="","",_xlfn.XLOOKUP(I612,Lists!$C:$C,Lists!$E:$E))</f>
        <v/>
      </c>
      <c r="Q612" s="21" t="str">
        <f t="shared" si="49"/>
        <v/>
      </c>
      <c r="R612" t="str">
        <f t="shared" si="50"/>
        <v/>
      </c>
      <c r="S612" t="str">
        <f>IF(I612="","",_xlfn.XLOOKUP(I612,Lists!$C:$C,Lists!$I:$I))</f>
        <v/>
      </c>
    </row>
    <row r="613" spans="8:8">
      <c r="C613">
        <f>_xlfn.XLOOKUP(B613,Lists!B:B,Lists!A:A,"")</f>
        <v>0.0</v>
      </c>
      <c r="G613" t="str">
        <f t="shared" si="46"/>
        <v/>
      </c>
      <c r="H613" s="20" t="str">
        <f t="shared" si="47"/>
        <v/>
      </c>
      <c r="J613" t="str">
        <f>IF(I613="","",_xlfn.XLOOKUP(I613,Lists!$C:$C,Lists!$D:$D))</f>
        <v/>
      </c>
      <c r="N613" t="str">
        <f t="shared" si="48"/>
        <v/>
      </c>
      <c r="O613" t="str">
        <f>IF(I613="","",_xlfn.XLOOKUP(I613,Lists!$C:$C,Lists!$J:$J))</f>
        <v/>
      </c>
      <c r="P613" t="str">
        <f>IF(I613="","",_xlfn.XLOOKUP(I613,Lists!$C:$C,Lists!$E:$E))</f>
        <v/>
      </c>
      <c r="Q613" s="21" t="str">
        <f t="shared" si="49"/>
        <v/>
      </c>
      <c r="R613" t="str">
        <f t="shared" si="50"/>
        <v/>
      </c>
      <c r="S613" t="str">
        <f>IF(I613="","",_xlfn.XLOOKUP(I613,Lists!$C:$C,Lists!$I:$I))</f>
        <v/>
      </c>
    </row>
    <row r="614" spans="8:8">
      <c r="C614">
        <f>_xlfn.XLOOKUP(B614,Lists!B:B,Lists!A:A,"")</f>
        <v>0.0</v>
      </c>
      <c r="G614" t="str">
        <f t="shared" si="46"/>
        <v/>
      </c>
      <c r="H614" s="20" t="str">
        <f t="shared" si="47"/>
        <v/>
      </c>
      <c r="J614" t="str">
        <f>IF(I614="","",_xlfn.XLOOKUP(I614,Lists!$C:$C,Lists!$D:$D))</f>
        <v/>
      </c>
      <c r="N614" t="str">
        <f t="shared" si="48"/>
        <v/>
      </c>
      <c r="O614" t="str">
        <f>IF(I614="","",_xlfn.XLOOKUP(I614,Lists!$C:$C,Lists!$J:$J))</f>
        <v/>
      </c>
      <c r="P614" t="str">
        <f>IF(I614="","",_xlfn.XLOOKUP(I614,Lists!$C:$C,Lists!$E:$E))</f>
        <v/>
      </c>
      <c r="Q614" s="21" t="str">
        <f t="shared" si="49"/>
        <v/>
      </c>
      <c r="R614" t="str">
        <f t="shared" si="50"/>
        <v/>
      </c>
      <c r="S614" t="str">
        <f>IF(I614="","",_xlfn.XLOOKUP(I614,Lists!$C:$C,Lists!$I:$I))</f>
        <v/>
      </c>
    </row>
    <row r="615" spans="8:8">
      <c r="C615">
        <f>_xlfn.XLOOKUP(B615,Lists!B:B,Lists!A:A,"")</f>
        <v>0.0</v>
      </c>
      <c r="G615" t="str">
        <f t="shared" si="46"/>
        <v/>
      </c>
      <c r="H615" s="20" t="str">
        <f t="shared" si="47"/>
        <v/>
      </c>
      <c r="J615" t="str">
        <f>IF(I615="","",_xlfn.XLOOKUP(I615,Lists!$C:$C,Lists!$D:$D))</f>
        <v/>
      </c>
      <c r="N615" t="str">
        <f t="shared" si="48"/>
        <v/>
      </c>
      <c r="O615" t="str">
        <f>IF(I615="","",_xlfn.XLOOKUP(I615,Lists!$C:$C,Lists!$J:$J))</f>
        <v/>
      </c>
      <c r="P615" t="str">
        <f>IF(I615="","",_xlfn.XLOOKUP(I615,Lists!$C:$C,Lists!$E:$E))</f>
        <v/>
      </c>
      <c r="Q615" s="21" t="str">
        <f t="shared" si="49"/>
        <v/>
      </c>
      <c r="R615" t="str">
        <f t="shared" si="50"/>
        <v/>
      </c>
      <c r="S615" t="str">
        <f>IF(I615="","",_xlfn.XLOOKUP(I615,Lists!$C:$C,Lists!$I:$I))</f>
        <v/>
      </c>
    </row>
    <row r="616" spans="8:8">
      <c r="C616">
        <f>_xlfn.XLOOKUP(B616,Lists!B:B,Lists!A:A,"")</f>
        <v>0.0</v>
      </c>
      <c r="G616" t="str">
        <f t="shared" si="46"/>
        <v/>
      </c>
      <c r="H616" s="20" t="str">
        <f t="shared" si="47"/>
        <v/>
      </c>
      <c r="J616" t="str">
        <f>IF(I616="","",_xlfn.XLOOKUP(I616,Lists!$C:$C,Lists!$D:$D))</f>
        <v/>
      </c>
      <c r="N616" t="str">
        <f t="shared" si="48"/>
        <v/>
      </c>
      <c r="O616" t="str">
        <f>IF(I616="","",_xlfn.XLOOKUP(I616,Lists!$C:$C,Lists!$J:$J))</f>
        <v/>
      </c>
      <c r="P616" t="str">
        <f>IF(I616="","",_xlfn.XLOOKUP(I616,Lists!$C:$C,Lists!$E:$E))</f>
        <v/>
      </c>
      <c r="Q616" s="21" t="str">
        <f t="shared" si="49"/>
        <v/>
      </c>
      <c r="R616" t="str">
        <f t="shared" si="50"/>
        <v/>
      </c>
      <c r="S616" t="str">
        <f>IF(I616="","",_xlfn.XLOOKUP(I616,Lists!$C:$C,Lists!$I:$I))</f>
        <v/>
      </c>
    </row>
    <row r="617" spans="8:8">
      <c r="C617">
        <f>_xlfn.XLOOKUP(B617,Lists!B:B,Lists!A:A,"")</f>
        <v>0.0</v>
      </c>
      <c r="G617" t="str">
        <f t="shared" si="46"/>
        <v/>
      </c>
      <c r="H617" s="20" t="str">
        <f t="shared" si="47"/>
        <v/>
      </c>
      <c r="J617" t="str">
        <f>IF(I617="","",_xlfn.XLOOKUP(I617,Lists!$C:$C,Lists!$D:$D))</f>
        <v/>
      </c>
      <c r="N617" t="str">
        <f t="shared" si="48"/>
        <v/>
      </c>
      <c r="O617" t="str">
        <f>IF(I617="","",_xlfn.XLOOKUP(I617,Lists!$C:$C,Lists!$J:$J))</f>
        <v/>
      </c>
      <c r="P617" t="str">
        <f>IF(I617="","",_xlfn.XLOOKUP(I617,Lists!$C:$C,Lists!$E:$E))</f>
        <v/>
      </c>
      <c r="Q617" s="21" t="str">
        <f t="shared" si="49"/>
        <v/>
      </c>
      <c r="R617" t="str">
        <f t="shared" si="50"/>
        <v/>
      </c>
      <c r="S617" t="str">
        <f>IF(I617="","",_xlfn.XLOOKUP(I617,Lists!$C:$C,Lists!$I:$I))</f>
        <v/>
      </c>
    </row>
    <row r="618" spans="8:8">
      <c r="C618">
        <f>_xlfn.XLOOKUP(B618,Lists!B:B,Lists!A:A,"")</f>
        <v>0.0</v>
      </c>
      <c r="G618" t="str">
        <f t="shared" si="46"/>
        <v/>
      </c>
      <c r="H618" s="20" t="str">
        <f t="shared" si="47"/>
        <v/>
      </c>
      <c r="J618" t="str">
        <f>IF(I618="","",_xlfn.XLOOKUP(I618,Lists!$C:$C,Lists!$D:$D))</f>
        <v/>
      </c>
      <c r="N618" t="str">
        <f t="shared" si="48"/>
        <v/>
      </c>
      <c r="O618" t="str">
        <f>IF(I618="","",_xlfn.XLOOKUP(I618,Lists!$C:$C,Lists!$J:$J))</f>
        <v/>
      </c>
      <c r="P618" t="str">
        <f>IF(I618="","",_xlfn.XLOOKUP(I618,Lists!$C:$C,Lists!$E:$E))</f>
        <v/>
      </c>
      <c r="Q618" s="21" t="str">
        <f t="shared" si="49"/>
        <v/>
      </c>
      <c r="R618" t="str">
        <f t="shared" si="50"/>
        <v/>
      </c>
      <c r="S618" t="str">
        <f>IF(I618="","",_xlfn.XLOOKUP(I618,Lists!$C:$C,Lists!$I:$I))</f>
        <v/>
      </c>
    </row>
    <row r="619" spans="8:8">
      <c r="C619">
        <f>_xlfn.XLOOKUP(B619,Lists!B:B,Lists!A:A,"")</f>
        <v>0.0</v>
      </c>
      <c r="G619" t="str">
        <f t="shared" si="46"/>
        <v/>
      </c>
      <c r="H619" s="20" t="str">
        <f t="shared" si="47"/>
        <v/>
      </c>
      <c r="J619" t="str">
        <f>IF(I619="","",_xlfn.XLOOKUP(I619,Lists!$C:$C,Lists!$D:$D))</f>
        <v/>
      </c>
      <c r="N619" t="str">
        <f t="shared" si="48"/>
        <v/>
      </c>
      <c r="O619" t="str">
        <f>IF(I619="","",_xlfn.XLOOKUP(I619,Lists!$C:$C,Lists!$J:$J))</f>
        <v/>
      </c>
      <c r="P619" t="str">
        <f>IF(I619="","",_xlfn.XLOOKUP(I619,Lists!$C:$C,Lists!$E:$E))</f>
        <v/>
      </c>
      <c r="Q619" s="21" t="str">
        <f t="shared" si="49"/>
        <v/>
      </c>
      <c r="R619" t="str">
        <f t="shared" si="50"/>
        <v/>
      </c>
      <c r="S619" t="str">
        <f>IF(I619="","",_xlfn.XLOOKUP(I619,Lists!$C:$C,Lists!$I:$I))</f>
        <v/>
      </c>
    </row>
    <row r="620" spans="8:8">
      <c r="C620">
        <f>_xlfn.XLOOKUP(B620,Lists!B:B,Lists!A:A,"")</f>
        <v>0.0</v>
      </c>
      <c r="G620" t="str">
        <f t="shared" si="46"/>
        <v/>
      </c>
      <c r="H620" s="20" t="str">
        <f t="shared" si="47"/>
        <v/>
      </c>
      <c r="J620" t="str">
        <f>IF(I620="","",_xlfn.XLOOKUP(I620,Lists!$C:$C,Lists!$D:$D))</f>
        <v/>
      </c>
      <c r="N620" t="str">
        <f t="shared" si="48"/>
        <v/>
      </c>
      <c r="O620" t="str">
        <f>IF(I620="","",_xlfn.XLOOKUP(I620,Lists!$C:$C,Lists!$J:$J))</f>
        <v/>
      </c>
      <c r="P620" t="str">
        <f>IF(I620="","",_xlfn.XLOOKUP(I620,Lists!$C:$C,Lists!$E:$E))</f>
        <v/>
      </c>
      <c r="Q620" s="21" t="str">
        <f t="shared" si="49"/>
        <v/>
      </c>
      <c r="R620" t="str">
        <f t="shared" si="50"/>
        <v/>
      </c>
      <c r="S620" t="str">
        <f>IF(I620="","",_xlfn.XLOOKUP(I620,Lists!$C:$C,Lists!$I:$I))</f>
        <v/>
      </c>
    </row>
    <row r="621" spans="8:8">
      <c r="C621">
        <f>_xlfn.XLOOKUP(B621,Lists!B:B,Lists!A:A,"")</f>
        <v>0.0</v>
      </c>
      <c r="G621" t="str">
        <f t="shared" si="46"/>
        <v/>
      </c>
      <c r="H621" s="20" t="str">
        <f t="shared" si="47"/>
        <v/>
      </c>
      <c r="J621" t="str">
        <f>IF(I621="","",_xlfn.XLOOKUP(I621,Lists!$C:$C,Lists!$D:$D))</f>
        <v/>
      </c>
      <c r="N621" t="str">
        <f t="shared" si="48"/>
        <v/>
      </c>
      <c r="O621" t="str">
        <f>IF(I621="","",_xlfn.XLOOKUP(I621,Lists!$C:$C,Lists!$J:$J))</f>
        <v/>
      </c>
      <c r="P621" t="str">
        <f>IF(I621="","",_xlfn.XLOOKUP(I621,Lists!$C:$C,Lists!$E:$E))</f>
        <v/>
      </c>
      <c r="Q621" s="21" t="str">
        <f t="shared" si="49"/>
        <v/>
      </c>
      <c r="R621" t="str">
        <f t="shared" si="50"/>
        <v/>
      </c>
      <c r="S621" t="str">
        <f>IF(I621="","",_xlfn.XLOOKUP(I621,Lists!$C:$C,Lists!$I:$I))</f>
        <v/>
      </c>
    </row>
    <row r="622" spans="8:8">
      <c r="C622">
        <f>_xlfn.XLOOKUP(B622,Lists!B:B,Lists!A:A,"")</f>
        <v>0.0</v>
      </c>
      <c r="G622" t="str">
        <f t="shared" si="46"/>
        <v/>
      </c>
      <c r="H622" s="20" t="str">
        <f t="shared" si="47"/>
        <v/>
      </c>
      <c r="J622" t="str">
        <f>IF(I622="","",_xlfn.XLOOKUP(I622,Lists!$C:$C,Lists!$D:$D))</f>
        <v/>
      </c>
      <c r="N622" t="str">
        <f t="shared" si="48"/>
        <v/>
      </c>
      <c r="O622" t="str">
        <f>IF(I622="","",_xlfn.XLOOKUP(I622,Lists!$C:$C,Lists!$J:$J))</f>
        <v/>
      </c>
      <c r="P622" t="str">
        <f>IF(I622="","",_xlfn.XLOOKUP(I622,Lists!$C:$C,Lists!$E:$E))</f>
        <v/>
      </c>
      <c r="Q622" s="21" t="str">
        <f t="shared" si="49"/>
        <v/>
      </c>
      <c r="R622" t="str">
        <f t="shared" si="50"/>
        <v/>
      </c>
      <c r="S622" t="str">
        <f>IF(I622="","",_xlfn.XLOOKUP(I622,Lists!$C:$C,Lists!$I:$I))</f>
        <v/>
      </c>
    </row>
    <row r="623" spans="8:8">
      <c r="C623">
        <f>_xlfn.XLOOKUP(B623,Lists!B:B,Lists!A:A,"")</f>
        <v>0.0</v>
      </c>
      <c r="G623" t="str">
        <f t="shared" si="46"/>
        <v/>
      </c>
      <c r="H623" s="20" t="str">
        <f t="shared" si="47"/>
        <v/>
      </c>
      <c r="J623" t="str">
        <f>IF(I623="","",_xlfn.XLOOKUP(I623,Lists!$C:$C,Lists!$D:$D))</f>
        <v/>
      </c>
      <c r="N623" t="str">
        <f t="shared" si="48"/>
        <v/>
      </c>
      <c r="O623" t="str">
        <f>IF(I623="","",_xlfn.XLOOKUP(I623,Lists!$C:$C,Lists!$J:$J))</f>
        <v/>
      </c>
      <c r="P623" t="str">
        <f>IF(I623="","",_xlfn.XLOOKUP(I623,Lists!$C:$C,Lists!$E:$E))</f>
        <v/>
      </c>
      <c r="Q623" s="21" t="str">
        <f t="shared" si="49"/>
        <v/>
      </c>
      <c r="R623" t="str">
        <f t="shared" si="50"/>
        <v/>
      </c>
      <c r="S623" t="str">
        <f>IF(I623="","",_xlfn.XLOOKUP(I623,Lists!$C:$C,Lists!$I:$I))</f>
        <v/>
      </c>
    </row>
    <row r="624" spans="8:8">
      <c r="C624">
        <f>_xlfn.XLOOKUP(B624,Lists!B:B,Lists!A:A,"")</f>
        <v>0.0</v>
      </c>
      <c r="G624" t="str">
        <f t="shared" si="46"/>
        <v/>
      </c>
      <c r="H624" s="20" t="str">
        <f t="shared" si="47"/>
        <v/>
      </c>
      <c r="J624" t="str">
        <f>IF(I624="","",_xlfn.XLOOKUP(I624,Lists!$C:$C,Lists!$D:$D))</f>
        <v/>
      </c>
      <c r="N624" t="str">
        <f t="shared" si="48"/>
        <v/>
      </c>
      <c r="O624" t="str">
        <f>IF(I624="","",_xlfn.XLOOKUP(I624,Lists!$C:$C,Lists!$J:$J))</f>
        <v/>
      </c>
      <c r="P624" t="str">
        <f>IF(I624="","",_xlfn.XLOOKUP(I624,Lists!$C:$C,Lists!$E:$E))</f>
        <v/>
      </c>
      <c r="Q624" s="21" t="str">
        <f t="shared" si="49"/>
        <v/>
      </c>
      <c r="R624" t="str">
        <f t="shared" si="50"/>
        <v/>
      </c>
      <c r="S624" t="str">
        <f>IF(I624="","",_xlfn.XLOOKUP(I624,Lists!$C:$C,Lists!$I:$I))</f>
        <v/>
      </c>
    </row>
    <row r="625" spans="8:8">
      <c r="C625">
        <f>_xlfn.XLOOKUP(B625,Lists!B:B,Lists!A:A,"")</f>
        <v>0.0</v>
      </c>
      <c r="G625" t="str">
        <f t="shared" si="46"/>
        <v/>
      </c>
      <c r="H625" s="20" t="str">
        <f t="shared" si="47"/>
        <v/>
      </c>
      <c r="J625" t="str">
        <f>IF(I625="","",_xlfn.XLOOKUP(I625,Lists!$C:$C,Lists!$D:$D))</f>
        <v/>
      </c>
      <c r="N625" t="str">
        <f t="shared" si="48"/>
        <v/>
      </c>
      <c r="O625" t="str">
        <f>IF(I625="","",_xlfn.XLOOKUP(I625,Lists!$C:$C,Lists!$J:$J))</f>
        <v/>
      </c>
      <c r="P625" t="str">
        <f>IF(I625="","",_xlfn.XLOOKUP(I625,Lists!$C:$C,Lists!$E:$E))</f>
        <v/>
      </c>
      <c r="Q625" s="21" t="str">
        <f t="shared" si="49"/>
        <v/>
      </c>
      <c r="R625" t="str">
        <f t="shared" si="50"/>
        <v/>
      </c>
      <c r="S625" t="str">
        <f>IF(I625="","",_xlfn.XLOOKUP(I625,Lists!$C:$C,Lists!$I:$I))</f>
        <v/>
      </c>
    </row>
    <row r="626" spans="8:8">
      <c r="C626">
        <f>_xlfn.XLOOKUP(B626,Lists!B:B,Lists!A:A,"")</f>
        <v>0.0</v>
      </c>
      <c r="G626" t="str">
        <f t="shared" si="46"/>
        <v/>
      </c>
      <c r="H626" s="20" t="str">
        <f t="shared" si="47"/>
        <v/>
      </c>
      <c r="J626" t="str">
        <f>IF(I626="","",_xlfn.XLOOKUP(I626,Lists!$C:$C,Lists!$D:$D))</f>
        <v/>
      </c>
      <c r="N626" t="str">
        <f t="shared" si="48"/>
        <v/>
      </c>
      <c r="O626" t="str">
        <f>IF(I626="","",_xlfn.XLOOKUP(I626,Lists!$C:$C,Lists!$J:$J))</f>
        <v/>
      </c>
      <c r="P626" t="str">
        <f>IF(I626="","",_xlfn.XLOOKUP(I626,Lists!$C:$C,Lists!$E:$E))</f>
        <v/>
      </c>
      <c r="Q626" s="21" t="str">
        <f t="shared" si="49"/>
        <v/>
      </c>
      <c r="R626" t="str">
        <f t="shared" si="50"/>
        <v/>
      </c>
      <c r="S626" t="str">
        <f>IF(I626="","",_xlfn.XLOOKUP(I626,Lists!$C:$C,Lists!$I:$I))</f>
        <v/>
      </c>
    </row>
    <row r="627" spans="8:8">
      <c r="C627">
        <f>_xlfn.XLOOKUP(B627,Lists!B:B,Lists!A:A,"")</f>
        <v>0.0</v>
      </c>
      <c r="G627" t="str">
        <f t="shared" si="46"/>
        <v/>
      </c>
      <c r="H627" s="20" t="str">
        <f t="shared" si="47"/>
        <v/>
      </c>
      <c r="J627" t="str">
        <f>IF(I627="","",_xlfn.XLOOKUP(I627,Lists!$C:$C,Lists!$D:$D))</f>
        <v/>
      </c>
      <c r="N627" t="str">
        <f t="shared" si="48"/>
        <v/>
      </c>
      <c r="O627" t="str">
        <f>IF(I627="","",_xlfn.XLOOKUP(I627,Lists!$C:$C,Lists!$J:$J))</f>
        <v/>
      </c>
      <c r="P627" t="str">
        <f>IF(I627="","",_xlfn.XLOOKUP(I627,Lists!$C:$C,Lists!$E:$E))</f>
        <v/>
      </c>
      <c r="Q627" s="21" t="str">
        <f t="shared" si="49"/>
        <v/>
      </c>
      <c r="R627" t="str">
        <f t="shared" si="50"/>
        <v/>
      </c>
      <c r="S627" t="str">
        <f>IF(I627="","",_xlfn.XLOOKUP(I627,Lists!$C:$C,Lists!$I:$I))</f>
        <v/>
      </c>
    </row>
    <row r="628" spans="8:8">
      <c r="C628">
        <f>_xlfn.XLOOKUP(B628,Lists!B:B,Lists!A:A,"")</f>
        <v>0.0</v>
      </c>
      <c r="G628" t="str">
        <f t="shared" si="46"/>
        <v/>
      </c>
      <c r="H628" s="20" t="str">
        <f t="shared" si="47"/>
        <v/>
      </c>
      <c r="J628" t="str">
        <f>IF(I628="","",_xlfn.XLOOKUP(I628,Lists!$C:$C,Lists!$D:$D))</f>
        <v/>
      </c>
      <c r="N628" t="str">
        <f t="shared" si="48"/>
        <v/>
      </c>
      <c r="O628" t="str">
        <f>IF(I628="","",_xlfn.XLOOKUP(I628,Lists!$C:$C,Lists!$J:$J))</f>
        <v/>
      </c>
      <c r="P628" t="str">
        <f>IF(I628="","",_xlfn.XLOOKUP(I628,Lists!$C:$C,Lists!$E:$E))</f>
        <v/>
      </c>
      <c r="Q628" s="21" t="str">
        <f t="shared" si="49"/>
        <v/>
      </c>
      <c r="R628" t="str">
        <f t="shared" si="50"/>
        <v/>
      </c>
      <c r="S628" t="str">
        <f>IF(I628="","",_xlfn.XLOOKUP(I628,Lists!$C:$C,Lists!$I:$I))</f>
        <v/>
      </c>
    </row>
    <row r="629" spans="8:8">
      <c r="C629">
        <f>_xlfn.XLOOKUP(B629,Lists!B:B,Lists!A:A,"")</f>
        <v>0.0</v>
      </c>
      <c r="G629" t="str">
        <f t="shared" si="46"/>
        <v/>
      </c>
      <c r="H629" s="20" t="str">
        <f t="shared" si="47"/>
        <v/>
      </c>
      <c r="J629" t="str">
        <f>IF(I629="","",_xlfn.XLOOKUP(I629,Lists!$C:$C,Lists!$D:$D))</f>
        <v/>
      </c>
      <c r="N629" t="str">
        <f t="shared" si="48"/>
        <v/>
      </c>
      <c r="O629" t="str">
        <f>IF(I629="","",_xlfn.XLOOKUP(I629,Lists!$C:$C,Lists!$J:$J))</f>
        <v/>
      </c>
      <c r="P629" t="str">
        <f>IF(I629="","",_xlfn.XLOOKUP(I629,Lists!$C:$C,Lists!$E:$E))</f>
        <v/>
      </c>
      <c r="Q629" s="21" t="str">
        <f t="shared" si="49"/>
        <v/>
      </c>
      <c r="R629" t="str">
        <f t="shared" si="50"/>
        <v/>
      </c>
      <c r="S629" t="str">
        <f>IF(I629="","",_xlfn.XLOOKUP(I629,Lists!$C:$C,Lists!$I:$I))</f>
        <v/>
      </c>
    </row>
    <row r="630" spans="8:8">
      <c r="C630">
        <f>_xlfn.XLOOKUP(B630,Lists!B:B,Lists!A:A,"")</f>
        <v>0.0</v>
      </c>
      <c r="G630" t="str">
        <f t="shared" si="46"/>
        <v/>
      </c>
      <c r="H630" s="20" t="str">
        <f t="shared" si="47"/>
        <v/>
      </c>
      <c r="J630" t="str">
        <f>IF(I630="","",_xlfn.XLOOKUP(I630,Lists!$C:$C,Lists!$D:$D))</f>
        <v/>
      </c>
      <c r="N630" t="str">
        <f t="shared" si="48"/>
        <v/>
      </c>
      <c r="O630" t="str">
        <f>IF(I630="","",_xlfn.XLOOKUP(I630,Lists!$C:$C,Lists!$J:$J))</f>
        <v/>
      </c>
      <c r="P630" t="str">
        <f>IF(I630="","",_xlfn.XLOOKUP(I630,Lists!$C:$C,Lists!$E:$E))</f>
        <v/>
      </c>
      <c r="Q630" s="21" t="str">
        <f t="shared" si="49"/>
        <v/>
      </c>
      <c r="R630" t="str">
        <f t="shared" si="50"/>
        <v/>
      </c>
      <c r="S630" t="str">
        <f>IF(I630="","",_xlfn.XLOOKUP(I630,Lists!$C:$C,Lists!$I:$I))</f>
        <v/>
      </c>
    </row>
    <row r="631" spans="8:8">
      <c r="C631">
        <f>_xlfn.XLOOKUP(B631,Lists!B:B,Lists!A:A,"")</f>
        <v>0.0</v>
      </c>
      <c r="G631" t="str">
        <f t="shared" si="46"/>
        <v/>
      </c>
      <c r="H631" s="20" t="str">
        <f t="shared" si="47"/>
        <v/>
      </c>
      <c r="J631" t="str">
        <f>IF(I631="","",_xlfn.XLOOKUP(I631,Lists!$C:$C,Lists!$D:$D))</f>
        <v/>
      </c>
      <c r="N631" t="str">
        <f t="shared" si="48"/>
        <v/>
      </c>
      <c r="O631" t="str">
        <f>IF(I631="","",_xlfn.XLOOKUP(I631,Lists!$C:$C,Lists!$J:$J))</f>
        <v/>
      </c>
      <c r="P631" t="str">
        <f>IF(I631="","",_xlfn.XLOOKUP(I631,Lists!$C:$C,Lists!$E:$E))</f>
        <v/>
      </c>
      <c r="Q631" s="21" t="str">
        <f t="shared" si="49"/>
        <v/>
      </c>
      <c r="R631" t="str">
        <f t="shared" si="50"/>
        <v/>
      </c>
      <c r="S631" t="str">
        <f>IF(I631="","",_xlfn.XLOOKUP(I631,Lists!$C:$C,Lists!$I:$I))</f>
        <v/>
      </c>
    </row>
    <row r="632" spans="8:8">
      <c r="C632">
        <f>_xlfn.XLOOKUP(B632,Lists!B:B,Lists!A:A,"")</f>
        <v>0.0</v>
      </c>
      <c r="G632" t="str">
        <f t="shared" si="46"/>
        <v/>
      </c>
      <c r="H632" s="20" t="str">
        <f t="shared" si="47"/>
        <v/>
      </c>
      <c r="J632" t="str">
        <f>IF(I632="","",_xlfn.XLOOKUP(I632,Lists!$C:$C,Lists!$D:$D))</f>
        <v/>
      </c>
      <c r="N632" t="str">
        <f t="shared" si="48"/>
        <v/>
      </c>
      <c r="O632" t="str">
        <f>IF(I632="","",_xlfn.XLOOKUP(I632,Lists!$C:$C,Lists!$J:$J))</f>
        <v/>
      </c>
      <c r="P632" t="str">
        <f>IF(I632="","",_xlfn.XLOOKUP(I632,Lists!$C:$C,Lists!$E:$E))</f>
        <v/>
      </c>
      <c r="Q632" s="21" t="str">
        <f t="shared" si="49"/>
        <v/>
      </c>
      <c r="R632" t="str">
        <f t="shared" si="50"/>
        <v/>
      </c>
      <c r="S632" t="str">
        <f>IF(I632="","",_xlfn.XLOOKUP(I632,Lists!$C:$C,Lists!$I:$I))</f>
        <v/>
      </c>
    </row>
    <row r="633" spans="8:8">
      <c r="C633">
        <f>_xlfn.XLOOKUP(B633,Lists!B:B,Lists!A:A,"")</f>
        <v>0.0</v>
      </c>
      <c r="G633" t="str">
        <f t="shared" si="46"/>
        <v/>
      </c>
      <c r="H633" s="20" t="str">
        <f t="shared" si="47"/>
        <v/>
      </c>
      <c r="J633" t="str">
        <f>IF(I633="","",_xlfn.XLOOKUP(I633,Lists!$C:$C,Lists!$D:$D))</f>
        <v/>
      </c>
      <c r="N633" t="str">
        <f t="shared" si="48"/>
        <v/>
      </c>
      <c r="O633" t="str">
        <f>IF(I633="","",_xlfn.XLOOKUP(I633,Lists!$C:$C,Lists!$J:$J))</f>
        <v/>
      </c>
      <c r="P633" t="str">
        <f>IF(I633="","",_xlfn.XLOOKUP(I633,Lists!$C:$C,Lists!$E:$E))</f>
        <v/>
      </c>
      <c r="Q633" s="21" t="str">
        <f t="shared" si="49"/>
        <v/>
      </c>
      <c r="R633" t="str">
        <f t="shared" si="50"/>
        <v/>
      </c>
      <c r="S633" t="str">
        <f>IF(I633="","",_xlfn.XLOOKUP(I633,Lists!$C:$C,Lists!$I:$I))</f>
        <v/>
      </c>
    </row>
    <row r="634" spans="8:8">
      <c r="C634">
        <f>_xlfn.XLOOKUP(B634,Lists!B:B,Lists!A:A,"")</f>
        <v>0.0</v>
      </c>
      <c r="G634" t="str">
        <f t="shared" si="46"/>
        <v/>
      </c>
      <c r="H634" s="20" t="str">
        <f t="shared" si="47"/>
        <v/>
      </c>
      <c r="J634" t="str">
        <f>IF(I634="","",_xlfn.XLOOKUP(I634,Lists!$C:$C,Lists!$D:$D))</f>
        <v/>
      </c>
      <c r="N634" t="str">
        <f t="shared" si="48"/>
        <v/>
      </c>
      <c r="O634" t="str">
        <f>IF(I634="","",_xlfn.XLOOKUP(I634,Lists!$C:$C,Lists!$J:$J))</f>
        <v/>
      </c>
      <c r="P634" t="str">
        <f>IF(I634="","",_xlfn.XLOOKUP(I634,Lists!$C:$C,Lists!$E:$E))</f>
        <v/>
      </c>
      <c r="Q634" s="21" t="str">
        <f t="shared" si="49"/>
        <v/>
      </c>
      <c r="R634" t="str">
        <f t="shared" si="50"/>
        <v/>
      </c>
      <c r="S634" t="str">
        <f>IF(I634="","",_xlfn.XLOOKUP(I634,Lists!$C:$C,Lists!$I:$I))</f>
        <v/>
      </c>
    </row>
    <row r="635" spans="8:8">
      <c r="C635">
        <f>_xlfn.XLOOKUP(B635,Lists!B:B,Lists!A:A,"")</f>
        <v>0.0</v>
      </c>
      <c r="G635" t="str">
        <f t="shared" si="46"/>
        <v/>
      </c>
      <c r="H635" s="20" t="str">
        <f t="shared" si="47"/>
        <v/>
      </c>
      <c r="J635" t="str">
        <f>IF(I635="","",_xlfn.XLOOKUP(I635,Lists!$C:$C,Lists!$D:$D))</f>
        <v/>
      </c>
      <c r="N635" t="str">
        <f t="shared" si="48"/>
        <v/>
      </c>
      <c r="O635" t="str">
        <f>IF(I635="","",_xlfn.XLOOKUP(I635,Lists!$C:$C,Lists!$J:$J))</f>
        <v/>
      </c>
      <c r="P635" t="str">
        <f>IF(I635="","",_xlfn.XLOOKUP(I635,Lists!$C:$C,Lists!$E:$E))</f>
        <v/>
      </c>
      <c r="Q635" s="21" t="str">
        <f t="shared" si="49"/>
        <v/>
      </c>
      <c r="R635" t="str">
        <f t="shared" si="50"/>
        <v/>
      </c>
      <c r="S635" t="str">
        <f>IF(I635="","",_xlfn.XLOOKUP(I635,Lists!$C:$C,Lists!$I:$I))</f>
        <v/>
      </c>
    </row>
    <row r="636" spans="8:8">
      <c r="C636">
        <f>_xlfn.XLOOKUP(B636,Lists!B:B,Lists!A:A,"")</f>
        <v>0.0</v>
      </c>
      <c r="G636" t="str">
        <f t="shared" si="46"/>
        <v/>
      </c>
      <c r="H636" s="20" t="str">
        <f t="shared" si="47"/>
        <v/>
      </c>
      <c r="J636" t="str">
        <f>IF(I636="","",_xlfn.XLOOKUP(I636,Lists!$C:$C,Lists!$D:$D))</f>
        <v/>
      </c>
      <c r="N636" t="str">
        <f t="shared" si="48"/>
        <v/>
      </c>
      <c r="O636" t="str">
        <f>IF(I636="","",_xlfn.XLOOKUP(I636,Lists!$C:$C,Lists!$J:$J))</f>
        <v/>
      </c>
      <c r="P636" t="str">
        <f>IF(I636="","",_xlfn.XLOOKUP(I636,Lists!$C:$C,Lists!$E:$E))</f>
        <v/>
      </c>
      <c r="Q636" s="21" t="str">
        <f t="shared" si="49"/>
        <v/>
      </c>
      <c r="R636" t="str">
        <f t="shared" si="50"/>
        <v/>
      </c>
      <c r="S636" t="str">
        <f>IF(I636="","",_xlfn.XLOOKUP(I636,Lists!$C:$C,Lists!$I:$I))</f>
        <v/>
      </c>
    </row>
    <row r="637" spans="8:8">
      <c r="C637">
        <f>_xlfn.XLOOKUP(B637,Lists!B:B,Lists!A:A,"")</f>
        <v>0.0</v>
      </c>
      <c r="G637" t="str">
        <f t="shared" si="46"/>
        <v/>
      </c>
      <c r="H637" s="20" t="str">
        <f t="shared" si="47"/>
        <v/>
      </c>
      <c r="J637" t="str">
        <f>IF(I637="","",_xlfn.XLOOKUP(I637,Lists!$C:$C,Lists!$D:$D))</f>
        <v/>
      </c>
      <c r="N637" t="str">
        <f t="shared" si="48"/>
        <v/>
      </c>
      <c r="O637" t="str">
        <f>IF(I637="","",_xlfn.XLOOKUP(I637,Lists!$C:$C,Lists!$J:$J))</f>
        <v/>
      </c>
      <c r="P637" t="str">
        <f>IF(I637="","",_xlfn.XLOOKUP(I637,Lists!$C:$C,Lists!$E:$E))</f>
        <v/>
      </c>
      <c r="Q637" s="21" t="str">
        <f t="shared" si="49"/>
        <v/>
      </c>
      <c r="R637" t="str">
        <f t="shared" si="50"/>
        <v/>
      </c>
      <c r="S637" t="str">
        <f>IF(I637="","",_xlfn.XLOOKUP(I637,Lists!$C:$C,Lists!$I:$I))</f>
        <v/>
      </c>
    </row>
    <row r="638" spans="8:8">
      <c r="C638">
        <f>_xlfn.XLOOKUP(B638,Lists!B:B,Lists!A:A,"")</f>
        <v>0.0</v>
      </c>
      <c r="G638" t="str">
        <f t="shared" si="46"/>
        <v/>
      </c>
      <c r="H638" s="20" t="str">
        <f t="shared" si="47"/>
        <v/>
      </c>
      <c r="J638" t="str">
        <f>IF(I638="","",_xlfn.XLOOKUP(I638,Lists!$C:$C,Lists!$D:$D))</f>
        <v/>
      </c>
      <c r="N638" t="str">
        <f t="shared" si="48"/>
        <v/>
      </c>
      <c r="O638" t="str">
        <f>IF(I638="","",_xlfn.XLOOKUP(I638,Lists!$C:$C,Lists!$J:$J))</f>
        <v/>
      </c>
      <c r="P638" t="str">
        <f>IF(I638="","",_xlfn.XLOOKUP(I638,Lists!$C:$C,Lists!$E:$E))</f>
        <v/>
      </c>
      <c r="Q638" s="21" t="str">
        <f t="shared" si="49"/>
        <v/>
      </c>
      <c r="R638" t="str">
        <f t="shared" si="50"/>
        <v/>
      </c>
      <c r="S638" t="str">
        <f>IF(I638="","",_xlfn.XLOOKUP(I638,Lists!$C:$C,Lists!$I:$I))</f>
        <v/>
      </c>
    </row>
    <row r="639" spans="8:8">
      <c r="C639">
        <f>_xlfn.XLOOKUP(B639,Lists!B:B,Lists!A:A,"")</f>
        <v>0.0</v>
      </c>
      <c r="G639" t="str">
        <f t="shared" si="46"/>
        <v/>
      </c>
      <c r="H639" s="20" t="str">
        <f t="shared" si="47"/>
        <v/>
      </c>
      <c r="J639" t="str">
        <f>IF(I639="","",_xlfn.XLOOKUP(I639,Lists!$C:$C,Lists!$D:$D))</f>
        <v/>
      </c>
      <c r="N639" t="str">
        <f t="shared" si="48"/>
        <v/>
      </c>
      <c r="O639" t="str">
        <f>IF(I639="","",_xlfn.XLOOKUP(I639,Lists!$C:$C,Lists!$J:$J))</f>
        <v/>
      </c>
      <c r="P639" t="str">
        <f>IF(I639="","",_xlfn.XLOOKUP(I639,Lists!$C:$C,Lists!$E:$E))</f>
        <v/>
      </c>
      <c r="Q639" s="21" t="str">
        <f t="shared" si="49"/>
        <v/>
      </c>
      <c r="R639" t="str">
        <f t="shared" si="50"/>
        <v/>
      </c>
      <c r="S639" t="str">
        <f>IF(I639="","",_xlfn.XLOOKUP(I639,Lists!$C:$C,Lists!$I:$I))</f>
        <v/>
      </c>
    </row>
    <row r="640" spans="8:8">
      <c r="C640">
        <f>_xlfn.XLOOKUP(B640,Lists!B:B,Lists!A:A,"")</f>
        <v>0.0</v>
      </c>
      <c r="G640" t="str">
        <f t="shared" si="46"/>
        <v/>
      </c>
      <c r="H640" s="20" t="str">
        <f t="shared" si="47"/>
        <v/>
      </c>
      <c r="J640" t="str">
        <f>IF(I640="","",_xlfn.XLOOKUP(I640,Lists!$C:$C,Lists!$D:$D))</f>
        <v/>
      </c>
      <c r="N640" t="str">
        <f t="shared" si="48"/>
        <v/>
      </c>
      <c r="O640" t="str">
        <f>IF(I640="","",_xlfn.XLOOKUP(I640,Lists!$C:$C,Lists!$J:$J))</f>
        <v/>
      </c>
      <c r="P640" t="str">
        <f>IF(I640="","",_xlfn.XLOOKUP(I640,Lists!$C:$C,Lists!$E:$E))</f>
        <v/>
      </c>
      <c r="Q640" s="21" t="str">
        <f t="shared" si="49"/>
        <v/>
      </c>
      <c r="R640" t="str">
        <f t="shared" si="50"/>
        <v/>
      </c>
      <c r="S640" t="str">
        <f>IF(I640="","",_xlfn.XLOOKUP(I640,Lists!$C:$C,Lists!$I:$I))</f>
        <v/>
      </c>
    </row>
    <row r="641" spans="8:8">
      <c r="C641">
        <f>_xlfn.XLOOKUP(B641,Lists!B:B,Lists!A:A,"")</f>
        <v>0.0</v>
      </c>
      <c r="G641" t="str">
        <f t="shared" si="46"/>
        <v/>
      </c>
      <c r="H641" s="20" t="str">
        <f t="shared" si="47"/>
        <v/>
      </c>
      <c r="J641" t="str">
        <f>IF(I641="","",_xlfn.XLOOKUP(I641,Lists!$C:$C,Lists!$D:$D))</f>
        <v/>
      </c>
      <c r="N641" t="str">
        <f t="shared" si="48"/>
        <v/>
      </c>
      <c r="O641" t="str">
        <f>IF(I641="","",_xlfn.XLOOKUP(I641,Lists!$C:$C,Lists!$J:$J))</f>
        <v/>
      </c>
      <c r="P641" t="str">
        <f>IF(I641="","",_xlfn.XLOOKUP(I641,Lists!$C:$C,Lists!$E:$E))</f>
        <v/>
      </c>
      <c r="Q641" s="21" t="str">
        <f t="shared" si="49"/>
        <v/>
      </c>
      <c r="R641" t="str">
        <f t="shared" si="50"/>
        <v/>
      </c>
      <c r="S641" t="str">
        <f>IF(I641="","",_xlfn.XLOOKUP(I641,Lists!$C:$C,Lists!$I:$I))</f>
        <v/>
      </c>
    </row>
    <row r="642" spans="8:8">
      <c r="C642">
        <f>_xlfn.XLOOKUP(B642,Lists!B:B,Lists!A:A,"")</f>
        <v>0.0</v>
      </c>
      <c r="G642" t="str">
        <f t="shared" si="46"/>
        <v/>
      </c>
      <c r="H642" s="20" t="str">
        <f t="shared" si="47"/>
        <v/>
      </c>
      <c r="J642" t="str">
        <f>IF(I642="","",_xlfn.XLOOKUP(I642,Lists!$C:$C,Lists!$D:$D))</f>
        <v/>
      </c>
      <c r="N642" t="str">
        <f t="shared" si="48"/>
        <v/>
      </c>
      <c r="O642" t="str">
        <f>IF(I642="","",_xlfn.XLOOKUP(I642,Lists!$C:$C,Lists!$J:$J))</f>
        <v/>
      </c>
      <c r="P642" t="str">
        <f>IF(I642="","",_xlfn.XLOOKUP(I642,Lists!$C:$C,Lists!$E:$E))</f>
        <v/>
      </c>
      <c r="Q642" s="21" t="str">
        <f t="shared" si="49"/>
        <v/>
      </c>
      <c r="R642" t="str">
        <f t="shared" si="50"/>
        <v/>
      </c>
      <c r="S642" t="str">
        <f>IF(I642="","",_xlfn.XLOOKUP(I642,Lists!$C:$C,Lists!$I:$I))</f>
        <v/>
      </c>
    </row>
    <row r="643" spans="8:8">
      <c r="C643">
        <f>_xlfn.XLOOKUP(B643,Lists!B:B,Lists!A:A,"")</f>
        <v>0.0</v>
      </c>
      <c r="G643" t="str">
        <f t="shared" si="46"/>
        <v/>
      </c>
      <c r="H643" s="20" t="str">
        <f t="shared" si="47"/>
        <v/>
      </c>
      <c r="J643" t="str">
        <f>IF(I643="","",_xlfn.XLOOKUP(I643,Lists!$C:$C,Lists!$D:$D))</f>
        <v/>
      </c>
      <c r="N643" t="str">
        <f t="shared" si="48"/>
        <v/>
      </c>
      <c r="O643" t="str">
        <f>IF(I643="","",_xlfn.XLOOKUP(I643,Lists!$C:$C,Lists!$J:$J))</f>
        <v/>
      </c>
      <c r="P643" t="str">
        <f>IF(I643="","",_xlfn.XLOOKUP(I643,Lists!$C:$C,Lists!$E:$E))</f>
        <v/>
      </c>
      <c r="Q643" s="21" t="str">
        <f t="shared" si="49"/>
        <v/>
      </c>
      <c r="R643" t="str">
        <f t="shared" si="50"/>
        <v/>
      </c>
      <c r="S643" t="str">
        <f>IF(I643="","",_xlfn.XLOOKUP(I643,Lists!$C:$C,Lists!$I:$I))</f>
        <v/>
      </c>
    </row>
    <row r="644" spans="8:8">
      <c r="C644">
        <f>_xlfn.XLOOKUP(B644,Lists!B:B,Lists!A:A,"")</f>
        <v>0.0</v>
      </c>
      <c r="G644" t="str">
        <f t="shared" si="46"/>
        <v/>
      </c>
      <c r="H644" s="20" t="str">
        <f t="shared" si="47"/>
        <v/>
      </c>
      <c r="J644" t="str">
        <f>IF(I644="","",_xlfn.XLOOKUP(I644,Lists!$C:$C,Lists!$D:$D))</f>
        <v/>
      </c>
      <c r="N644" t="str">
        <f t="shared" si="48"/>
        <v/>
      </c>
      <c r="O644" t="str">
        <f>IF(I644="","",_xlfn.XLOOKUP(I644,Lists!$C:$C,Lists!$J:$J))</f>
        <v/>
      </c>
      <c r="P644" t="str">
        <f>IF(I644="","",_xlfn.XLOOKUP(I644,Lists!$C:$C,Lists!$E:$E))</f>
        <v/>
      </c>
      <c r="Q644" s="21" t="str">
        <f t="shared" si="49"/>
        <v/>
      </c>
      <c r="R644" t="str">
        <f t="shared" si="50"/>
        <v/>
      </c>
      <c r="S644" t="str">
        <f>IF(I644="","",_xlfn.XLOOKUP(I644,Lists!$C:$C,Lists!$I:$I))</f>
        <v/>
      </c>
    </row>
    <row r="645" spans="8:8">
      <c r="C645">
        <f>_xlfn.XLOOKUP(B645,Lists!B:B,Lists!A:A,"")</f>
        <v>0.0</v>
      </c>
      <c r="G645" t="str">
        <f t="shared" si="46"/>
        <v/>
      </c>
      <c r="H645" s="20" t="str">
        <f t="shared" si="47"/>
        <v/>
      </c>
      <c r="J645" t="str">
        <f>IF(I645="","",_xlfn.XLOOKUP(I645,Lists!$C:$C,Lists!$D:$D))</f>
        <v/>
      </c>
      <c r="N645" t="str">
        <f t="shared" si="48"/>
        <v/>
      </c>
      <c r="O645" t="str">
        <f>IF(I645="","",_xlfn.XLOOKUP(I645,Lists!$C:$C,Lists!$J:$J))</f>
        <v/>
      </c>
      <c r="P645" t="str">
        <f>IF(I645="","",_xlfn.XLOOKUP(I645,Lists!$C:$C,Lists!$E:$E))</f>
        <v/>
      </c>
      <c r="Q645" s="21" t="str">
        <f t="shared" si="49"/>
        <v/>
      </c>
      <c r="R645" t="str">
        <f t="shared" si="50"/>
        <v/>
      </c>
      <c r="S645" t="str">
        <f>IF(I645="","",_xlfn.XLOOKUP(I645,Lists!$C:$C,Lists!$I:$I))</f>
        <v/>
      </c>
    </row>
    <row r="646" spans="8:8">
      <c r="C646">
        <f>_xlfn.XLOOKUP(B646,Lists!B:B,Lists!A:A,"")</f>
        <v>0.0</v>
      </c>
      <c r="G646" t="str">
        <f t="shared" si="46"/>
        <v/>
      </c>
      <c r="H646" s="20" t="str">
        <f t="shared" si="47"/>
        <v/>
      </c>
      <c r="J646" t="str">
        <f>IF(I646="","",_xlfn.XLOOKUP(I646,Lists!$C:$C,Lists!$D:$D))</f>
        <v/>
      </c>
      <c r="N646" t="str">
        <f t="shared" si="48"/>
        <v/>
      </c>
      <c r="O646" t="str">
        <f>IF(I646="","",_xlfn.XLOOKUP(I646,Lists!$C:$C,Lists!$J:$J))</f>
        <v/>
      </c>
      <c r="P646" t="str">
        <f>IF(I646="","",_xlfn.XLOOKUP(I646,Lists!$C:$C,Lists!$E:$E))</f>
        <v/>
      </c>
      <c r="Q646" s="21" t="str">
        <f t="shared" si="49"/>
        <v/>
      </c>
      <c r="R646" t="str">
        <f t="shared" si="50"/>
        <v/>
      </c>
      <c r="S646" t="str">
        <f>IF(I646="","",_xlfn.XLOOKUP(I646,Lists!$C:$C,Lists!$I:$I))</f>
        <v/>
      </c>
    </row>
    <row r="647" spans="8:8">
      <c r="C647">
        <f>_xlfn.XLOOKUP(B647,Lists!B:B,Lists!A:A,"")</f>
        <v>0.0</v>
      </c>
      <c r="G647" t="str">
        <f t="shared" si="46"/>
        <v/>
      </c>
      <c r="H647" s="20" t="str">
        <f t="shared" si="47"/>
        <v/>
      </c>
      <c r="J647" t="str">
        <f>IF(I647="","",_xlfn.XLOOKUP(I647,Lists!$C:$C,Lists!$D:$D))</f>
        <v/>
      </c>
      <c r="N647" t="str">
        <f t="shared" si="48"/>
        <v/>
      </c>
      <c r="O647" t="str">
        <f>IF(I647="","",_xlfn.XLOOKUP(I647,Lists!$C:$C,Lists!$J:$J))</f>
        <v/>
      </c>
      <c r="P647" t="str">
        <f>IF(I647="","",_xlfn.XLOOKUP(I647,Lists!$C:$C,Lists!$E:$E))</f>
        <v/>
      </c>
      <c r="Q647" s="21" t="str">
        <f t="shared" si="49"/>
        <v/>
      </c>
      <c r="R647" t="str">
        <f t="shared" si="50"/>
        <v/>
      </c>
      <c r="S647" t="str">
        <f>IF(I647="","",_xlfn.XLOOKUP(I647,Lists!$C:$C,Lists!$I:$I))</f>
        <v/>
      </c>
    </row>
    <row r="648" spans="8:8">
      <c r="C648">
        <f>_xlfn.XLOOKUP(B648,Lists!B:B,Lists!A:A,"")</f>
        <v>0.0</v>
      </c>
      <c r="G648" t="str">
        <f t="shared" si="46"/>
        <v/>
      </c>
      <c r="H648" s="20" t="str">
        <f t="shared" si="47"/>
        <v/>
      </c>
      <c r="J648" t="str">
        <f>IF(I648="","",_xlfn.XLOOKUP(I648,Lists!$C:$C,Lists!$D:$D))</f>
        <v/>
      </c>
      <c r="N648" t="str">
        <f t="shared" si="48"/>
        <v/>
      </c>
      <c r="O648" t="str">
        <f>IF(I648="","",_xlfn.XLOOKUP(I648,Lists!$C:$C,Lists!$J:$J))</f>
        <v/>
      </c>
      <c r="P648" t="str">
        <f>IF(I648="","",_xlfn.XLOOKUP(I648,Lists!$C:$C,Lists!$E:$E))</f>
        <v/>
      </c>
      <c r="Q648" s="21" t="str">
        <f t="shared" si="49"/>
        <v/>
      </c>
      <c r="R648" t="str">
        <f t="shared" si="50"/>
        <v/>
      </c>
      <c r="S648" t="str">
        <f>IF(I648="","",_xlfn.XLOOKUP(I648,Lists!$C:$C,Lists!$I:$I))</f>
        <v/>
      </c>
    </row>
    <row r="649" spans="8:8">
      <c r="C649">
        <f>_xlfn.XLOOKUP(B649,Lists!B:B,Lists!A:A,"")</f>
        <v>0.0</v>
      </c>
      <c r="G649" t="str">
        <f t="shared" si="46"/>
        <v/>
      </c>
      <c r="H649" s="20" t="str">
        <f t="shared" si="47"/>
        <v/>
      </c>
      <c r="J649" t="str">
        <f>IF(I649="","",_xlfn.XLOOKUP(I649,Lists!$C:$C,Lists!$D:$D))</f>
        <v/>
      </c>
      <c r="N649" t="str">
        <f t="shared" si="48"/>
        <v/>
      </c>
      <c r="O649" t="str">
        <f>IF(I649="","",_xlfn.XLOOKUP(I649,Lists!$C:$C,Lists!$J:$J))</f>
        <v/>
      </c>
      <c r="P649" t="str">
        <f>IF(I649="","",_xlfn.XLOOKUP(I649,Lists!$C:$C,Lists!$E:$E))</f>
        <v/>
      </c>
      <c r="Q649" s="21" t="str">
        <f t="shared" si="49"/>
        <v/>
      </c>
      <c r="R649" t="str">
        <f t="shared" si="50"/>
        <v/>
      </c>
      <c r="S649" t="str">
        <f>IF(I649="","",_xlfn.XLOOKUP(I649,Lists!$C:$C,Lists!$I:$I))</f>
        <v/>
      </c>
    </row>
    <row r="650" spans="8:8">
      <c r="C650">
        <f>_xlfn.XLOOKUP(B650,Lists!B:B,Lists!A:A,"")</f>
        <v>0.0</v>
      </c>
      <c r="G650" t="str">
        <f t="shared" si="46"/>
        <v/>
      </c>
      <c r="H650" s="20" t="str">
        <f t="shared" si="47"/>
        <v/>
      </c>
      <c r="J650" t="str">
        <f>IF(I650="","",_xlfn.XLOOKUP(I650,Lists!$C:$C,Lists!$D:$D))</f>
        <v/>
      </c>
      <c r="N650" t="str">
        <f t="shared" si="48"/>
        <v/>
      </c>
      <c r="O650" t="str">
        <f>IF(I650="","",_xlfn.XLOOKUP(I650,Lists!$C:$C,Lists!$J:$J))</f>
        <v/>
      </c>
      <c r="P650" t="str">
        <f>IF(I650="","",_xlfn.XLOOKUP(I650,Lists!$C:$C,Lists!$E:$E))</f>
        <v/>
      </c>
      <c r="Q650" s="21" t="str">
        <f t="shared" si="49"/>
        <v/>
      </c>
      <c r="R650" t="str">
        <f t="shared" si="50"/>
        <v/>
      </c>
      <c r="S650" t="str">
        <f>IF(I650="","",_xlfn.XLOOKUP(I650,Lists!$C:$C,Lists!$I:$I))</f>
        <v/>
      </c>
    </row>
    <row r="651" spans="8:8">
      <c r="C651">
        <f>_xlfn.XLOOKUP(B651,Lists!B:B,Lists!A:A,"")</f>
        <v>0.0</v>
      </c>
      <c r="G651" t="str">
        <f t="shared" si="46"/>
        <v/>
      </c>
      <c r="H651" s="20" t="str">
        <f t="shared" si="47"/>
        <v/>
      </c>
      <c r="J651" t="str">
        <f>IF(I651="","",_xlfn.XLOOKUP(I651,Lists!$C:$C,Lists!$D:$D))</f>
        <v/>
      </c>
      <c r="N651" t="str">
        <f t="shared" si="48"/>
        <v/>
      </c>
      <c r="O651" t="str">
        <f>IF(I651="","",_xlfn.XLOOKUP(I651,Lists!$C:$C,Lists!$J:$J))</f>
        <v/>
      </c>
      <c r="P651" t="str">
        <f>IF(I651="","",_xlfn.XLOOKUP(I651,Lists!$C:$C,Lists!$E:$E))</f>
        <v/>
      </c>
      <c r="Q651" s="21" t="str">
        <f t="shared" si="49"/>
        <v/>
      </c>
      <c r="R651" t="str">
        <f t="shared" si="50"/>
        <v/>
      </c>
      <c r="S651" t="str">
        <f>IF(I651="","",_xlfn.XLOOKUP(I651,Lists!$C:$C,Lists!$I:$I))</f>
        <v/>
      </c>
    </row>
    <row r="652" spans="8:8">
      <c r="C652">
        <f>_xlfn.XLOOKUP(B652,Lists!B:B,Lists!A:A,"")</f>
        <v>0.0</v>
      </c>
      <c r="G652" t="str">
        <f t="shared" si="46"/>
        <v/>
      </c>
      <c r="H652" s="20" t="str">
        <f t="shared" si="47"/>
        <v/>
      </c>
      <c r="J652" t="str">
        <f>IF(I652="","",_xlfn.XLOOKUP(I652,Lists!$C:$C,Lists!$D:$D))</f>
        <v/>
      </c>
      <c r="N652" t="str">
        <f t="shared" si="48"/>
        <v/>
      </c>
      <c r="O652" t="str">
        <f>IF(I652="","",_xlfn.XLOOKUP(I652,Lists!$C:$C,Lists!$J:$J))</f>
        <v/>
      </c>
      <c r="P652" t="str">
        <f>IF(I652="","",_xlfn.XLOOKUP(I652,Lists!$C:$C,Lists!$E:$E))</f>
        <v/>
      </c>
      <c r="Q652" s="21" t="str">
        <f t="shared" si="49"/>
        <v/>
      </c>
      <c r="R652" t="str">
        <f t="shared" si="50"/>
        <v/>
      </c>
      <c r="S652" t="str">
        <f>IF(I652="","",_xlfn.XLOOKUP(I652,Lists!$C:$C,Lists!$I:$I))</f>
        <v/>
      </c>
    </row>
    <row r="653" spans="8:8">
      <c r="C653">
        <f>_xlfn.XLOOKUP(B653,Lists!B:B,Lists!A:A,"")</f>
        <v>0.0</v>
      </c>
      <c r="G653" t="str">
        <f t="shared" si="46"/>
        <v/>
      </c>
      <c r="H653" s="20" t="str">
        <f t="shared" si="47"/>
        <v/>
      </c>
      <c r="J653" t="str">
        <f>IF(I653="","",_xlfn.XLOOKUP(I653,Lists!$C:$C,Lists!$D:$D))</f>
        <v/>
      </c>
      <c r="N653" t="str">
        <f t="shared" si="48"/>
        <v/>
      </c>
      <c r="O653" t="str">
        <f>IF(I653="","",_xlfn.XLOOKUP(I653,Lists!$C:$C,Lists!$J:$J))</f>
        <v/>
      </c>
      <c r="P653" t="str">
        <f>IF(I653="","",_xlfn.XLOOKUP(I653,Lists!$C:$C,Lists!$E:$E))</f>
        <v/>
      </c>
      <c r="Q653" s="21" t="str">
        <f t="shared" si="49"/>
        <v/>
      </c>
      <c r="R653" t="str">
        <f t="shared" si="50"/>
        <v/>
      </c>
      <c r="S653" t="str">
        <f>IF(I653="","",_xlfn.XLOOKUP(I653,Lists!$C:$C,Lists!$I:$I))</f>
        <v/>
      </c>
    </row>
    <row r="654" spans="8:8">
      <c r="C654">
        <f>_xlfn.XLOOKUP(B654,Lists!B:B,Lists!A:A,"")</f>
        <v>0.0</v>
      </c>
      <c r="G654" t="str">
        <f t="shared" si="46"/>
        <v/>
      </c>
      <c r="H654" s="20" t="str">
        <f t="shared" si="47"/>
        <v/>
      </c>
      <c r="J654" t="str">
        <f>IF(I654="","",_xlfn.XLOOKUP(I654,Lists!$C:$C,Lists!$D:$D))</f>
        <v/>
      </c>
      <c r="N654" t="str">
        <f t="shared" si="48"/>
        <v/>
      </c>
      <c r="O654" t="str">
        <f>IF(I654="","",_xlfn.XLOOKUP(I654,Lists!$C:$C,Lists!$J:$J))</f>
        <v/>
      </c>
      <c r="P654" t="str">
        <f>IF(I654="","",_xlfn.XLOOKUP(I654,Lists!$C:$C,Lists!$E:$E))</f>
        <v/>
      </c>
      <c r="Q654" s="21" t="str">
        <f t="shared" si="49"/>
        <v/>
      </c>
      <c r="R654" t="str">
        <f t="shared" si="50"/>
        <v/>
      </c>
      <c r="S654" t="str">
        <f>IF(I654="","",_xlfn.XLOOKUP(I654,Lists!$C:$C,Lists!$I:$I))</f>
        <v/>
      </c>
    </row>
    <row r="655" spans="8:8">
      <c r="C655">
        <f>_xlfn.XLOOKUP(B655,Lists!B:B,Lists!A:A,"")</f>
        <v>0.0</v>
      </c>
      <c r="G655" t="str">
        <f t="shared" si="46"/>
        <v/>
      </c>
      <c r="H655" s="20" t="str">
        <f t="shared" si="47"/>
        <v/>
      </c>
      <c r="J655" t="str">
        <f>IF(I655="","",_xlfn.XLOOKUP(I655,Lists!$C:$C,Lists!$D:$D))</f>
        <v/>
      </c>
      <c r="N655" t="str">
        <f t="shared" si="48"/>
        <v/>
      </c>
      <c r="O655" t="str">
        <f>IF(I655="","",_xlfn.XLOOKUP(I655,Lists!$C:$C,Lists!$J:$J))</f>
        <v/>
      </c>
      <c r="P655" t="str">
        <f>IF(I655="","",_xlfn.XLOOKUP(I655,Lists!$C:$C,Lists!$E:$E))</f>
        <v/>
      </c>
      <c r="Q655" s="21" t="str">
        <f t="shared" si="49"/>
        <v/>
      </c>
      <c r="R655" t="str">
        <f t="shared" si="50"/>
        <v/>
      </c>
      <c r="S655" t="str">
        <f>IF(I655="","",_xlfn.XLOOKUP(I655,Lists!$C:$C,Lists!$I:$I))</f>
        <v/>
      </c>
    </row>
    <row r="656" spans="8:8">
      <c r="C656">
        <f>_xlfn.XLOOKUP(B656,Lists!B:B,Lists!A:A,"")</f>
        <v>0.0</v>
      </c>
      <c r="G656" t="str">
        <f t="shared" si="46"/>
        <v/>
      </c>
      <c r="H656" s="20" t="str">
        <f t="shared" si="47"/>
        <v/>
      </c>
      <c r="J656" t="str">
        <f>IF(I656="","",_xlfn.XLOOKUP(I656,Lists!$C:$C,Lists!$D:$D))</f>
        <v/>
      </c>
      <c r="N656" t="str">
        <f t="shared" si="48"/>
        <v/>
      </c>
      <c r="O656" t="str">
        <f>IF(I656="","",_xlfn.XLOOKUP(I656,Lists!$C:$C,Lists!$J:$J))</f>
        <v/>
      </c>
      <c r="P656" t="str">
        <f>IF(I656="","",_xlfn.XLOOKUP(I656,Lists!$C:$C,Lists!$E:$E))</f>
        <v/>
      </c>
      <c r="Q656" s="21" t="str">
        <f t="shared" si="49"/>
        <v/>
      </c>
      <c r="R656" t="str">
        <f t="shared" si="50"/>
        <v/>
      </c>
      <c r="S656" t="str">
        <f>IF(I656="","",_xlfn.XLOOKUP(I656,Lists!$C:$C,Lists!$I:$I))</f>
        <v/>
      </c>
    </row>
    <row r="657" spans="8:8">
      <c r="C657">
        <f>_xlfn.XLOOKUP(B657,Lists!B:B,Lists!A:A,"")</f>
        <v>0.0</v>
      </c>
      <c r="G657" t="str">
        <f t="shared" si="46"/>
        <v/>
      </c>
      <c r="H657" s="20" t="str">
        <f t="shared" si="47"/>
        <v/>
      </c>
      <c r="J657" t="str">
        <f>IF(I657="","",_xlfn.XLOOKUP(I657,Lists!$C:$C,Lists!$D:$D))</f>
        <v/>
      </c>
      <c r="N657" t="str">
        <f t="shared" si="48"/>
        <v/>
      </c>
      <c r="O657" t="str">
        <f>IF(I657="","",_xlfn.XLOOKUP(I657,Lists!$C:$C,Lists!$J:$J))</f>
        <v/>
      </c>
      <c r="P657" t="str">
        <f>IF(I657="","",_xlfn.XLOOKUP(I657,Lists!$C:$C,Lists!$E:$E))</f>
        <v/>
      </c>
      <c r="Q657" s="21" t="str">
        <f t="shared" si="49"/>
        <v/>
      </c>
      <c r="R657" t="str">
        <f t="shared" si="50"/>
        <v/>
      </c>
      <c r="S657" t="str">
        <f>IF(I657="","",_xlfn.XLOOKUP(I657,Lists!$C:$C,Lists!$I:$I))</f>
        <v/>
      </c>
    </row>
    <row r="658" spans="8:8">
      <c r="C658">
        <f>_xlfn.XLOOKUP(B658,Lists!B:B,Lists!A:A,"")</f>
        <v>0.0</v>
      </c>
      <c r="G658" t="str">
        <f t="shared" si="46"/>
        <v/>
      </c>
      <c r="H658" s="20" t="str">
        <f t="shared" si="47"/>
        <v/>
      </c>
      <c r="J658" t="str">
        <f>IF(I658="","",_xlfn.XLOOKUP(I658,Lists!$C:$C,Lists!$D:$D))</f>
        <v/>
      </c>
      <c r="N658" t="str">
        <f t="shared" si="48"/>
        <v/>
      </c>
      <c r="O658" t="str">
        <f>IF(I658="","",_xlfn.XLOOKUP(I658,Lists!$C:$C,Lists!$J:$J))</f>
        <v/>
      </c>
      <c r="P658" t="str">
        <f>IF(I658="","",_xlfn.XLOOKUP(I658,Lists!$C:$C,Lists!$E:$E))</f>
        <v/>
      </c>
      <c r="Q658" s="21" t="str">
        <f t="shared" si="49"/>
        <v/>
      </c>
      <c r="R658" t="str">
        <f t="shared" si="50"/>
        <v/>
      </c>
      <c r="S658" t="str">
        <f>IF(I658="","",_xlfn.XLOOKUP(I658,Lists!$C:$C,Lists!$I:$I))</f>
        <v/>
      </c>
    </row>
    <row r="659" spans="8:8">
      <c r="C659">
        <f>_xlfn.XLOOKUP(B659,Lists!B:B,Lists!A:A,"")</f>
        <v>0.0</v>
      </c>
      <c r="G659" t="str">
        <f t="shared" si="46"/>
        <v/>
      </c>
      <c r="H659" s="20" t="str">
        <f t="shared" si="47"/>
        <v/>
      </c>
      <c r="J659" t="str">
        <f>IF(I659="","",_xlfn.XLOOKUP(I659,Lists!$C:$C,Lists!$D:$D))</f>
        <v/>
      </c>
      <c r="N659" t="str">
        <f t="shared" si="48"/>
        <v/>
      </c>
      <c r="O659" t="str">
        <f>IF(I659="","",_xlfn.XLOOKUP(I659,Lists!$C:$C,Lists!$J:$J))</f>
        <v/>
      </c>
      <c r="P659" t="str">
        <f>IF(I659="","",_xlfn.XLOOKUP(I659,Lists!$C:$C,Lists!$E:$E))</f>
        <v/>
      </c>
      <c r="Q659" s="21" t="str">
        <f t="shared" si="49"/>
        <v/>
      </c>
      <c r="R659" t="str">
        <f t="shared" si="50"/>
        <v/>
      </c>
      <c r="S659" t="str">
        <f>IF(I659="","",_xlfn.XLOOKUP(I659,Lists!$C:$C,Lists!$I:$I))</f>
        <v/>
      </c>
    </row>
    <row r="660" spans="8:8">
      <c r="C660">
        <f>_xlfn.XLOOKUP(B660,Lists!B:B,Lists!A:A,"")</f>
        <v>0.0</v>
      </c>
      <c r="G660" t="str">
        <f t="shared" si="46"/>
        <v/>
      </c>
      <c r="H660" s="20" t="str">
        <f t="shared" si="47"/>
        <v/>
      </c>
      <c r="J660" t="str">
        <f>IF(I660="","",_xlfn.XLOOKUP(I660,Lists!$C:$C,Lists!$D:$D))</f>
        <v/>
      </c>
      <c r="N660" t="str">
        <f t="shared" si="48"/>
        <v/>
      </c>
      <c r="O660" t="str">
        <f>IF(I660="","",_xlfn.XLOOKUP(I660,Lists!$C:$C,Lists!$J:$J))</f>
        <v/>
      </c>
      <c r="P660" t="str">
        <f>IF(I660="","",_xlfn.XLOOKUP(I660,Lists!$C:$C,Lists!$E:$E))</f>
        <v/>
      </c>
      <c r="Q660" s="21" t="str">
        <f t="shared" si="49"/>
        <v/>
      </c>
      <c r="R660" t="str">
        <f t="shared" si="50"/>
        <v/>
      </c>
      <c r="S660" t="str">
        <f>IF(I660="","",_xlfn.XLOOKUP(I660,Lists!$C:$C,Lists!$I:$I))</f>
        <v/>
      </c>
    </row>
    <row r="661" spans="8:8">
      <c r="C661">
        <f>_xlfn.XLOOKUP(B661,Lists!B:B,Lists!A:A,"")</f>
        <v>0.0</v>
      </c>
      <c r="G661" t="str">
        <f t="shared" si="46"/>
        <v/>
      </c>
      <c r="H661" s="20" t="str">
        <f t="shared" si="47"/>
        <v/>
      </c>
      <c r="J661" t="str">
        <f>IF(I661="","",_xlfn.XLOOKUP(I661,Lists!$C:$C,Lists!$D:$D))</f>
        <v/>
      </c>
      <c r="N661" t="str">
        <f t="shared" si="48"/>
        <v/>
      </c>
      <c r="O661" t="str">
        <f>IF(I661="","",_xlfn.XLOOKUP(I661,Lists!$C:$C,Lists!$J:$J))</f>
        <v/>
      </c>
      <c r="P661" t="str">
        <f>IF(I661="","",_xlfn.XLOOKUP(I661,Lists!$C:$C,Lists!$E:$E))</f>
        <v/>
      </c>
      <c r="Q661" s="21" t="str">
        <f t="shared" si="49"/>
        <v/>
      </c>
      <c r="R661" t="str">
        <f t="shared" si="50"/>
        <v/>
      </c>
      <c r="S661" t="str">
        <f>IF(I661="","",_xlfn.XLOOKUP(I661,Lists!$C:$C,Lists!$I:$I))</f>
        <v/>
      </c>
    </row>
    <row r="662" spans="8:8">
      <c r="C662">
        <f>_xlfn.XLOOKUP(B662,Lists!B:B,Lists!A:A,"")</f>
        <v>0.0</v>
      </c>
      <c r="G662" t="str">
        <f t="shared" si="46"/>
        <v/>
      </c>
      <c r="H662" s="20" t="str">
        <f t="shared" si="47"/>
        <v/>
      </c>
      <c r="J662" t="str">
        <f>IF(I662="","",_xlfn.XLOOKUP(I662,Lists!$C:$C,Lists!$D:$D))</f>
        <v/>
      </c>
      <c r="N662" t="str">
        <f t="shared" si="48"/>
        <v/>
      </c>
      <c r="O662" t="str">
        <f>IF(I662="","",_xlfn.XLOOKUP(I662,Lists!$C:$C,Lists!$J:$J))</f>
        <v/>
      </c>
      <c r="P662" t="str">
        <f>IF(I662="","",_xlfn.XLOOKUP(I662,Lists!$C:$C,Lists!$E:$E))</f>
        <v/>
      </c>
      <c r="Q662" s="21" t="str">
        <f t="shared" si="49"/>
        <v/>
      </c>
      <c r="R662" t="str">
        <f t="shared" si="50"/>
        <v/>
      </c>
      <c r="S662" t="str">
        <f>IF(I662="","",_xlfn.XLOOKUP(I662,Lists!$C:$C,Lists!$I:$I))</f>
        <v/>
      </c>
    </row>
    <row r="663" spans="8:8">
      <c r="C663">
        <f>_xlfn.XLOOKUP(B663,Lists!B:B,Lists!A:A,"")</f>
        <v>0.0</v>
      </c>
      <c r="G663" t="str">
        <f t="shared" si="46"/>
        <v/>
      </c>
      <c r="H663" s="20" t="str">
        <f t="shared" si="47"/>
        <v/>
      </c>
      <c r="J663" t="str">
        <f>IF(I663="","",_xlfn.XLOOKUP(I663,Lists!$C:$C,Lists!$D:$D))</f>
        <v/>
      </c>
      <c r="N663" t="str">
        <f t="shared" si="48"/>
        <v/>
      </c>
      <c r="O663" t="str">
        <f>IF(I663="","",_xlfn.XLOOKUP(I663,Lists!$C:$C,Lists!$J:$J))</f>
        <v/>
      </c>
      <c r="P663" t="str">
        <f>IF(I663="","",_xlfn.XLOOKUP(I663,Lists!$C:$C,Lists!$E:$E))</f>
        <v/>
      </c>
      <c r="Q663" s="21" t="str">
        <f t="shared" si="49"/>
        <v/>
      </c>
      <c r="R663" t="str">
        <f t="shared" si="50"/>
        <v/>
      </c>
      <c r="S663" t="str">
        <f>IF(I663="","",_xlfn.XLOOKUP(I663,Lists!$C:$C,Lists!$I:$I))</f>
        <v/>
      </c>
    </row>
    <row r="664" spans="8:8">
      <c r="C664">
        <f>_xlfn.XLOOKUP(B664,Lists!B:B,Lists!A:A,"")</f>
        <v>0.0</v>
      </c>
      <c r="G664" t="str">
        <f t="shared" si="46"/>
        <v/>
      </c>
      <c r="H664" s="20" t="str">
        <f t="shared" si="47"/>
        <v/>
      </c>
      <c r="J664" t="str">
        <f>IF(I664="","",_xlfn.XLOOKUP(I664,Lists!$C:$C,Lists!$D:$D))</f>
        <v/>
      </c>
      <c r="N664" t="str">
        <f t="shared" si="48"/>
        <v/>
      </c>
      <c r="O664" t="str">
        <f>IF(I664="","",_xlfn.XLOOKUP(I664,Lists!$C:$C,Lists!$J:$J))</f>
        <v/>
      </c>
      <c r="P664" t="str">
        <f>IF(I664="","",_xlfn.XLOOKUP(I664,Lists!$C:$C,Lists!$E:$E))</f>
        <v/>
      </c>
      <c r="Q664" s="21" t="str">
        <f t="shared" si="49"/>
        <v/>
      </c>
      <c r="R664" t="str">
        <f t="shared" si="50"/>
        <v/>
      </c>
      <c r="S664" t="str">
        <f>IF(I664="","",_xlfn.XLOOKUP(I664,Lists!$C:$C,Lists!$I:$I))</f>
        <v/>
      </c>
    </row>
    <row r="665" spans="8:8">
      <c r="C665">
        <f>_xlfn.XLOOKUP(B665,Lists!B:B,Lists!A:A,"")</f>
        <v>0.0</v>
      </c>
      <c r="G665" t="str">
        <f t="shared" si="46"/>
        <v/>
      </c>
      <c r="H665" s="20" t="str">
        <f t="shared" si="47"/>
        <v/>
      </c>
      <c r="J665" t="str">
        <f>IF(I665="","",_xlfn.XLOOKUP(I665,Lists!$C:$C,Lists!$D:$D))</f>
        <v/>
      </c>
      <c r="N665" t="str">
        <f t="shared" si="48"/>
        <v/>
      </c>
      <c r="O665" t="str">
        <f>IF(I665="","",_xlfn.XLOOKUP(I665,Lists!$C:$C,Lists!$J:$J))</f>
        <v/>
      </c>
      <c r="P665" t="str">
        <f>IF(I665="","",_xlfn.XLOOKUP(I665,Lists!$C:$C,Lists!$E:$E))</f>
        <v/>
      </c>
      <c r="Q665" s="21" t="str">
        <f t="shared" si="49"/>
        <v/>
      </c>
      <c r="R665" t="str">
        <f t="shared" si="50"/>
        <v/>
      </c>
      <c r="S665" t="str">
        <f>IF(I665="","",_xlfn.XLOOKUP(I665,Lists!$C:$C,Lists!$I:$I))</f>
        <v/>
      </c>
    </row>
    <row r="666" spans="8:8">
      <c r="C666">
        <f>_xlfn.XLOOKUP(B666,Lists!B:B,Lists!A:A,"")</f>
        <v>0.0</v>
      </c>
      <c r="G666" t="str">
        <f t="shared" si="46"/>
        <v/>
      </c>
      <c r="H666" s="20" t="str">
        <f t="shared" si="47"/>
        <v/>
      </c>
      <c r="J666" t="str">
        <f>IF(I666="","",_xlfn.XLOOKUP(I666,Lists!$C:$C,Lists!$D:$D))</f>
        <v/>
      </c>
      <c r="N666" t="str">
        <f t="shared" si="48"/>
        <v/>
      </c>
      <c r="O666" t="str">
        <f>IF(I666="","",_xlfn.XLOOKUP(I666,Lists!$C:$C,Lists!$J:$J))</f>
        <v/>
      </c>
      <c r="P666" t="str">
        <f>IF(I666="","",_xlfn.XLOOKUP(I666,Lists!$C:$C,Lists!$E:$E))</f>
        <v/>
      </c>
      <c r="Q666" s="21" t="str">
        <f t="shared" si="49"/>
        <v/>
      </c>
      <c r="R666" t="str">
        <f t="shared" si="50"/>
        <v/>
      </c>
      <c r="S666" t="str">
        <f>IF(I666="","",_xlfn.XLOOKUP(I666,Lists!$C:$C,Lists!$I:$I))</f>
        <v/>
      </c>
    </row>
    <row r="667" spans="8:8">
      <c r="C667">
        <f>_xlfn.XLOOKUP(B667,Lists!B:B,Lists!A:A,"")</f>
        <v>0.0</v>
      </c>
      <c r="G667" t="str">
        <f t="shared" si="51" ref="G667:G714">IF(OR(E667="",F667=""),"",F667-E667+1)</f>
        <v/>
      </c>
      <c r="H667" s="20" t="str">
        <f t="shared" si="52" ref="H667:H714">IF(D667="","",IF(OR(D667="A",D667="B"),G667/80,IF(D667="A&amp;B",G667/160,"")))</f>
        <v/>
      </c>
      <c r="J667" t="str">
        <f>IF(I667="","",_xlfn.XLOOKUP(I667,Lists!$C:$C,Lists!$D:$D))</f>
        <v/>
      </c>
      <c r="N667" t="str">
        <f t="shared" si="53" ref="N667:N714">IF(OR(M667="",L667=""),"",(M667*L667)/100000)</f>
        <v/>
      </c>
      <c r="O667" t="str">
        <f>IF(I667="","",_xlfn.XLOOKUP(I667,Lists!$C:$C,Lists!$J:$J))</f>
        <v/>
      </c>
      <c r="P667" t="str">
        <f>IF(I667="","",_xlfn.XLOOKUP(I667,Lists!$C:$C,Lists!$E:$E))</f>
        <v/>
      </c>
      <c r="Q667" s="21" t="str">
        <f t="shared" si="54" ref="Q667:Q714">IF(OR(A667="",P667=""),"",A667+P667+1)</f>
        <v/>
      </c>
      <c r="R667" t="str">
        <f t="shared" si="55" ref="R667:R714">IF(Q667="","",IF(Q667&lt;=TODAY(),"Allow","Not Allow"))</f>
        <v/>
      </c>
      <c r="S667" t="str">
        <f>IF(I667="","",_xlfn.XLOOKUP(I667,Lists!$C:$C,Lists!$I:$I))</f>
        <v/>
      </c>
    </row>
    <row r="668" spans="8:8">
      <c r="C668">
        <f>_xlfn.XLOOKUP(B668,Lists!B:B,Lists!A:A,"")</f>
        <v>0.0</v>
      </c>
      <c r="G668" t="str">
        <f t="shared" si="51"/>
        <v/>
      </c>
      <c r="H668" s="20" t="str">
        <f t="shared" si="52"/>
        <v/>
      </c>
      <c r="J668" t="str">
        <f>IF(I668="","",_xlfn.XLOOKUP(I668,Lists!$C:$C,Lists!$D:$D))</f>
        <v/>
      </c>
      <c r="N668" t="str">
        <f t="shared" si="53"/>
        <v/>
      </c>
      <c r="O668" t="str">
        <f>IF(I668="","",_xlfn.XLOOKUP(I668,Lists!$C:$C,Lists!$J:$J))</f>
        <v/>
      </c>
      <c r="P668" t="str">
        <f>IF(I668="","",_xlfn.XLOOKUP(I668,Lists!$C:$C,Lists!$E:$E))</f>
        <v/>
      </c>
      <c r="Q668" s="21" t="str">
        <f t="shared" si="54"/>
        <v/>
      </c>
      <c r="R668" t="str">
        <f t="shared" si="55"/>
        <v/>
      </c>
      <c r="S668" t="str">
        <f>IF(I668="","",_xlfn.XLOOKUP(I668,Lists!$C:$C,Lists!$I:$I))</f>
        <v/>
      </c>
    </row>
    <row r="669" spans="8:8">
      <c r="C669">
        <f>_xlfn.XLOOKUP(B669,Lists!B:B,Lists!A:A,"")</f>
        <v>0.0</v>
      </c>
      <c r="G669" t="str">
        <f t="shared" si="51"/>
        <v/>
      </c>
      <c r="H669" s="20" t="str">
        <f t="shared" si="52"/>
        <v/>
      </c>
      <c r="J669" t="str">
        <f>IF(I669="","",_xlfn.XLOOKUP(I669,Lists!$C:$C,Lists!$D:$D))</f>
        <v/>
      </c>
      <c r="N669" t="str">
        <f t="shared" si="53"/>
        <v/>
      </c>
      <c r="O669" t="str">
        <f>IF(I669="","",_xlfn.XLOOKUP(I669,Lists!$C:$C,Lists!$J:$J))</f>
        <v/>
      </c>
      <c r="P669" t="str">
        <f>IF(I669="","",_xlfn.XLOOKUP(I669,Lists!$C:$C,Lists!$E:$E))</f>
        <v/>
      </c>
      <c r="Q669" s="21" t="str">
        <f t="shared" si="54"/>
        <v/>
      </c>
      <c r="R669" t="str">
        <f t="shared" si="55"/>
        <v/>
      </c>
      <c r="S669" t="str">
        <f>IF(I669="","",_xlfn.XLOOKUP(I669,Lists!$C:$C,Lists!$I:$I))</f>
        <v/>
      </c>
    </row>
    <row r="670" spans="8:8">
      <c r="C670">
        <f>_xlfn.XLOOKUP(B670,Lists!B:B,Lists!A:A,"")</f>
        <v>0.0</v>
      </c>
      <c r="G670" t="str">
        <f t="shared" si="51"/>
        <v/>
      </c>
      <c r="H670" s="20" t="str">
        <f t="shared" si="52"/>
        <v/>
      </c>
      <c r="J670" t="str">
        <f>IF(I670="","",_xlfn.XLOOKUP(I670,Lists!$C:$C,Lists!$D:$D))</f>
        <v/>
      </c>
      <c r="N670" t="str">
        <f t="shared" si="53"/>
        <v/>
      </c>
      <c r="O670" t="str">
        <f>IF(I670="","",_xlfn.XLOOKUP(I670,Lists!$C:$C,Lists!$J:$J))</f>
        <v/>
      </c>
      <c r="P670" t="str">
        <f>IF(I670="","",_xlfn.XLOOKUP(I670,Lists!$C:$C,Lists!$E:$E))</f>
        <v/>
      </c>
      <c r="Q670" s="21" t="str">
        <f t="shared" si="54"/>
        <v/>
      </c>
      <c r="R670" t="str">
        <f t="shared" si="55"/>
        <v/>
      </c>
      <c r="S670" t="str">
        <f>IF(I670="","",_xlfn.XLOOKUP(I670,Lists!$C:$C,Lists!$I:$I))</f>
        <v/>
      </c>
    </row>
    <row r="671" spans="8:8">
      <c r="C671">
        <f>_xlfn.XLOOKUP(B671,Lists!B:B,Lists!A:A,"")</f>
        <v>0.0</v>
      </c>
      <c r="G671" t="str">
        <f t="shared" si="51"/>
        <v/>
      </c>
      <c r="H671" s="20" t="str">
        <f t="shared" si="52"/>
        <v/>
      </c>
      <c r="J671" t="str">
        <f>IF(I671="","",_xlfn.XLOOKUP(I671,Lists!$C:$C,Lists!$D:$D))</f>
        <v/>
      </c>
      <c r="N671" t="str">
        <f t="shared" si="53"/>
        <v/>
      </c>
      <c r="O671" t="str">
        <f>IF(I671="","",_xlfn.XLOOKUP(I671,Lists!$C:$C,Lists!$J:$J))</f>
        <v/>
      </c>
      <c r="P671" t="str">
        <f>IF(I671="","",_xlfn.XLOOKUP(I671,Lists!$C:$C,Lists!$E:$E))</f>
        <v/>
      </c>
      <c r="Q671" s="21" t="str">
        <f t="shared" si="54"/>
        <v/>
      </c>
      <c r="R671" t="str">
        <f t="shared" si="55"/>
        <v/>
      </c>
      <c r="S671" t="str">
        <f>IF(I671="","",_xlfn.XLOOKUP(I671,Lists!$C:$C,Lists!$I:$I))</f>
        <v/>
      </c>
    </row>
    <row r="672" spans="8:8">
      <c r="C672">
        <f>_xlfn.XLOOKUP(B672,Lists!B:B,Lists!A:A,"")</f>
        <v>0.0</v>
      </c>
      <c r="G672" t="str">
        <f t="shared" si="51"/>
        <v/>
      </c>
      <c r="H672" s="20" t="str">
        <f t="shared" si="52"/>
        <v/>
      </c>
      <c r="J672" t="str">
        <f>IF(I672="","",_xlfn.XLOOKUP(I672,Lists!$C:$C,Lists!$D:$D))</f>
        <v/>
      </c>
      <c r="N672" t="str">
        <f t="shared" si="53"/>
        <v/>
      </c>
      <c r="O672" t="str">
        <f>IF(I672="","",_xlfn.XLOOKUP(I672,Lists!$C:$C,Lists!$J:$J))</f>
        <v/>
      </c>
      <c r="P672" t="str">
        <f>IF(I672="","",_xlfn.XLOOKUP(I672,Lists!$C:$C,Lists!$E:$E))</f>
        <v/>
      </c>
      <c r="Q672" s="21" t="str">
        <f t="shared" si="54"/>
        <v/>
      </c>
      <c r="R672" t="str">
        <f t="shared" si="55"/>
        <v/>
      </c>
      <c r="S672" t="str">
        <f>IF(I672="","",_xlfn.XLOOKUP(I672,Lists!$C:$C,Lists!$I:$I))</f>
        <v/>
      </c>
    </row>
    <row r="673" spans="8:8">
      <c r="C673">
        <f>_xlfn.XLOOKUP(B673,Lists!B:B,Lists!A:A,"")</f>
        <v>0.0</v>
      </c>
      <c r="G673" t="str">
        <f t="shared" si="51"/>
        <v/>
      </c>
      <c r="H673" s="20" t="str">
        <f t="shared" si="52"/>
        <v/>
      </c>
      <c r="J673" t="str">
        <f>IF(I673="","",_xlfn.XLOOKUP(I673,Lists!$C:$C,Lists!$D:$D))</f>
        <v/>
      </c>
      <c r="N673" t="str">
        <f t="shared" si="53"/>
        <v/>
      </c>
      <c r="O673" t="str">
        <f>IF(I673="","",_xlfn.XLOOKUP(I673,Lists!$C:$C,Lists!$J:$J))</f>
        <v/>
      </c>
      <c r="P673" t="str">
        <f>IF(I673="","",_xlfn.XLOOKUP(I673,Lists!$C:$C,Lists!$E:$E))</f>
        <v/>
      </c>
      <c r="Q673" s="21" t="str">
        <f t="shared" si="54"/>
        <v/>
      </c>
      <c r="R673" t="str">
        <f t="shared" si="55"/>
        <v/>
      </c>
      <c r="S673" t="str">
        <f>IF(I673="","",_xlfn.XLOOKUP(I673,Lists!$C:$C,Lists!$I:$I))</f>
        <v/>
      </c>
    </row>
    <row r="674" spans="8:8">
      <c r="C674">
        <f>_xlfn.XLOOKUP(B674,Lists!B:B,Lists!A:A,"")</f>
        <v>0.0</v>
      </c>
      <c r="G674" t="str">
        <f t="shared" si="51"/>
        <v/>
      </c>
      <c r="H674" s="20" t="str">
        <f t="shared" si="52"/>
        <v/>
      </c>
      <c r="J674" t="str">
        <f>IF(I674="","",_xlfn.XLOOKUP(I674,Lists!$C:$C,Lists!$D:$D))</f>
        <v/>
      </c>
      <c r="N674" t="str">
        <f t="shared" si="53"/>
        <v/>
      </c>
      <c r="O674" t="str">
        <f>IF(I674="","",_xlfn.XLOOKUP(I674,Lists!$C:$C,Lists!$J:$J))</f>
        <v/>
      </c>
      <c r="P674" t="str">
        <f>IF(I674="","",_xlfn.XLOOKUP(I674,Lists!$C:$C,Lists!$E:$E))</f>
        <v/>
      </c>
      <c r="Q674" s="21" t="str">
        <f t="shared" si="54"/>
        <v/>
      </c>
      <c r="R674" t="str">
        <f t="shared" si="55"/>
        <v/>
      </c>
      <c r="S674" t="str">
        <f>IF(I674="","",_xlfn.XLOOKUP(I674,Lists!$C:$C,Lists!$I:$I))</f>
        <v/>
      </c>
    </row>
    <row r="675" spans="8:8">
      <c r="C675">
        <f>_xlfn.XLOOKUP(B675,Lists!B:B,Lists!A:A,"")</f>
        <v>0.0</v>
      </c>
      <c r="G675" t="str">
        <f t="shared" si="51"/>
        <v/>
      </c>
      <c r="H675" s="20" t="str">
        <f t="shared" si="52"/>
        <v/>
      </c>
      <c r="J675" t="str">
        <f>IF(I675="","",_xlfn.XLOOKUP(I675,Lists!$C:$C,Lists!$D:$D))</f>
        <v/>
      </c>
      <c r="N675" t="str">
        <f t="shared" si="53"/>
        <v/>
      </c>
      <c r="O675" t="str">
        <f>IF(I675="","",_xlfn.XLOOKUP(I675,Lists!$C:$C,Lists!$J:$J))</f>
        <v/>
      </c>
      <c r="P675" t="str">
        <f>IF(I675="","",_xlfn.XLOOKUP(I675,Lists!$C:$C,Lists!$E:$E))</f>
        <v/>
      </c>
      <c r="Q675" s="21" t="str">
        <f t="shared" si="54"/>
        <v/>
      </c>
      <c r="R675" t="str">
        <f t="shared" si="55"/>
        <v/>
      </c>
      <c r="S675" t="str">
        <f>IF(I675="","",_xlfn.XLOOKUP(I675,Lists!$C:$C,Lists!$I:$I))</f>
        <v/>
      </c>
    </row>
    <row r="676" spans="8:8">
      <c r="C676">
        <f>_xlfn.XLOOKUP(B676,Lists!B:B,Lists!A:A,"")</f>
        <v>0.0</v>
      </c>
      <c r="G676" t="str">
        <f t="shared" si="51"/>
        <v/>
      </c>
      <c r="H676" s="20" t="str">
        <f t="shared" si="52"/>
        <v/>
      </c>
      <c r="J676" t="str">
        <f>IF(I676="","",_xlfn.XLOOKUP(I676,Lists!$C:$C,Lists!$D:$D))</f>
        <v/>
      </c>
      <c r="N676" t="str">
        <f t="shared" si="53"/>
        <v/>
      </c>
      <c r="O676" t="str">
        <f>IF(I676="","",_xlfn.XLOOKUP(I676,Lists!$C:$C,Lists!$J:$J))</f>
        <v/>
      </c>
      <c r="P676" t="str">
        <f>IF(I676="","",_xlfn.XLOOKUP(I676,Lists!$C:$C,Lists!$E:$E))</f>
        <v/>
      </c>
      <c r="Q676" s="21" t="str">
        <f t="shared" si="54"/>
        <v/>
      </c>
      <c r="R676" t="str">
        <f t="shared" si="55"/>
        <v/>
      </c>
      <c r="S676" t="str">
        <f>IF(I676="","",_xlfn.XLOOKUP(I676,Lists!$C:$C,Lists!$I:$I))</f>
        <v/>
      </c>
    </row>
    <row r="677" spans="8:8">
      <c r="C677">
        <f>_xlfn.XLOOKUP(B677,Lists!B:B,Lists!A:A,"")</f>
        <v>0.0</v>
      </c>
      <c r="G677" t="str">
        <f t="shared" si="51"/>
        <v/>
      </c>
      <c r="H677" s="20" t="str">
        <f t="shared" si="52"/>
        <v/>
      </c>
      <c r="J677" t="str">
        <f>IF(I677="","",_xlfn.XLOOKUP(I677,Lists!$C:$C,Lists!$D:$D))</f>
        <v/>
      </c>
      <c r="N677" t="str">
        <f t="shared" si="53"/>
        <v/>
      </c>
      <c r="O677" t="str">
        <f>IF(I677="","",_xlfn.XLOOKUP(I677,Lists!$C:$C,Lists!$J:$J))</f>
        <v/>
      </c>
      <c r="P677" t="str">
        <f>IF(I677="","",_xlfn.XLOOKUP(I677,Lists!$C:$C,Lists!$E:$E))</f>
        <v/>
      </c>
      <c r="Q677" s="21" t="str">
        <f t="shared" si="54"/>
        <v/>
      </c>
      <c r="R677" t="str">
        <f t="shared" si="55"/>
        <v/>
      </c>
      <c r="S677" t="str">
        <f>IF(I677="","",_xlfn.XLOOKUP(I677,Lists!$C:$C,Lists!$I:$I))</f>
        <v/>
      </c>
    </row>
    <row r="678" spans="8:8">
      <c r="C678">
        <f>_xlfn.XLOOKUP(B678,Lists!B:B,Lists!A:A,"")</f>
        <v>0.0</v>
      </c>
      <c r="G678" t="str">
        <f t="shared" si="51"/>
        <v/>
      </c>
      <c r="H678" s="20" t="str">
        <f t="shared" si="52"/>
        <v/>
      </c>
      <c r="J678" t="str">
        <f>IF(I678="","",_xlfn.XLOOKUP(I678,Lists!$C:$C,Lists!$D:$D))</f>
        <v/>
      </c>
      <c r="N678" t="str">
        <f t="shared" si="53"/>
        <v/>
      </c>
      <c r="O678" t="str">
        <f>IF(I678="","",_xlfn.XLOOKUP(I678,Lists!$C:$C,Lists!$J:$J))</f>
        <v/>
      </c>
      <c r="P678" t="str">
        <f>IF(I678="","",_xlfn.XLOOKUP(I678,Lists!$C:$C,Lists!$E:$E))</f>
        <v/>
      </c>
      <c r="Q678" s="21" t="str">
        <f t="shared" si="54"/>
        <v/>
      </c>
      <c r="R678" t="str">
        <f t="shared" si="55"/>
        <v/>
      </c>
      <c r="S678" t="str">
        <f>IF(I678="","",_xlfn.XLOOKUP(I678,Lists!$C:$C,Lists!$I:$I))</f>
        <v/>
      </c>
    </row>
    <row r="679" spans="8:8">
      <c r="C679">
        <f>_xlfn.XLOOKUP(B679,Lists!B:B,Lists!A:A,"")</f>
        <v>0.0</v>
      </c>
      <c r="G679" t="str">
        <f t="shared" si="51"/>
        <v/>
      </c>
      <c r="H679" s="20" t="str">
        <f t="shared" si="52"/>
        <v/>
      </c>
      <c r="J679" t="str">
        <f>IF(I679="","",_xlfn.XLOOKUP(I679,Lists!$C:$C,Lists!$D:$D))</f>
        <v/>
      </c>
      <c r="N679" t="str">
        <f t="shared" si="53"/>
        <v/>
      </c>
      <c r="O679" t="str">
        <f>IF(I679="","",_xlfn.XLOOKUP(I679,Lists!$C:$C,Lists!$J:$J))</f>
        <v/>
      </c>
      <c r="P679" t="str">
        <f>IF(I679="","",_xlfn.XLOOKUP(I679,Lists!$C:$C,Lists!$E:$E))</f>
        <v/>
      </c>
      <c r="Q679" s="21" t="str">
        <f t="shared" si="54"/>
        <v/>
      </c>
      <c r="R679" t="str">
        <f t="shared" si="55"/>
        <v/>
      </c>
      <c r="S679" t="str">
        <f>IF(I679="","",_xlfn.XLOOKUP(I679,Lists!$C:$C,Lists!$I:$I))</f>
        <v/>
      </c>
    </row>
    <row r="680" spans="8:8">
      <c r="C680">
        <f>_xlfn.XLOOKUP(B680,Lists!B:B,Lists!A:A,"")</f>
        <v>0.0</v>
      </c>
      <c r="G680" t="str">
        <f t="shared" si="51"/>
        <v/>
      </c>
      <c r="H680" s="20" t="str">
        <f t="shared" si="52"/>
        <v/>
      </c>
      <c r="J680" t="str">
        <f>IF(I680="","",_xlfn.XLOOKUP(I680,Lists!$C:$C,Lists!$D:$D))</f>
        <v/>
      </c>
      <c r="N680" t="str">
        <f t="shared" si="53"/>
        <v/>
      </c>
      <c r="O680" t="str">
        <f>IF(I680="","",_xlfn.XLOOKUP(I680,Lists!$C:$C,Lists!$J:$J))</f>
        <v/>
      </c>
      <c r="P680" t="str">
        <f>IF(I680="","",_xlfn.XLOOKUP(I680,Lists!$C:$C,Lists!$E:$E))</f>
        <v/>
      </c>
      <c r="Q680" s="21" t="str">
        <f t="shared" si="54"/>
        <v/>
      </c>
      <c r="R680" t="str">
        <f t="shared" si="55"/>
        <v/>
      </c>
      <c r="S680" t="str">
        <f>IF(I680="","",_xlfn.XLOOKUP(I680,Lists!$C:$C,Lists!$I:$I))</f>
        <v/>
      </c>
    </row>
    <row r="681" spans="8:8">
      <c r="C681">
        <f>_xlfn.XLOOKUP(B681,Lists!B:B,Lists!A:A,"")</f>
        <v>0.0</v>
      </c>
      <c r="G681" t="str">
        <f t="shared" si="51"/>
        <v/>
      </c>
      <c r="H681" s="20" t="str">
        <f t="shared" si="52"/>
        <v/>
      </c>
      <c r="J681" t="str">
        <f>IF(I681="","",_xlfn.XLOOKUP(I681,Lists!$C:$C,Lists!$D:$D))</f>
        <v/>
      </c>
      <c r="N681" t="str">
        <f t="shared" si="53"/>
        <v/>
      </c>
      <c r="O681" t="str">
        <f>IF(I681="","",_xlfn.XLOOKUP(I681,Lists!$C:$C,Lists!$J:$J))</f>
        <v/>
      </c>
      <c r="P681" t="str">
        <f>IF(I681="","",_xlfn.XLOOKUP(I681,Lists!$C:$C,Lists!$E:$E))</f>
        <v/>
      </c>
      <c r="Q681" s="21" t="str">
        <f t="shared" si="54"/>
        <v/>
      </c>
      <c r="R681" t="str">
        <f t="shared" si="55"/>
        <v/>
      </c>
      <c r="S681" t="str">
        <f>IF(I681="","",_xlfn.XLOOKUP(I681,Lists!$C:$C,Lists!$I:$I))</f>
        <v/>
      </c>
    </row>
    <row r="682" spans="8:8">
      <c r="C682">
        <f>_xlfn.XLOOKUP(B682,Lists!B:B,Lists!A:A,"")</f>
        <v>0.0</v>
      </c>
      <c r="G682" t="str">
        <f t="shared" si="51"/>
        <v/>
      </c>
      <c r="H682" s="20" t="str">
        <f t="shared" si="52"/>
        <v/>
      </c>
      <c r="J682" t="str">
        <f>IF(I682="","",_xlfn.XLOOKUP(I682,Lists!$C:$C,Lists!$D:$D))</f>
        <v/>
      </c>
      <c r="N682" t="str">
        <f t="shared" si="53"/>
        <v/>
      </c>
      <c r="O682" t="str">
        <f>IF(I682="","",_xlfn.XLOOKUP(I682,Lists!$C:$C,Lists!$J:$J))</f>
        <v/>
      </c>
      <c r="P682" t="str">
        <f>IF(I682="","",_xlfn.XLOOKUP(I682,Lists!$C:$C,Lists!$E:$E))</f>
        <v/>
      </c>
      <c r="Q682" s="21" t="str">
        <f t="shared" si="54"/>
        <v/>
      </c>
      <c r="R682" t="str">
        <f t="shared" si="55"/>
        <v/>
      </c>
      <c r="S682" t="str">
        <f>IF(I682="","",_xlfn.XLOOKUP(I682,Lists!$C:$C,Lists!$I:$I))</f>
        <v/>
      </c>
    </row>
    <row r="683" spans="8:8">
      <c r="C683">
        <f>_xlfn.XLOOKUP(B683,Lists!B:B,Lists!A:A,"")</f>
        <v>0.0</v>
      </c>
      <c r="G683" t="str">
        <f t="shared" si="51"/>
        <v/>
      </c>
      <c r="H683" s="20" t="str">
        <f t="shared" si="52"/>
        <v/>
      </c>
      <c r="J683" t="str">
        <f>IF(I683="","",_xlfn.XLOOKUP(I683,Lists!$C:$C,Lists!$D:$D))</f>
        <v/>
      </c>
      <c r="N683" t="str">
        <f t="shared" si="53"/>
        <v/>
      </c>
      <c r="O683" t="str">
        <f>IF(I683="","",_xlfn.XLOOKUP(I683,Lists!$C:$C,Lists!$J:$J))</f>
        <v/>
      </c>
      <c r="P683" t="str">
        <f>IF(I683="","",_xlfn.XLOOKUP(I683,Lists!$C:$C,Lists!$E:$E))</f>
        <v/>
      </c>
      <c r="Q683" s="21" t="str">
        <f t="shared" si="54"/>
        <v/>
      </c>
      <c r="R683" t="str">
        <f t="shared" si="55"/>
        <v/>
      </c>
      <c r="S683" t="str">
        <f>IF(I683="","",_xlfn.XLOOKUP(I683,Lists!$C:$C,Lists!$I:$I))</f>
        <v/>
      </c>
    </row>
    <row r="684" spans="8:8">
      <c r="C684">
        <f>_xlfn.XLOOKUP(B684,Lists!B:B,Lists!A:A,"")</f>
        <v>0.0</v>
      </c>
      <c r="G684" t="str">
        <f t="shared" si="51"/>
        <v/>
      </c>
      <c r="H684" s="20" t="str">
        <f t="shared" si="52"/>
        <v/>
      </c>
      <c r="J684" t="str">
        <f>IF(I684="","",_xlfn.XLOOKUP(I684,Lists!$C:$C,Lists!$D:$D))</f>
        <v/>
      </c>
      <c r="N684" t="str">
        <f t="shared" si="53"/>
        <v/>
      </c>
      <c r="O684" t="str">
        <f>IF(I684="","",_xlfn.XLOOKUP(I684,Lists!$C:$C,Lists!$J:$J))</f>
        <v/>
      </c>
      <c r="P684" t="str">
        <f>IF(I684="","",_xlfn.XLOOKUP(I684,Lists!$C:$C,Lists!$E:$E))</f>
        <v/>
      </c>
      <c r="Q684" s="21" t="str">
        <f t="shared" si="54"/>
        <v/>
      </c>
      <c r="R684" t="str">
        <f t="shared" si="55"/>
        <v/>
      </c>
      <c r="S684" t="str">
        <f>IF(I684="","",_xlfn.XLOOKUP(I684,Lists!$C:$C,Lists!$I:$I))</f>
        <v/>
      </c>
    </row>
    <row r="685" spans="8:8">
      <c r="C685">
        <f>_xlfn.XLOOKUP(B685,Lists!B:B,Lists!A:A,"")</f>
        <v>0.0</v>
      </c>
      <c r="G685" t="str">
        <f t="shared" si="51"/>
        <v/>
      </c>
      <c r="H685" s="20" t="str">
        <f t="shared" si="52"/>
        <v/>
      </c>
      <c r="J685" t="str">
        <f>IF(I685="","",_xlfn.XLOOKUP(I685,Lists!$C:$C,Lists!$D:$D))</f>
        <v/>
      </c>
      <c r="N685" t="str">
        <f t="shared" si="53"/>
        <v/>
      </c>
      <c r="O685" t="str">
        <f>IF(I685="","",_xlfn.XLOOKUP(I685,Lists!$C:$C,Lists!$J:$J))</f>
        <v/>
      </c>
      <c r="P685" t="str">
        <f>IF(I685="","",_xlfn.XLOOKUP(I685,Lists!$C:$C,Lists!$E:$E))</f>
        <v/>
      </c>
      <c r="Q685" s="21" t="str">
        <f t="shared" si="54"/>
        <v/>
      </c>
      <c r="R685" t="str">
        <f t="shared" si="55"/>
        <v/>
      </c>
      <c r="S685" t="str">
        <f>IF(I685="","",_xlfn.XLOOKUP(I685,Lists!$C:$C,Lists!$I:$I))</f>
        <v/>
      </c>
    </row>
    <row r="686" spans="8:8">
      <c r="C686">
        <f>_xlfn.XLOOKUP(B686,Lists!B:B,Lists!A:A,"")</f>
        <v>0.0</v>
      </c>
      <c r="G686" t="str">
        <f t="shared" si="51"/>
        <v/>
      </c>
      <c r="H686" s="20" t="str">
        <f t="shared" si="52"/>
        <v/>
      </c>
      <c r="J686" t="str">
        <f>IF(I686="","",_xlfn.XLOOKUP(I686,Lists!$C:$C,Lists!$D:$D))</f>
        <v/>
      </c>
      <c r="N686" t="str">
        <f t="shared" si="53"/>
        <v/>
      </c>
      <c r="O686" t="str">
        <f>IF(I686="","",_xlfn.XLOOKUP(I686,Lists!$C:$C,Lists!$J:$J))</f>
        <v/>
      </c>
      <c r="P686" t="str">
        <f>IF(I686="","",_xlfn.XLOOKUP(I686,Lists!$C:$C,Lists!$E:$E))</f>
        <v/>
      </c>
      <c r="Q686" s="21" t="str">
        <f t="shared" si="54"/>
        <v/>
      </c>
      <c r="R686" t="str">
        <f t="shared" si="55"/>
        <v/>
      </c>
      <c r="S686" t="str">
        <f>IF(I686="","",_xlfn.XLOOKUP(I686,Lists!$C:$C,Lists!$I:$I))</f>
        <v/>
      </c>
    </row>
    <row r="687" spans="8:8">
      <c r="C687">
        <f>_xlfn.XLOOKUP(B687,Lists!B:B,Lists!A:A,"")</f>
        <v>0.0</v>
      </c>
      <c r="G687" t="str">
        <f t="shared" si="51"/>
        <v/>
      </c>
      <c r="H687" s="20" t="str">
        <f t="shared" si="52"/>
        <v/>
      </c>
      <c r="J687" t="str">
        <f>IF(I687="","",_xlfn.XLOOKUP(I687,Lists!$C:$C,Lists!$D:$D))</f>
        <v/>
      </c>
      <c r="N687" t="str">
        <f t="shared" si="53"/>
        <v/>
      </c>
      <c r="O687" t="str">
        <f>IF(I687="","",_xlfn.XLOOKUP(I687,Lists!$C:$C,Lists!$J:$J))</f>
        <v/>
      </c>
      <c r="P687" t="str">
        <f>IF(I687="","",_xlfn.XLOOKUP(I687,Lists!$C:$C,Lists!$E:$E))</f>
        <v/>
      </c>
      <c r="Q687" s="21" t="str">
        <f t="shared" si="54"/>
        <v/>
      </c>
      <c r="R687" t="str">
        <f t="shared" si="55"/>
        <v/>
      </c>
      <c r="S687" t="str">
        <f>IF(I687="","",_xlfn.XLOOKUP(I687,Lists!$C:$C,Lists!$I:$I))</f>
        <v/>
      </c>
    </row>
    <row r="688" spans="8:8">
      <c r="C688">
        <f>_xlfn.XLOOKUP(B688,Lists!B:B,Lists!A:A,"")</f>
        <v>0.0</v>
      </c>
      <c r="G688" t="str">
        <f t="shared" si="51"/>
        <v/>
      </c>
      <c r="H688" s="20" t="str">
        <f t="shared" si="52"/>
        <v/>
      </c>
      <c r="J688" t="str">
        <f>IF(I688="","",_xlfn.XLOOKUP(I688,Lists!$C:$C,Lists!$D:$D))</f>
        <v/>
      </c>
      <c r="N688" t="str">
        <f t="shared" si="53"/>
        <v/>
      </c>
      <c r="O688" t="str">
        <f>IF(I688="","",_xlfn.XLOOKUP(I688,Lists!$C:$C,Lists!$J:$J))</f>
        <v/>
      </c>
      <c r="P688" t="str">
        <f>IF(I688="","",_xlfn.XLOOKUP(I688,Lists!$C:$C,Lists!$E:$E))</f>
        <v/>
      </c>
      <c r="Q688" s="21" t="str">
        <f t="shared" si="54"/>
        <v/>
      </c>
      <c r="R688" t="str">
        <f t="shared" si="55"/>
        <v/>
      </c>
      <c r="S688" t="str">
        <f>IF(I688="","",_xlfn.XLOOKUP(I688,Lists!$C:$C,Lists!$I:$I))</f>
        <v/>
      </c>
    </row>
    <row r="689" spans="8:8">
      <c r="C689">
        <f>_xlfn.XLOOKUP(B689,Lists!B:B,Lists!A:A,"")</f>
        <v>0.0</v>
      </c>
      <c r="G689" t="str">
        <f t="shared" si="51"/>
        <v/>
      </c>
      <c r="H689" s="20" t="str">
        <f t="shared" si="52"/>
        <v/>
      </c>
      <c r="J689" t="str">
        <f>IF(I689="","",_xlfn.XLOOKUP(I689,Lists!$C:$C,Lists!$D:$D))</f>
        <v/>
      </c>
      <c r="N689" t="str">
        <f t="shared" si="53"/>
        <v/>
      </c>
      <c r="O689" t="str">
        <f>IF(I689="","",_xlfn.XLOOKUP(I689,Lists!$C:$C,Lists!$J:$J))</f>
        <v/>
      </c>
      <c r="P689" t="str">
        <f>IF(I689="","",_xlfn.XLOOKUP(I689,Lists!$C:$C,Lists!$E:$E))</f>
        <v/>
      </c>
      <c r="Q689" s="21" t="str">
        <f t="shared" si="54"/>
        <v/>
      </c>
      <c r="R689" t="str">
        <f t="shared" si="55"/>
        <v/>
      </c>
      <c r="S689" t="str">
        <f>IF(I689="","",_xlfn.XLOOKUP(I689,Lists!$C:$C,Lists!$I:$I))</f>
        <v/>
      </c>
    </row>
    <row r="690" spans="8:8">
      <c r="C690">
        <f>_xlfn.XLOOKUP(B690,Lists!B:B,Lists!A:A,"")</f>
        <v>0.0</v>
      </c>
      <c r="G690" t="str">
        <f t="shared" si="51"/>
        <v/>
      </c>
      <c r="H690" s="20" t="str">
        <f t="shared" si="52"/>
        <v/>
      </c>
      <c r="J690" t="str">
        <f>IF(I690="","",_xlfn.XLOOKUP(I690,Lists!$C:$C,Lists!$D:$D))</f>
        <v/>
      </c>
      <c r="N690" t="str">
        <f t="shared" si="53"/>
        <v/>
      </c>
      <c r="O690" t="str">
        <f>IF(I690="","",_xlfn.XLOOKUP(I690,Lists!$C:$C,Lists!$J:$J))</f>
        <v/>
      </c>
      <c r="P690" t="str">
        <f>IF(I690="","",_xlfn.XLOOKUP(I690,Lists!$C:$C,Lists!$E:$E))</f>
        <v/>
      </c>
      <c r="Q690" s="21" t="str">
        <f t="shared" si="54"/>
        <v/>
      </c>
      <c r="R690" t="str">
        <f t="shared" si="55"/>
        <v/>
      </c>
      <c r="S690" t="str">
        <f>IF(I690="","",_xlfn.XLOOKUP(I690,Lists!$C:$C,Lists!$I:$I))</f>
        <v/>
      </c>
    </row>
    <row r="691" spans="8:8">
      <c r="C691">
        <f>_xlfn.XLOOKUP(B691,Lists!B:B,Lists!A:A,"")</f>
        <v>0.0</v>
      </c>
      <c r="G691" t="str">
        <f t="shared" si="51"/>
        <v/>
      </c>
      <c r="H691" s="20" t="str">
        <f t="shared" si="52"/>
        <v/>
      </c>
      <c r="J691" t="str">
        <f>IF(I691="","",_xlfn.XLOOKUP(I691,Lists!$C:$C,Lists!$D:$D))</f>
        <v/>
      </c>
      <c r="N691" t="str">
        <f t="shared" si="53"/>
        <v/>
      </c>
      <c r="O691" t="str">
        <f>IF(I691="","",_xlfn.XLOOKUP(I691,Lists!$C:$C,Lists!$J:$J))</f>
        <v/>
      </c>
      <c r="P691" t="str">
        <f>IF(I691="","",_xlfn.XLOOKUP(I691,Lists!$C:$C,Lists!$E:$E))</f>
        <v/>
      </c>
      <c r="Q691" s="21" t="str">
        <f t="shared" si="54"/>
        <v/>
      </c>
      <c r="R691" t="str">
        <f t="shared" si="55"/>
        <v/>
      </c>
      <c r="S691" t="str">
        <f>IF(I691="","",_xlfn.XLOOKUP(I691,Lists!$C:$C,Lists!$I:$I))</f>
        <v/>
      </c>
    </row>
    <row r="692" spans="8:8">
      <c r="C692">
        <f>_xlfn.XLOOKUP(B692,Lists!B:B,Lists!A:A,"")</f>
        <v>0.0</v>
      </c>
      <c r="G692" t="str">
        <f t="shared" si="51"/>
        <v/>
      </c>
      <c r="H692" s="20" t="str">
        <f t="shared" si="52"/>
        <v/>
      </c>
      <c r="J692" t="str">
        <f>IF(I692="","",_xlfn.XLOOKUP(I692,Lists!$C:$C,Lists!$D:$D))</f>
        <v/>
      </c>
      <c r="N692" t="str">
        <f t="shared" si="53"/>
        <v/>
      </c>
      <c r="O692" t="str">
        <f>IF(I692="","",_xlfn.XLOOKUP(I692,Lists!$C:$C,Lists!$J:$J))</f>
        <v/>
      </c>
      <c r="P692" t="str">
        <f>IF(I692="","",_xlfn.XLOOKUP(I692,Lists!$C:$C,Lists!$E:$E))</f>
        <v/>
      </c>
      <c r="Q692" s="21" t="str">
        <f t="shared" si="54"/>
        <v/>
      </c>
      <c r="R692" t="str">
        <f t="shared" si="55"/>
        <v/>
      </c>
      <c r="S692" t="str">
        <f>IF(I692="","",_xlfn.XLOOKUP(I692,Lists!$C:$C,Lists!$I:$I))</f>
        <v/>
      </c>
    </row>
    <row r="693" spans="8:8">
      <c r="C693">
        <f>_xlfn.XLOOKUP(B693,Lists!B:B,Lists!A:A,"")</f>
        <v>0.0</v>
      </c>
      <c r="G693" t="str">
        <f t="shared" si="51"/>
        <v/>
      </c>
      <c r="H693" s="20" t="str">
        <f t="shared" si="52"/>
        <v/>
      </c>
      <c r="J693" t="str">
        <f>IF(I693="","",_xlfn.XLOOKUP(I693,Lists!$C:$C,Lists!$D:$D))</f>
        <v/>
      </c>
      <c r="N693" t="str">
        <f t="shared" si="53"/>
        <v/>
      </c>
      <c r="O693" t="str">
        <f>IF(I693="","",_xlfn.XLOOKUP(I693,Lists!$C:$C,Lists!$J:$J))</f>
        <v/>
      </c>
      <c r="P693" t="str">
        <f>IF(I693="","",_xlfn.XLOOKUP(I693,Lists!$C:$C,Lists!$E:$E))</f>
        <v/>
      </c>
      <c r="Q693" s="21" t="str">
        <f t="shared" si="54"/>
        <v/>
      </c>
      <c r="R693" t="str">
        <f t="shared" si="55"/>
        <v/>
      </c>
      <c r="S693" t="str">
        <f>IF(I693="","",_xlfn.XLOOKUP(I693,Lists!$C:$C,Lists!$I:$I))</f>
        <v/>
      </c>
    </row>
    <row r="694" spans="8:8">
      <c r="C694">
        <f>_xlfn.XLOOKUP(B694,Lists!B:B,Lists!A:A,"")</f>
        <v>0.0</v>
      </c>
      <c r="G694" t="str">
        <f t="shared" si="51"/>
        <v/>
      </c>
      <c r="H694" s="20" t="str">
        <f t="shared" si="52"/>
        <v/>
      </c>
      <c r="J694" t="str">
        <f>IF(I694="","",_xlfn.XLOOKUP(I694,Lists!$C:$C,Lists!$D:$D))</f>
        <v/>
      </c>
      <c r="N694" t="str">
        <f t="shared" si="53"/>
        <v/>
      </c>
      <c r="O694" t="str">
        <f>IF(I694="","",_xlfn.XLOOKUP(I694,Lists!$C:$C,Lists!$J:$J))</f>
        <v/>
      </c>
      <c r="P694" t="str">
        <f>IF(I694="","",_xlfn.XLOOKUP(I694,Lists!$C:$C,Lists!$E:$E))</f>
        <v/>
      </c>
      <c r="Q694" s="21" t="str">
        <f t="shared" si="54"/>
        <v/>
      </c>
      <c r="R694" t="str">
        <f t="shared" si="55"/>
        <v/>
      </c>
      <c r="S694" t="str">
        <f>IF(I694="","",_xlfn.XLOOKUP(I694,Lists!$C:$C,Lists!$I:$I))</f>
        <v/>
      </c>
    </row>
    <row r="695" spans="8:8">
      <c r="C695">
        <f>_xlfn.XLOOKUP(B695,Lists!B:B,Lists!A:A,"")</f>
        <v>0.0</v>
      </c>
      <c r="G695" t="str">
        <f t="shared" si="51"/>
        <v/>
      </c>
      <c r="H695" s="20" t="str">
        <f t="shared" si="52"/>
        <v/>
      </c>
      <c r="J695" t="str">
        <f>IF(I695="","",_xlfn.XLOOKUP(I695,Lists!$C:$C,Lists!$D:$D))</f>
        <v/>
      </c>
      <c r="N695" t="str">
        <f t="shared" si="53"/>
        <v/>
      </c>
      <c r="O695" t="str">
        <f>IF(I695="","",_xlfn.XLOOKUP(I695,Lists!$C:$C,Lists!$J:$J))</f>
        <v/>
      </c>
      <c r="P695" t="str">
        <f>IF(I695="","",_xlfn.XLOOKUP(I695,Lists!$C:$C,Lists!$E:$E))</f>
        <v/>
      </c>
      <c r="Q695" s="21" t="str">
        <f t="shared" si="54"/>
        <v/>
      </c>
      <c r="R695" t="str">
        <f t="shared" si="55"/>
        <v/>
      </c>
      <c r="S695" t="str">
        <f>IF(I695="","",_xlfn.XLOOKUP(I695,Lists!$C:$C,Lists!$I:$I))</f>
        <v/>
      </c>
    </row>
    <row r="696" spans="8:8">
      <c r="C696">
        <f>_xlfn.XLOOKUP(B696,Lists!B:B,Lists!A:A,"")</f>
        <v>0.0</v>
      </c>
      <c r="G696" t="str">
        <f t="shared" si="51"/>
        <v/>
      </c>
      <c r="H696" s="20" t="str">
        <f t="shared" si="52"/>
        <v/>
      </c>
      <c r="J696" t="str">
        <f>IF(I696="","",_xlfn.XLOOKUP(I696,Lists!$C:$C,Lists!$D:$D))</f>
        <v/>
      </c>
      <c r="N696" t="str">
        <f t="shared" si="53"/>
        <v/>
      </c>
      <c r="O696" t="str">
        <f>IF(I696="","",_xlfn.XLOOKUP(I696,Lists!$C:$C,Lists!$J:$J))</f>
        <v/>
      </c>
      <c r="P696" t="str">
        <f>IF(I696="","",_xlfn.XLOOKUP(I696,Lists!$C:$C,Lists!$E:$E))</f>
        <v/>
      </c>
      <c r="Q696" s="21" t="str">
        <f t="shared" si="54"/>
        <v/>
      </c>
      <c r="R696" t="str">
        <f t="shared" si="55"/>
        <v/>
      </c>
      <c r="S696" t="str">
        <f>IF(I696="","",_xlfn.XLOOKUP(I696,Lists!$C:$C,Lists!$I:$I))</f>
        <v/>
      </c>
    </row>
    <row r="697" spans="8:8">
      <c r="C697">
        <f>_xlfn.XLOOKUP(B697,Lists!B:B,Lists!A:A,"")</f>
        <v>0.0</v>
      </c>
      <c r="G697" t="str">
        <f t="shared" si="51"/>
        <v/>
      </c>
      <c r="H697" s="20" t="str">
        <f t="shared" si="52"/>
        <v/>
      </c>
      <c r="J697" t="str">
        <f>IF(I697="","",_xlfn.XLOOKUP(I697,Lists!$C:$C,Lists!$D:$D))</f>
        <v/>
      </c>
      <c r="N697" t="str">
        <f t="shared" si="53"/>
        <v/>
      </c>
      <c r="O697" t="str">
        <f>IF(I697="","",_xlfn.XLOOKUP(I697,Lists!$C:$C,Lists!$J:$J))</f>
        <v/>
      </c>
      <c r="P697" t="str">
        <f>IF(I697="","",_xlfn.XLOOKUP(I697,Lists!$C:$C,Lists!$E:$E))</f>
        <v/>
      </c>
      <c r="Q697" s="21" t="str">
        <f t="shared" si="54"/>
        <v/>
      </c>
      <c r="R697" t="str">
        <f t="shared" si="55"/>
        <v/>
      </c>
      <c r="S697" t="str">
        <f>IF(I697="","",_xlfn.XLOOKUP(I697,Lists!$C:$C,Lists!$I:$I))</f>
        <v/>
      </c>
    </row>
    <row r="698" spans="8:8">
      <c r="C698">
        <f>_xlfn.XLOOKUP(B698,Lists!B:B,Lists!A:A,"")</f>
        <v>0.0</v>
      </c>
      <c r="G698" t="str">
        <f t="shared" si="51"/>
        <v/>
      </c>
      <c r="H698" s="20" t="str">
        <f t="shared" si="52"/>
        <v/>
      </c>
      <c r="J698" t="str">
        <f>IF(I698="","",_xlfn.XLOOKUP(I698,Lists!$C:$C,Lists!$D:$D))</f>
        <v/>
      </c>
      <c r="N698" t="str">
        <f t="shared" si="53"/>
        <v/>
      </c>
      <c r="O698" t="str">
        <f>IF(I698="","",_xlfn.XLOOKUP(I698,Lists!$C:$C,Lists!$J:$J))</f>
        <v/>
      </c>
      <c r="P698" t="str">
        <f>IF(I698="","",_xlfn.XLOOKUP(I698,Lists!$C:$C,Lists!$E:$E))</f>
        <v/>
      </c>
      <c r="Q698" s="21" t="str">
        <f t="shared" si="54"/>
        <v/>
      </c>
      <c r="R698" t="str">
        <f t="shared" si="55"/>
        <v/>
      </c>
      <c r="S698" t="str">
        <f>IF(I698="","",_xlfn.XLOOKUP(I698,Lists!$C:$C,Lists!$I:$I))</f>
        <v/>
      </c>
    </row>
    <row r="699" spans="8:8">
      <c r="C699">
        <f>_xlfn.XLOOKUP(B699,Lists!B:B,Lists!A:A,"")</f>
        <v>0.0</v>
      </c>
      <c r="G699" t="str">
        <f t="shared" si="51"/>
        <v/>
      </c>
      <c r="H699" s="20" t="str">
        <f t="shared" si="52"/>
        <v/>
      </c>
      <c r="J699" t="str">
        <f>IF(I699="","",_xlfn.XLOOKUP(I699,Lists!$C:$C,Lists!$D:$D))</f>
        <v/>
      </c>
      <c r="N699" t="str">
        <f t="shared" si="53"/>
        <v/>
      </c>
      <c r="O699" t="str">
        <f>IF(I699="","",_xlfn.XLOOKUP(I699,Lists!$C:$C,Lists!$J:$J))</f>
        <v/>
      </c>
      <c r="P699" t="str">
        <f>IF(I699="","",_xlfn.XLOOKUP(I699,Lists!$C:$C,Lists!$E:$E))</f>
        <v/>
      </c>
      <c r="Q699" s="21" t="str">
        <f t="shared" si="54"/>
        <v/>
      </c>
      <c r="R699" t="str">
        <f t="shared" si="55"/>
        <v/>
      </c>
      <c r="S699" t="str">
        <f>IF(I699="","",_xlfn.XLOOKUP(I699,Lists!$C:$C,Lists!$I:$I))</f>
        <v/>
      </c>
    </row>
    <row r="700" spans="8:8">
      <c r="C700">
        <f>_xlfn.XLOOKUP(B700,Lists!B:B,Lists!A:A,"")</f>
        <v>0.0</v>
      </c>
      <c r="G700" t="str">
        <f t="shared" si="51"/>
        <v/>
      </c>
      <c r="H700" s="20" t="str">
        <f t="shared" si="52"/>
        <v/>
      </c>
      <c r="J700" t="str">
        <f>IF(I700="","",_xlfn.XLOOKUP(I700,Lists!$C:$C,Lists!$D:$D))</f>
        <v/>
      </c>
      <c r="N700" t="str">
        <f t="shared" si="53"/>
        <v/>
      </c>
      <c r="O700" t="str">
        <f>IF(I700="","",_xlfn.XLOOKUP(I700,Lists!$C:$C,Lists!$J:$J))</f>
        <v/>
      </c>
      <c r="P700" t="str">
        <f>IF(I700="","",_xlfn.XLOOKUP(I700,Lists!$C:$C,Lists!$E:$E))</f>
        <v/>
      </c>
      <c r="Q700" s="21" t="str">
        <f t="shared" si="54"/>
        <v/>
      </c>
      <c r="R700" t="str">
        <f t="shared" si="55"/>
        <v/>
      </c>
      <c r="S700" t="str">
        <f>IF(I700="","",_xlfn.XLOOKUP(I700,Lists!$C:$C,Lists!$I:$I))</f>
        <v/>
      </c>
    </row>
    <row r="701" spans="8:8">
      <c r="C701">
        <f>_xlfn.XLOOKUP(B701,Lists!B:B,Lists!A:A,"")</f>
        <v>0.0</v>
      </c>
      <c r="G701" t="str">
        <f t="shared" si="51"/>
        <v/>
      </c>
      <c r="H701" s="20" t="str">
        <f t="shared" si="52"/>
        <v/>
      </c>
      <c r="J701" t="str">
        <f>IF(I701="","",_xlfn.XLOOKUP(I701,Lists!$C:$C,Lists!$D:$D))</f>
        <v/>
      </c>
      <c r="N701" t="str">
        <f t="shared" si="53"/>
        <v/>
      </c>
      <c r="O701" t="str">
        <f>IF(I701="","",_xlfn.XLOOKUP(I701,Lists!$C:$C,Lists!$J:$J))</f>
        <v/>
      </c>
      <c r="P701" t="str">
        <f>IF(I701="","",_xlfn.XLOOKUP(I701,Lists!$C:$C,Lists!$E:$E))</f>
        <v/>
      </c>
      <c r="Q701" s="21" t="str">
        <f t="shared" si="54"/>
        <v/>
      </c>
      <c r="R701" t="str">
        <f t="shared" si="55"/>
        <v/>
      </c>
      <c r="S701" t="str">
        <f>IF(I701="","",_xlfn.XLOOKUP(I701,Lists!$C:$C,Lists!$I:$I))</f>
        <v/>
      </c>
    </row>
    <row r="702" spans="8:8">
      <c r="C702">
        <f>_xlfn.XLOOKUP(B702,Lists!B:B,Lists!A:A,"")</f>
        <v>0.0</v>
      </c>
      <c r="G702" t="str">
        <f t="shared" si="51"/>
        <v/>
      </c>
      <c r="H702" s="20" t="str">
        <f t="shared" si="52"/>
        <v/>
      </c>
      <c r="J702" t="str">
        <f>IF(I702="","",_xlfn.XLOOKUP(I702,Lists!$C:$C,Lists!$D:$D))</f>
        <v/>
      </c>
      <c r="N702" t="str">
        <f t="shared" si="53"/>
        <v/>
      </c>
      <c r="O702" t="str">
        <f>IF(I702="","",_xlfn.XLOOKUP(I702,Lists!$C:$C,Lists!$J:$J))</f>
        <v/>
      </c>
      <c r="P702" t="str">
        <f>IF(I702="","",_xlfn.XLOOKUP(I702,Lists!$C:$C,Lists!$E:$E))</f>
        <v/>
      </c>
      <c r="Q702" s="21" t="str">
        <f t="shared" si="54"/>
        <v/>
      </c>
      <c r="R702" t="str">
        <f t="shared" si="55"/>
        <v/>
      </c>
      <c r="S702" t="str">
        <f>IF(I702="","",_xlfn.XLOOKUP(I702,Lists!$C:$C,Lists!$I:$I))</f>
        <v/>
      </c>
    </row>
    <row r="703" spans="8:8">
      <c r="C703">
        <f>_xlfn.XLOOKUP(B703,Lists!B:B,Lists!A:A,"")</f>
        <v>0.0</v>
      </c>
      <c r="G703" t="str">
        <f t="shared" si="51"/>
        <v/>
      </c>
      <c r="H703" s="20" t="str">
        <f t="shared" si="52"/>
        <v/>
      </c>
      <c r="J703" t="str">
        <f>IF(I703="","",_xlfn.XLOOKUP(I703,Lists!$C:$C,Lists!$D:$D))</f>
        <v/>
      </c>
      <c r="N703" t="str">
        <f t="shared" si="53"/>
        <v/>
      </c>
      <c r="O703" t="str">
        <f>IF(I703="","",_xlfn.XLOOKUP(I703,Lists!$C:$C,Lists!$J:$J))</f>
        <v/>
      </c>
      <c r="P703" t="str">
        <f>IF(I703="","",_xlfn.XLOOKUP(I703,Lists!$C:$C,Lists!$E:$E))</f>
        <v/>
      </c>
      <c r="Q703" s="21" t="str">
        <f t="shared" si="54"/>
        <v/>
      </c>
      <c r="R703" t="str">
        <f t="shared" si="55"/>
        <v/>
      </c>
      <c r="S703" t="str">
        <f>IF(I703="","",_xlfn.XLOOKUP(I703,Lists!$C:$C,Lists!$I:$I))</f>
        <v/>
      </c>
    </row>
    <row r="704" spans="8:8">
      <c r="C704">
        <f>_xlfn.XLOOKUP(B704,Lists!B:B,Lists!A:A,"")</f>
        <v>0.0</v>
      </c>
      <c r="G704" t="str">
        <f t="shared" si="51"/>
        <v/>
      </c>
      <c r="H704" s="20" t="str">
        <f t="shared" si="52"/>
        <v/>
      </c>
      <c r="J704" t="str">
        <f>IF(I704="","",_xlfn.XLOOKUP(I704,Lists!$C:$C,Lists!$D:$D))</f>
        <v/>
      </c>
      <c r="N704" t="str">
        <f t="shared" si="53"/>
        <v/>
      </c>
      <c r="O704" t="str">
        <f>IF(I704="","",_xlfn.XLOOKUP(I704,Lists!$C:$C,Lists!$J:$J))</f>
        <v/>
      </c>
      <c r="P704" t="str">
        <f>IF(I704="","",_xlfn.XLOOKUP(I704,Lists!$C:$C,Lists!$E:$E))</f>
        <v/>
      </c>
      <c r="Q704" s="21" t="str">
        <f t="shared" si="54"/>
        <v/>
      </c>
      <c r="R704" t="str">
        <f t="shared" si="55"/>
        <v/>
      </c>
      <c r="S704" t="str">
        <f>IF(I704="","",_xlfn.XLOOKUP(I704,Lists!$C:$C,Lists!$I:$I))</f>
        <v/>
      </c>
    </row>
    <row r="705" spans="8:8">
      <c r="C705">
        <f>_xlfn.XLOOKUP(B705,Lists!B:B,Lists!A:A,"")</f>
        <v>0.0</v>
      </c>
      <c r="G705" t="str">
        <f t="shared" si="51"/>
        <v/>
      </c>
      <c r="H705" s="20" t="str">
        <f t="shared" si="52"/>
        <v/>
      </c>
      <c r="J705" t="str">
        <f>IF(I705="","",_xlfn.XLOOKUP(I705,Lists!$C:$C,Lists!$D:$D))</f>
        <v/>
      </c>
      <c r="N705" t="str">
        <f t="shared" si="53"/>
        <v/>
      </c>
      <c r="O705" t="str">
        <f>IF(I705="","",_xlfn.XLOOKUP(I705,Lists!$C:$C,Lists!$J:$J))</f>
        <v/>
      </c>
      <c r="P705" t="str">
        <f>IF(I705="","",_xlfn.XLOOKUP(I705,Lists!$C:$C,Lists!$E:$E))</f>
        <v/>
      </c>
      <c r="Q705" s="21" t="str">
        <f t="shared" si="54"/>
        <v/>
      </c>
      <c r="R705" t="str">
        <f t="shared" si="55"/>
        <v/>
      </c>
      <c r="S705" t="str">
        <f>IF(I705="","",_xlfn.XLOOKUP(I705,Lists!$C:$C,Lists!$I:$I))</f>
        <v/>
      </c>
    </row>
    <row r="706" spans="8:8">
      <c r="C706">
        <f>_xlfn.XLOOKUP(B706,Lists!B:B,Lists!A:A,"")</f>
        <v>0.0</v>
      </c>
      <c r="G706" t="str">
        <f t="shared" si="51"/>
        <v/>
      </c>
      <c r="H706" s="20" t="str">
        <f t="shared" si="52"/>
        <v/>
      </c>
      <c r="J706" t="str">
        <f>IF(I706="","",_xlfn.XLOOKUP(I706,Lists!$C:$C,Lists!$D:$D))</f>
        <v/>
      </c>
      <c r="N706" t="str">
        <f t="shared" si="53"/>
        <v/>
      </c>
      <c r="O706" t="str">
        <f>IF(I706="","",_xlfn.XLOOKUP(I706,Lists!$C:$C,Lists!$J:$J))</f>
        <v/>
      </c>
      <c r="P706" t="str">
        <f>IF(I706="","",_xlfn.XLOOKUP(I706,Lists!$C:$C,Lists!$E:$E))</f>
        <v/>
      </c>
      <c r="Q706" s="21" t="str">
        <f t="shared" si="54"/>
        <v/>
      </c>
      <c r="R706" t="str">
        <f t="shared" si="55"/>
        <v/>
      </c>
      <c r="S706" t="str">
        <f>IF(I706="","",_xlfn.XLOOKUP(I706,Lists!$C:$C,Lists!$I:$I))</f>
        <v/>
      </c>
    </row>
    <row r="707" spans="8:8">
      <c r="C707">
        <f>_xlfn.XLOOKUP(B707,Lists!B:B,Lists!A:A,"")</f>
        <v>0.0</v>
      </c>
      <c r="G707" t="str">
        <f t="shared" si="51"/>
        <v/>
      </c>
      <c r="H707" s="20" t="str">
        <f t="shared" si="52"/>
        <v/>
      </c>
      <c r="J707" t="str">
        <f>IF(I707="","",_xlfn.XLOOKUP(I707,Lists!$C:$C,Lists!$D:$D))</f>
        <v/>
      </c>
      <c r="N707" t="str">
        <f t="shared" si="53"/>
        <v/>
      </c>
      <c r="O707" t="str">
        <f>IF(I707="","",_xlfn.XLOOKUP(I707,Lists!$C:$C,Lists!$J:$J))</f>
        <v/>
      </c>
      <c r="P707" t="str">
        <f>IF(I707="","",_xlfn.XLOOKUP(I707,Lists!$C:$C,Lists!$E:$E))</f>
        <v/>
      </c>
      <c r="Q707" s="21" t="str">
        <f t="shared" si="54"/>
        <v/>
      </c>
      <c r="R707" t="str">
        <f t="shared" si="55"/>
        <v/>
      </c>
      <c r="S707" t="str">
        <f>IF(I707="","",_xlfn.XLOOKUP(I707,Lists!$C:$C,Lists!$I:$I))</f>
        <v/>
      </c>
    </row>
    <row r="708" spans="8:8">
      <c r="C708">
        <f>_xlfn.XLOOKUP(B708,Lists!B:B,Lists!A:A,"")</f>
        <v>0.0</v>
      </c>
      <c r="G708" t="str">
        <f t="shared" si="51"/>
        <v/>
      </c>
      <c r="H708" s="20" t="str">
        <f t="shared" si="52"/>
        <v/>
      </c>
      <c r="J708" t="str">
        <f>IF(I708="","",_xlfn.XLOOKUP(I708,Lists!$C:$C,Lists!$D:$D))</f>
        <v/>
      </c>
      <c r="N708" t="str">
        <f t="shared" si="53"/>
        <v/>
      </c>
      <c r="O708" t="str">
        <f>IF(I708="","",_xlfn.XLOOKUP(I708,Lists!$C:$C,Lists!$J:$J))</f>
        <v/>
      </c>
      <c r="P708" t="str">
        <f>IF(I708="","",_xlfn.XLOOKUP(I708,Lists!$C:$C,Lists!$E:$E))</f>
        <v/>
      </c>
      <c r="Q708" s="21" t="str">
        <f t="shared" si="54"/>
        <v/>
      </c>
      <c r="R708" t="str">
        <f t="shared" si="55"/>
        <v/>
      </c>
      <c r="S708" t="str">
        <f>IF(I708="","",_xlfn.XLOOKUP(I708,Lists!$C:$C,Lists!$I:$I))</f>
        <v/>
      </c>
    </row>
    <row r="709" spans="8:8">
      <c r="C709">
        <f>_xlfn.XLOOKUP(B709,Lists!B:B,Lists!A:A,"")</f>
        <v>0.0</v>
      </c>
      <c r="G709" t="str">
        <f t="shared" si="51"/>
        <v/>
      </c>
      <c r="H709" s="20" t="str">
        <f t="shared" si="52"/>
        <v/>
      </c>
      <c r="J709" t="str">
        <f>IF(I709="","",_xlfn.XLOOKUP(I709,Lists!$C:$C,Lists!$D:$D))</f>
        <v/>
      </c>
      <c r="N709" t="str">
        <f t="shared" si="53"/>
        <v/>
      </c>
      <c r="O709" t="str">
        <f>IF(I709="","",_xlfn.XLOOKUP(I709,Lists!$C:$C,Lists!$J:$J))</f>
        <v/>
      </c>
      <c r="P709" t="str">
        <f>IF(I709="","",_xlfn.XLOOKUP(I709,Lists!$C:$C,Lists!$E:$E))</f>
        <v/>
      </c>
      <c r="Q709" s="21" t="str">
        <f t="shared" si="54"/>
        <v/>
      </c>
      <c r="R709" t="str">
        <f t="shared" si="55"/>
        <v/>
      </c>
      <c r="S709" t="str">
        <f>IF(I709="","",_xlfn.XLOOKUP(I709,Lists!$C:$C,Lists!$I:$I))</f>
        <v/>
      </c>
    </row>
    <row r="710" spans="8:8">
      <c r="C710">
        <f>_xlfn.XLOOKUP(B710,Lists!B:B,Lists!A:A,"")</f>
        <v>0.0</v>
      </c>
      <c r="G710" t="str">
        <f t="shared" si="51"/>
        <v/>
      </c>
      <c r="H710" s="20" t="str">
        <f t="shared" si="52"/>
        <v/>
      </c>
      <c r="J710" t="str">
        <f>IF(I710="","",_xlfn.XLOOKUP(I710,Lists!$C:$C,Lists!$D:$D))</f>
        <v/>
      </c>
      <c r="N710" t="str">
        <f t="shared" si="53"/>
        <v/>
      </c>
      <c r="O710" t="str">
        <f>IF(I710="","",_xlfn.XLOOKUP(I710,Lists!$C:$C,Lists!$J:$J))</f>
        <v/>
      </c>
      <c r="P710" t="str">
        <f>IF(I710="","",_xlfn.XLOOKUP(I710,Lists!$C:$C,Lists!$E:$E))</f>
        <v/>
      </c>
      <c r="Q710" s="21" t="str">
        <f t="shared" si="54"/>
        <v/>
      </c>
      <c r="R710" t="str">
        <f t="shared" si="55"/>
        <v/>
      </c>
      <c r="S710" t="str">
        <f>IF(I710="","",_xlfn.XLOOKUP(I710,Lists!$C:$C,Lists!$I:$I))</f>
        <v/>
      </c>
    </row>
    <row r="711" spans="8:8">
      <c r="C711">
        <f>_xlfn.XLOOKUP(B711,Lists!B:B,Lists!A:A,"")</f>
        <v>0.0</v>
      </c>
      <c r="G711" t="str">
        <f t="shared" si="51"/>
        <v/>
      </c>
      <c r="H711" s="20" t="str">
        <f t="shared" si="52"/>
        <v/>
      </c>
      <c r="J711" t="str">
        <f>IF(I711="","",_xlfn.XLOOKUP(I711,Lists!$C:$C,Lists!$D:$D))</f>
        <v/>
      </c>
      <c r="N711" t="str">
        <f t="shared" si="53"/>
        <v/>
      </c>
      <c r="O711" t="str">
        <f>IF(I711="","",_xlfn.XLOOKUP(I711,Lists!$C:$C,Lists!$J:$J))</f>
        <v/>
      </c>
      <c r="P711" t="str">
        <f>IF(I711="","",_xlfn.XLOOKUP(I711,Lists!$C:$C,Lists!$E:$E))</f>
        <v/>
      </c>
      <c r="Q711" s="21" t="str">
        <f t="shared" si="54"/>
        <v/>
      </c>
      <c r="R711" t="str">
        <f t="shared" si="55"/>
        <v/>
      </c>
      <c r="S711" t="str">
        <f>IF(I711="","",_xlfn.XLOOKUP(I711,Lists!$C:$C,Lists!$I:$I))</f>
        <v/>
      </c>
    </row>
    <row r="712" spans="8:8">
      <c r="C712">
        <f>_xlfn.XLOOKUP(B712,Lists!B:B,Lists!A:A,"")</f>
        <v>0.0</v>
      </c>
      <c r="G712" t="str">
        <f t="shared" si="51"/>
        <v/>
      </c>
      <c r="H712" s="20" t="str">
        <f t="shared" si="52"/>
        <v/>
      </c>
      <c r="J712" t="str">
        <f>IF(I712="","",_xlfn.XLOOKUP(I712,Lists!$C:$C,Lists!$D:$D))</f>
        <v/>
      </c>
      <c r="N712" t="str">
        <f t="shared" si="53"/>
        <v/>
      </c>
      <c r="O712" t="str">
        <f>IF(I712="","",_xlfn.XLOOKUP(I712,Lists!$C:$C,Lists!$J:$J))</f>
        <v/>
      </c>
      <c r="P712" t="str">
        <f>IF(I712="","",_xlfn.XLOOKUP(I712,Lists!$C:$C,Lists!$E:$E))</f>
        <v/>
      </c>
      <c r="Q712" s="21" t="str">
        <f t="shared" si="54"/>
        <v/>
      </c>
      <c r="R712" t="str">
        <f t="shared" si="55"/>
        <v/>
      </c>
      <c r="S712" t="str">
        <f>IF(I712="","",_xlfn.XLOOKUP(I712,Lists!$C:$C,Lists!$I:$I))</f>
        <v/>
      </c>
    </row>
    <row r="713" spans="8:8">
      <c r="C713">
        <f>_xlfn.XLOOKUP(B713,Lists!B:B,Lists!A:A,"")</f>
        <v>0.0</v>
      </c>
      <c r="G713" t="str">
        <f t="shared" si="51"/>
        <v/>
      </c>
      <c r="H713" s="20" t="str">
        <f t="shared" si="52"/>
        <v/>
      </c>
      <c r="J713" t="str">
        <f>IF(I713="","",_xlfn.XLOOKUP(I713,Lists!$C:$C,Lists!$D:$D))</f>
        <v/>
      </c>
      <c r="N713" t="str">
        <f t="shared" si="53"/>
        <v/>
      </c>
      <c r="O713" t="str">
        <f>IF(I713="","",_xlfn.XLOOKUP(I713,Lists!$C:$C,Lists!$J:$J))</f>
        <v/>
      </c>
      <c r="P713" t="str">
        <f>IF(I713="","",_xlfn.XLOOKUP(I713,Lists!$C:$C,Lists!$E:$E))</f>
        <v/>
      </c>
      <c r="Q713" s="21" t="str">
        <f t="shared" si="54"/>
        <v/>
      </c>
      <c r="R713" t="str">
        <f t="shared" si="55"/>
        <v/>
      </c>
      <c r="S713" t="str">
        <f>IF(I713="","",_xlfn.XLOOKUP(I713,Lists!$C:$C,Lists!$I:$I))</f>
        <v/>
      </c>
    </row>
    <row r="714" spans="8:8">
      <c r="C714">
        <f>_xlfn.XLOOKUP(B714,Lists!B:B,Lists!A:A,"")</f>
        <v>0.0</v>
      </c>
      <c r="G714" t="str">
        <f t="shared" si="51"/>
        <v/>
      </c>
      <c r="H714" s="20" t="str">
        <f t="shared" si="52"/>
        <v/>
      </c>
      <c r="J714" t="str">
        <f>IF(I714="","",_xlfn.XLOOKUP(I714,Lists!$C:$C,Lists!$D:$D))</f>
        <v/>
      </c>
      <c r="N714" t="str">
        <f t="shared" si="53"/>
        <v/>
      </c>
      <c r="O714" t="str">
        <f>IF(I714="","",_xlfn.XLOOKUP(I714,Lists!$C:$C,Lists!$J:$J))</f>
        <v/>
      </c>
      <c r="P714" t="str">
        <f>IF(I714="","",_xlfn.XLOOKUP(I714,Lists!$C:$C,Lists!$E:$E))</f>
        <v/>
      </c>
      <c r="Q714" s="21" t="str">
        <f t="shared" si="54"/>
        <v/>
      </c>
      <c r="R714" t="str">
        <f t="shared" si="55"/>
        <v/>
      </c>
      <c r="S714" t="str">
        <f>IF(I714="","",_xlfn.XLOOKUP(I714,Lists!$C:$C,Lists!$I:$I))</f>
        <v/>
      </c>
    </row>
    <row r="715" spans="8:8">
      <c r="C715">
        <f>_xlfn.XLOOKUP(B715,Lists!B:B,Lists!A:A,"")</f>
        <v>0.0</v>
      </c>
      <c r="G715" t="str">
        <f t="shared" si="56" ref="G715:G778">IF(OR(E715="",F715=""),"",F715-E715+1)</f>
        <v/>
      </c>
      <c r="H715" s="20" t="str">
        <f t="shared" si="57" ref="H715:H778">IF(D715="","",IF(OR(D715="A",D715="B"),G715/80,IF(D715="A&amp;B",G715/160,"")))</f>
        <v/>
      </c>
      <c r="J715" t="str">
        <f>IF(I715="","",_xlfn.XLOOKUP(I715,Lists!$C:$C,Lists!$D:$D))</f>
        <v/>
      </c>
      <c r="N715" t="str">
        <f t="shared" si="58" ref="N715:N778">IF(OR(M715="",L715=""),"",(M715*L715)/100000)</f>
        <v/>
      </c>
      <c r="O715" t="str">
        <f>IF(I715="","",_xlfn.XLOOKUP(I715,Lists!$C:$C,Lists!$J:$J))</f>
        <v/>
      </c>
      <c r="P715" t="str">
        <f>IF(I715="","",_xlfn.XLOOKUP(I715,Lists!$C:$C,Lists!$E:$E))</f>
        <v/>
      </c>
      <c r="Q715" s="21" t="str">
        <f t="shared" si="59" ref="Q715:Q778">IF(OR(A715="",P715=""),"",A715+P715+1)</f>
        <v/>
      </c>
      <c r="R715" t="str">
        <f t="shared" si="60" ref="R715:R778">IF(Q715="","",IF(Q715&lt;=TODAY(),"Allow","Not Allow"))</f>
        <v/>
      </c>
      <c r="S715" t="str">
        <f>IF(I715="","",_xlfn.XLOOKUP(I715,Lists!$C:$C,Lists!$I:$I))</f>
        <v/>
      </c>
    </row>
    <row r="716" spans="8:8">
      <c r="C716">
        <f>_xlfn.XLOOKUP(B716,Lists!B:B,Lists!A:A,"")</f>
        <v>0.0</v>
      </c>
      <c r="G716" t="str">
        <f t="shared" si="56"/>
        <v/>
      </c>
      <c r="H716" s="20" t="str">
        <f t="shared" si="57"/>
        <v/>
      </c>
      <c r="J716" t="str">
        <f>IF(I716="","",_xlfn.XLOOKUP(I716,Lists!$C:$C,Lists!$D:$D))</f>
        <v/>
      </c>
      <c r="N716" t="str">
        <f t="shared" si="58"/>
        <v/>
      </c>
      <c r="O716" t="str">
        <f>IF(I716="","",_xlfn.XLOOKUP(I716,Lists!$C:$C,Lists!$J:$J))</f>
        <v/>
      </c>
      <c r="P716" t="str">
        <f>IF(I716="","",_xlfn.XLOOKUP(I716,Lists!$C:$C,Lists!$E:$E))</f>
        <v/>
      </c>
      <c r="Q716" s="21" t="str">
        <f t="shared" si="59"/>
        <v/>
      </c>
      <c r="R716" t="str">
        <f t="shared" si="60"/>
        <v/>
      </c>
      <c r="S716" t="str">
        <f>IF(I716="","",_xlfn.XLOOKUP(I716,Lists!$C:$C,Lists!$I:$I))</f>
        <v/>
      </c>
    </row>
    <row r="717" spans="8:8">
      <c r="C717">
        <f>_xlfn.XLOOKUP(B717,Lists!B:B,Lists!A:A,"")</f>
        <v>0.0</v>
      </c>
      <c r="G717" t="str">
        <f t="shared" si="56"/>
        <v/>
      </c>
      <c r="H717" s="20" t="str">
        <f t="shared" si="57"/>
        <v/>
      </c>
      <c r="J717" t="str">
        <f>IF(I717="","",_xlfn.XLOOKUP(I717,Lists!$C:$C,Lists!$D:$D))</f>
        <v/>
      </c>
      <c r="N717" t="str">
        <f t="shared" si="58"/>
        <v/>
      </c>
      <c r="O717" t="str">
        <f>IF(I717="","",_xlfn.XLOOKUP(I717,Lists!$C:$C,Lists!$J:$J))</f>
        <v/>
      </c>
      <c r="P717" t="str">
        <f>IF(I717="","",_xlfn.XLOOKUP(I717,Lists!$C:$C,Lists!$E:$E))</f>
        <v/>
      </c>
      <c r="Q717" s="21" t="str">
        <f t="shared" si="59"/>
        <v/>
      </c>
      <c r="R717" t="str">
        <f t="shared" si="60"/>
        <v/>
      </c>
      <c r="S717" t="str">
        <f>IF(I717="","",_xlfn.XLOOKUP(I717,Lists!$C:$C,Lists!$I:$I))</f>
        <v/>
      </c>
    </row>
    <row r="718" spans="8:8">
      <c r="C718">
        <f>_xlfn.XLOOKUP(B718,Lists!B:B,Lists!A:A,"")</f>
        <v>0.0</v>
      </c>
      <c r="G718" t="str">
        <f t="shared" si="56"/>
        <v/>
      </c>
      <c r="H718" s="20" t="str">
        <f t="shared" si="57"/>
        <v/>
      </c>
      <c r="J718" t="str">
        <f>IF(I718="","",_xlfn.XLOOKUP(I718,Lists!$C:$C,Lists!$D:$D))</f>
        <v/>
      </c>
      <c r="N718" t="str">
        <f t="shared" si="58"/>
        <v/>
      </c>
      <c r="O718" t="str">
        <f>IF(I718="","",_xlfn.XLOOKUP(I718,Lists!$C:$C,Lists!$J:$J))</f>
        <v/>
      </c>
      <c r="P718" t="str">
        <f>IF(I718="","",_xlfn.XLOOKUP(I718,Lists!$C:$C,Lists!$E:$E))</f>
        <v/>
      </c>
      <c r="Q718" s="21" t="str">
        <f t="shared" si="59"/>
        <v/>
      </c>
      <c r="R718" t="str">
        <f t="shared" si="60"/>
        <v/>
      </c>
      <c r="S718" t="str">
        <f>IF(I718="","",_xlfn.XLOOKUP(I718,Lists!$C:$C,Lists!$I:$I))</f>
        <v/>
      </c>
    </row>
    <row r="719" spans="8:8">
      <c r="C719">
        <f>_xlfn.XLOOKUP(B719,Lists!B:B,Lists!A:A,"")</f>
        <v>0.0</v>
      </c>
      <c r="G719" t="str">
        <f t="shared" si="56"/>
        <v/>
      </c>
      <c r="H719" s="20" t="str">
        <f t="shared" si="57"/>
        <v/>
      </c>
      <c r="J719" t="str">
        <f>IF(I719="","",_xlfn.XLOOKUP(I719,Lists!$C:$C,Lists!$D:$D))</f>
        <v/>
      </c>
      <c r="N719" t="str">
        <f t="shared" si="58"/>
        <v/>
      </c>
      <c r="O719" t="str">
        <f>IF(I719="","",_xlfn.XLOOKUP(I719,Lists!$C:$C,Lists!$J:$J))</f>
        <v/>
      </c>
      <c r="P719" t="str">
        <f>IF(I719="","",_xlfn.XLOOKUP(I719,Lists!$C:$C,Lists!$E:$E))</f>
        <v/>
      </c>
      <c r="Q719" s="21" t="str">
        <f t="shared" si="59"/>
        <v/>
      </c>
      <c r="R719" t="str">
        <f t="shared" si="60"/>
        <v/>
      </c>
      <c r="S719" t="str">
        <f>IF(I719="","",_xlfn.XLOOKUP(I719,Lists!$C:$C,Lists!$I:$I))</f>
        <v/>
      </c>
    </row>
    <row r="720" spans="8:8">
      <c r="C720">
        <f>_xlfn.XLOOKUP(B720,Lists!B:B,Lists!A:A,"")</f>
        <v>0.0</v>
      </c>
      <c r="G720" t="str">
        <f t="shared" si="56"/>
        <v/>
      </c>
      <c r="H720" s="20" t="str">
        <f t="shared" si="57"/>
        <v/>
      </c>
      <c r="J720" t="str">
        <f>IF(I720="","",_xlfn.XLOOKUP(I720,Lists!$C:$C,Lists!$D:$D))</f>
        <v/>
      </c>
      <c r="N720" t="str">
        <f t="shared" si="58"/>
        <v/>
      </c>
      <c r="O720" t="str">
        <f>IF(I720="","",_xlfn.XLOOKUP(I720,Lists!$C:$C,Lists!$J:$J))</f>
        <v/>
      </c>
      <c r="P720" t="str">
        <f>IF(I720="","",_xlfn.XLOOKUP(I720,Lists!$C:$C,Lists!$E:$E))</f>
        <v/>
      </c>
      <c r="Q720" s="21" t="str">
        <f t="shared" si="59"/>
        <v/>
      </c>
      <c r="R720" t="str">
        <f t="shared" si="60"/>
        <v/>
      </c>
      <c r="S720" t="str">
        <f>IF(I720="","",_xlfn.XLOOKUP(I720,Lists!$C:$C,Lists!$I:$I))</f>
        <v/>
      </c>
    </row>
    <row r="721" spans="8:8">
      <c r="C721">
        <f>_xlfn.XLOOKUP(B721,Lists!B:B,Lists!A:A,"")</f>
        <v>0.0</v>
      </c>
      <c r="G721" t="str">
        <f t="shared" si="56"/>
        <v/>
      </c>
      <c r="H721" s="20" t="str">
        <f t="shared" si="57"/>
        <v/>
      </c>
      <c r="J721" t="str">
        <f>IF(I721="","",_xlfn.XLOOKUP(I721,Lists!$C:$C,Lists!$D:$D))</f>
        <v/>
      </c>
      <c r="N721" t="str">
        <f t="shared" si="58"/>
        <v/>
      </c>
      <c r="O721" t="str">
        <f>IF(I721="","",_xlfn.XLOOKUP(I721,Lists!$C:$C,Lists!$J:$J))</f>
        <v/>
      </c>
      <c r="P721" t="str">
        <f>IF(I721="","",_xlfn.XLOOKUP(I721,Lists!$C:$C,Lists!$E:$E))</f>
        <v/>
      </c>
      <c r="Q721" s="21" t="str">
        <f t="shared" si="59"/>
        <v/>
      </c>
      <c r="R721" t="str">
        <f t="shared" si="60"/>
        <v/>
      </c>
      <c r="S721" t="str">
        <f>IF(I721="","",_xlfn.XLOOKUP(I721,Lists!$C:$C,Lists!$I:$I))</f>
        <v/>
      </c>
    </row>
    <row r="722" spans="8:8">
      <c r="C722">
        <f>_xlfn.XLOOKUP(B722,Lists!B:B,Lists!A:A,"")</f>
        <v>0.0</v>
      </c>
      <c r="G722" t="str">
        <f t="shared" si="56"/>
        <v/>
      </c>
      <c r="H722" s="20" t="str">
        <f t="shared" si="57"/>
        <v/>
      </c>
      <c r="J722" t="str">
        <f>IF(I722="","",_xlfn.XLOOKUP(I722,Lists!$C:$C,Lists!$D:$D))</f>
        <v/>
      </c>
      <c r="N722" t="str">
        <f t="shared" si="58"/>
        <v/>
      </c>
      <c r="O722" t="str">
        <f>IF(I722="","",_xlfn.XLOOKUP(I722,Lists!$C:$C,Lists!$J:$J))</f>
        <v/>
      </c>
      <c r="P722" t="str">
        <f>IF(I722="","",_xlfn.XLOOKUP(I722,Lists!$C:$C,Lists!$E:$E))</f>
        <v/>
      </c>
      <c r="Q722" s="21" t="str">
        <f t="shared" si="59"/>
        <v/>
      </c>
      <c r="R722" t="str">
        <f t="shared" si="60"/>
        <v/>
      </c>
      <c r="S722" t="str">
        <f>IF(I722="","",_xlfn.XLOOKUP(I722,Lists!$C:$C,Lists!$I:$I))</f>
        <v/>
      </c>
    </row>
    <row r="723" spans="8:8">
      <c r="C723">
        <f>_xlfn.XLOOKUP(B723,Lists!B:B,Lists!A:A,"")</f>
        <v>0.0</v>
      </c>
      <c r="G723" t="str">
        <f t="shared" si="56"/>
        <v/>
      </c>
      <c r="H723" s="20" t="str">
        <f t="shared" si="57"/>
        <v/>
      </c>
      <c r="J723" t="str">
        <f>IF(I723="","",_xlfn.XLOOKUP(I723,Lists!$C:$C,Lists!$D:$D))</f>
        <v/>
      </c>
      <c r="N723" t="str">
        <f t="shared" si="58"/>
        <v/>
      </c>
      <c r="O723" t="str">
        <f>IF(I723="","",_xlfn.XLOOKUP(I723,Lists!$C:$C,Lists!$J:$J))</f>
        <v/>
      </c>
      <c r="P723" t="str">
        <f>IF(I723="","",_xlfn.XLOOKUP(I723,Lists!$C:$C,Lists!$E:$E))</f>
        <v/>
      </c>
      <c r="Q723" s="21" t="str">
        <f t="shared" si="59"/>
        <v/>
      </c>
      <c r="R723" t="str">
        <f t="shared" si="60"/>
        <v/>
      </c>
      <c r="S723" t="str">
        <f>IF(I723="","",_xlfn.XLOOKUP(I723,Lists!$C:$C,Lists!$I:$I))</f>
        <v/>
      </c>
    </row>
    <row r="724" spans="8:8">
      <c r="C724">
        <f>_xlfn.XLOOKUP(B724,Lists!B:B,Lists!A:A,"")</f>
        <v>0.0</v>
      </c>
      <c r="G724" t="str">
        <f t="shared" si="56"/>
        <v/>
      </c>
      <c r="H724" s="20" t="str">
        <f t="shared" si="57"/>
        <v/>
      </c>
      <c r="J724" t="str">
        <f>IF(I724="","",_xlfn.XLOOKUP(I724,Lists!$C:$C,Lists!$D:$D))</f>
        <v/>
      </c>
      <c r="N724" t="str">
        <f t="shared" si="58"/>
        <v/>
      </c>
      <c r="O724" t="str">
        <f>IF(I724="","",_xlfn.XLOOKUP(I724,Lists!$C:$C,Lists!$J:$J))</f>
        <v/>
      </c>
      <c r="P724" t="str">
        <f>IF(I724="","",_xlfn.XLOOKUP(I724,Lists!$C:$C,Lists!$E:$E))</f>
        <v/>
      </c>
      <c r="Q724" s="21" t="str">
        <f t="shared" si="59"/>
        <v/>
      </c>
      <c r="R724" t="str">
        <f t="shared" si="60"/>
        <v/>
      </c>
      <c r="S724" t="str">
        <f>IF(I724="","",_xlfn.XLOOKUP(I724,Lists!$C:$C,Lists!$I:$I))</f>
        <v/>
      </c>
    </row>
    <row r="725" spans="8:8">
      <c r="C725">
        <f>_xlfn.XLOOKUP(B725,Lists!B:B,Lists!A:A,"")</f>
        <v>0.0</v>
      </c>
      <c r="G725" t="str">
        <f t="shared" si="56"/>
        <v/>
      </c>
      <c r="H725" s="20" t="str">
        <f t="shared" si="57"/>
        <v/>
      </c>
      <c r="J725" t="str">
        <f>IF(I725="","",_xlfn.XLOOKUP(I725,Lists!$C:$C,Lists!$D:$D))</f>
        <v/>
      </c>
      <c r="N725" t="str">
        <f t="shared" si="58"/>
        <v/>
      </c>
      <c r="O725" t="str">
        <f>IF(I725="","",_xlfn.XLOOKUP(I725,Lists!$C:$C,Lists!$J:$J))</f>
        <v/>
      </c>
      <c r="P725" t="str">
        <f>IF(I725="","",_xlfn.XLOOKUP(I725,Lists!$C:$C,Lists!$E:$E))</f>
        <v/>
      </c>
      <c r="Q725" s="21" t="str">
        <f t="shared" si="59"/>
        <v/>
      </c>
      <c r="R725" t="str">
        <f t="shared" si="60"/>
        <v/>
      </c>
      <c r="S725" t="str">
        <f>IF(I725="","",_xlfn.XLOOKUP(I725,Lists!$C:$C,Lists!$I:$I))</f>
        <v/>
      </c>
    </row>
    <row r="726" spans="8:8">
      <c r="C726">
        <f>_xlfn.XLOOKUP(B726,Lists!B:B,Lists!A:A,"")</f>
        <v>0.0</v>
      </c>
      <c r="G726" t="str">
        <f t="shared" si="56"/>
        <v/>
      </c>
      <c r="H726" s="20" t="str">
        <f t="shared" si="57"/>
        <v/>
      </c>
      <c r="J726" t="str">
        <f>IF(I726="","",_xlfn.XLOOKUP(I726,Lists!$C:$C,Lists!$D:$D))</f>
        <v/>
      </c>
      <c r="N726" t="str">
        <f t="shared" si="58"/>
        <v/>
      </c>
      <c r="O726" t="str">
        <f>IF(I726="","",_xlfn.XLOOKUP(I726,Lists!$C:$C,Lists!$J:$J))</f>
        <v/>
      </c>
      <c r="P726" t="str">
        <f>IF(I726="","",_xlfn.XLOOKUP(I726,Lists!$C:$C,Lists!$E:$E))</f>
        <v/>
      </c>
      <c r="Q726" s="21" t="str">
        <f t="shared" si="59"/>
        <v/>
      </c>
      <c r="R726" t="str">
        <f t="shared" si="60"/>
        <v/>
      </c>
      <c r="S726" t="str">
        <f>IF(I726="","",_xlfn.XLOOKUP(I726,Lists!$C:$C,Lists!$I:$I))</f>
        <v/>
      </c>
    </row>
    <row r="727" spans="8:8">
      <c r="C727">
        <f>_xlfn.XLOOKUP(B727,Lists!B:B,Lists!A:A,"")</f>
        <v>0.0</v>
      </c>
      <c r="G727" t="str">
        <f t="shared" si="56"/>
        <v/>
      </c>
      <c r="H727" s="20" t="str">
        <f t="shared" si="57"/>
        <v/>
      </c>
      <c r="J727" t="str">
        <f>IF(I727="","",_xlfn.XLOOKUP(I727,Lists!$C:$C,Lists!$D:$D))</f>
        <v/>
      </c>
      <c r="N727" t="str">
        <f t="shared" si="58"/>
        <v/>
      </c>
      <c r="O727" t="str">
        <f>IF(I727="","",_xlfn.XLOOKUP(I727,Lists!$C:$C,Lists!$J:$J))</f>
        <v/>
      </c>
      <c r="P727" t="str">
        <f>IF(I727="","",_xlfn.XLOOKUP(I727,Lists!$C:$C,Lists!$E:$E))</f>
        <v/>
      </c>
      <c r="Q727" s="21" t="str">
        <f t="shared" si="59"/>
        <v/>
      </c>
      <c r="R727" t="str">
        <f t="shared" si="60"/>
        <v/>
      </c>
      <c r="S727" t="str">
        <f>IF(I727="","",_xlfn.XLOOKUP(I727,Lists!$C:$C,Lists!$I:$I))</f>
        <v/>
      </c>
    </row>
    <row r="728" spans="8:8">
      <c r="C728">
        <f>_xlfn.XLOOKUP(B728,Lists!B:B,Lists!A:A,"")</f>
        <v>0.0</v>
      </c>
      <c r="G728" t="str">
        <f t="shared" si="56"/>
        <v/>
      </c>
      <c r="H728" s="20" t="str">
        <f t="shared" si="57"/>
        <v/>
      </c>
      <c r="J728" t="str">
        <f>IF(I728="","",_xlfn.XLOOKUP(I728,Lists!$C:$C,Lists!$D:$D))</f>
        <v/>
      </c>
      <c r="N728" t="str">
        <f t="shared" si="58"/>
        <v/>
      </c>
      <c r="O728" t="str">
        <f>IF(I728="","",_xlfn.XLOOKUP(I728,Lists!$C:$C,Lists!$J:$J))</f>
        <v/>
      </c>
      <c r="P728" t="str">
        <f>IF(I728="","",_xlfn.XLOOKUP(I728,Lists!$C:$C,Lists!$E:$E))</f>
        <v/>
      </c>
      <c r="Q728" s="21" t="str">
        <f t="shared" si="59"/>
        <v/>
      </c>
      <c r="R728" t="str">
        <f t="shared" si="60"/>
        <v/>
      </c>
      <c r="S728" t="str">
        <f>IF(I728="","",_xlfn.XLOOKUP(I728,Lists!$C:$C,Lists!$I:$I))</f>
        <v/>
      </c>
    </row>
    <row r="729" spans="8:8">
      <c r="C729">
        <f>_xlfn.XLOOKUP(B729,Lists!B:B,Lists!A:A,"")</f>
        <v>0.0</v>
      </c>
      <c r="G729" t="str">
        <f t="shared" si="56"/>
        <v/>
      </c>
      <c r="H729" s="20" t="str">
        <f t="shared" si="57"/>
        <v/>
      </c>
      <c r="J729" t="str">
        <f>IF(I729="","",_xlfn.XLOOKUP(I729,Lists!$C:$C,Lists!$D:$D))</f>
        <v/>
      </c>
      <c r="N729" t="str">
        <f t="shared" si="58"/>
        <v/>
      </c>
      <c r="O729" t="str">
        <f>IF(I729="","",_xlfn.XLOOKUP(I729,Lists!$C:$C,Lists!$J:$J))</f>
        <v/>
      </c>
      <c r="P729" t="str">
        <f>IF(I729="","",_xlfn.XLOOKUP(I729,Lists!$C:$C,Lists!$E:$E))</f>
        <v/>
      </c>
      <c r="Q729" s="21" t="str">
        <f t="shared" si="59"/>
        <v/>
      </c>
      <c r="R729" t="str">
        <f t="shared" si="60"/>
        <v/>
      </c>
      <c r="S729" t="str">
        <f>IF(I729="","",_xlfn.XLOOKUP(I729,Lists!$C:$C,Lists!$I:$I))</f>
        <v/>
      </c>
    </row>
    <row r="730" spans="8:8">
      <c r="C730">
        <f>_xlfn.XLOOKUP(B730,Lists!B:B,Lists!A:A,"")</f>
        <v>0.0</v>
      </c>
      <c r="G730" t="str">
        <f t="shared" si="56"/>
        <v/>
      </c>
      <c r="H730" s="20" t="str">
        <f t="shared" si="57"/>
        <v/>
      </c>
      <c r="J730" t="str">
        <f>IF(I730="","",_xlfn.XLOOKUP(I730,Lists!$C:$C,Lists!$D:$D))</f>
        <v/>
      </c>
      <c r="N730" t="str">
        <f t="shared" si="58"/>
        <v/>
      </c>
      <c r="O730" t="str">
        <f>IF(I730="","",_xlfn.XLOOKUP(I730,Lists!$C:$C,Lists!$J:$J))</f>
        <v/>
      </c>
      <c r="P730" t="str">
        <f>IF(I730="","",_xlfn.XLOOKUP(I730,Lists!$C:$C,Lists!$E:$E))</f>
        <v/>
      </c>
      <c r="Q730" s="21" t="str">
        <f t="shared" si="59"/>
        <v/>
      </c>
      <c r="R730" t="str">
        <f t="shared" si="60"/>
        <v/>
      </c>
      <c r="S730" t="str">
        <f>IF(I730="","",_xlfn.XLOOKUP(I730,Lists!$C:$C,Lists!$I:$I))</f>
        <v/>
      </c>
    </row>
    <row r="731" spans="8:8">
      <c r="C731">
        <f>_xlfn.XLOOKUP(B731,Lists!B:B,Lists!A:A,"")</f>
        <v>0.0</v>
      </c>
      <c r="G731" t="str">
        <f t="shared" si="56"/>
        <v/>
      </c>
      <c r="H731" s="20" t="str">
        <f t="shared" si="57"/>
        <v/>
      </c>
      <c r="J731" t="str">
        <f>IF(I731="","",_xlfn.XLOOKUP(I731,Lists!$C:$C,Lists!$D:$D))</f>
        <v/>
      </c>
      <c r="N731" t="str">
        <f t="shared" si="58"/>
        <v/>
      </c>
      <c r="O731" t="str">
        <f>IF(I731="","",_xlfn.XLOOKUP(I731,Lists!$C:$C,Lists!$J:$J))</f>
        <v/>
      </c>
      <c r="P731" t="str">
        <f>IF(I731="","",_xlfn.XLOOKUP(I731,Lists!$C:$C,Lists!$E:$E))</f>
        <v/>
      </c>
      <c r="Q731" s="21" t="str">
        <f t="shared" si="59"/>
        <v/>
      </c>
      <c r="R731" t="str">
        <f t="shared" si="60"/>
        <v/>
      </c>
      <c r="S731" t="str">
        <f>IF(I731="","",_xlfn.XLOOKUP(I731,Lists!$C:$C,Lists!$I:$I))</f>
        <v/>
      </c>
    </row>
    <row r="732" spans="8:8">
      <c r="C732">
        <f>_xlfn.XLOOKUP(B732,Lists!B:B,Lists!A:A,"")</f>
        <v>0.0</v>
      </c>
      <c r="G732" t="str">
        <f t="shared" si="56"/>
        <v/>
      </c>
      <c r="H732" s="20" t="str">
        <f t="shared" si="57"/>
        <v/>
      </c>
      <c r="J732" t="str">
        <f>IF(I732="","",_xlfn.XLOOKUP(I732,Lists!$C:$C,Lists!$D:$D))</f>
        <v/>
      </c>
      <c r="N732" t="str">
        <f t="shared" si="58"/>
        <v/>
      </c>
      <c r="O732" t="str">
        <f>IF(I732="","",_xlfn.XLOOKUP(I732,Lists!$C:$C,Lists!$J:$J))</f>
        <v/>
      </c>
      <c r="P732" t="str">
        <f>IF(I732="","",_xlfn.XLOOKUP(I732,Lists!$C:$C,Lists!$E:$E))</f>
        <v/>
      </c>
      <c r="Q732" s="21" t="str">
        <f t="shared" si="59"/>
        <v/>
      </c>
      <c r="R732" t="str">
        <f t="shared" si="60"/>
        <v/>
      </c>
      <c r="S732" t="str">
        <f>IF(I732="","",_xlfn.XLOOKUP(I732,Lists!$C:$C,Lists!$I:$I))</f>
        <v/>
      </c>
    </row>
    <row r="733" spans="8:8">
      <c r="C733">
        <f>_xlfn.XLOOKUP(B733,Lists!B:B,Lists!A:A,"")</f>
        <v>0.0</v>
      </c>
      <c r="G733" t="str">
        <f t="shared" si="56"/>
        <v/>
      </c>
      <c r="H733" s="20" t="str">
        <f t="shared" si="57"/>
        <v/>
      </c>
      <c r="J733" t="str">
        <f>IF(I733="","",_xlfn.XLOOKUP(I733,Lists!$C:$C,Lists!$D:$D))</f>
        <v/>
      </c>
      <c r="N733" t="str">
        <f t="shared" si="58"/>
        <v/>
      </c>
      <c r="O733" t="str">
        <f>IF(I733="","",_xlfn.XLOOKUP(I733,Lists!$C:$C,Lists!$J:$J))</f>
        <v/>
      </c>
      <c r="P733" t="str">
        <f>IF(I733="","",_xlfn.XLOOKUP(I733,Lists!$C:$C,Lists!$E:$E))</f>
        <v/>
      </c>
      <c r="Q733" s="21" t="str">
        <f t="shared" si="59"/>
        <v/>
      </c>
      <c r="R733" t="str">
        <f t="shared" si="60"/>
        <v/>
      </c>
      <c r="S733" t="str">
        <f>IF(I733="","",_xlfn.XLOOKUP(I733,Lists!$C:$C,Lists!$I:$I))</f>
        <v/>
      </c>
    </row>
    <row r="734" spans="8:8">
      <c r="C734">
        <f>_xlfn.XLOOKUP(B734,Lists!B:B,Lists!A:A,"")</f>
        <v>0.0</v>
      </c>
      <c r="G734" t="str">
        <f t="shared" si="56"/>
        <v/>
      </c>
      <c r="H734" s="20" t="str">
        <f t="shared" si="57"/>
        <v/>
      </c>
      <c r="J734" t="str">
        <f>IF(I734="","",_xlfn.XLOOKUP(I734,Lists!$C:$C,Lists!$D:$D))</f>
        <v/>
      </c>
      <c r="N734" t="str">
        <f t="shared" si="58"/>
        <v/>
      </c>
      <c r="O734" t="str">
        <f>IF(I734="","",_xlfn.XLOOKUP(I734,Lists!$C:$C,Lists!$J:$J))</f>
        <v/>
      </c>
      <c r="P734" t="str">
        <f>IF(I734="","",_xlfn.XLOOKUP(I734,Lists!$C:$C,Lists!$E:$E))</f>
        <v/>
      </c>
      <c r="Q734" s="21" t="str">
        <f t="shared" si="59"/>
        <v/>
      </c>
      <c r="R734" t="str">
        <f t="shared" si="60"/>
        <v/>
      </c>
      <c r="S734" t="str">
        <f>IF(I734="","",_xlfn.XLOOKUP(I734,Lists!$C:$C,Lists!$I:$I))</f>
        <v/>
      </c>
    </row>
    <row r="735" spans="8:8">
      <c r="C735">
        <f>_xlfn.XLOOKUP(B735,Lists!B:B,Lists!A:A,"")</f>
        <v>0.0</v>
      </c>
      <c r="G735" t="str">
        <f t="shared" si="56"/>
        <v/>
      </c>
      <c r="H735" s="20" t="str">
        <f t="shared" si="57"/>
        <v/>
      </c>
      <c r="J735" t="str">
        <f>IF(I735="","",_xlfn.XLOOKUP(I735,Lists!$C:$C,Lists!$D:$D))</f>
        <v/>
      </c>
      <c r="N735" t="str">
        <f t="shared" si="58"/>
        <v/>
      </c>
      <c r="O735" t="str">
        <f>IF(I735="","",_xlfn.XLOOKUP(I735,Lists!$C:$C,Lists!$J:$J))</f>
        <v/>
      </c>
      <c r="P735" t="str">
        <f>IF(I735="","",_xlfn.XLOOKUP(I735,Lists!$C:$C,Lists!$E:$E))</f>
        <v/>
      </c>
      <c r="Q735" s="21" t="str">
        <f t="shared" si="59"/>
        <v/>
      </c>
      <c r="R735" t="str">
        <f t="shared" si="60"/>
        <v/>
      </c>
      <c r="S735" t="str">
        <f>IF(I735="","",_xlfn.XLOOKUP(I735,Lists!$C:$C,Lists!$I:$I))</f>
        <v/>
      </c>
    </row>
    <row r="736" spans="8:8">
      <c r="C736">
        <f>_xlfn.XLOOKUP(B736,Lists!B:B,Lists!A:A,"")</f>
        <v>0.0</v>
      </c>
      <c r="G736" t="str">
        <f t="shared" si="56"/>
        <v/>
      </c>
      <c r="H736" s="20" t="str">
        <f t="shared" si="57"/>
        <v/>
      </c>
      <c r="J736" t="str">
        <f>IF(I736="","",_xlfn.XLOOKUP(I736,Lists!$C:$C,Lists!$D:$D))</f>
        <v/>
      </c>
      <c r="N736" t="str">
        <f t="shared" si="58"/>
        <v/>
      </c>
      <c r="O736" t="str">
        <f>IF(I736="","",_xlfn.XLOOKUP(I736,Lists!$C:$C,Lists!$J:$J))</f>
        <v/>
      </c>
      <c r="P736" t="str">
        <f>IF(I736="","",_xlfn.XLOOKUP(I736,Lists!$C:$C,Lists!$E:$E))</f>
        <v/>
      </c>
      <c r="Q736" s="21" t="str">
        <f t="shared" si="59"/>
        <v/>
      </c>
      <c r="R736" t="str">
        <f t="shared" si="60"/>
        <v/>
      </c>
      <c r="S736" t="str">
        <f>IF(I736="","",_xlfn.XLOOKUP(I736,Lists!$C:$C,Lists!$I:$I))</f>
        <v/>
      </c>
    </row>
    <row r="737" spans="8:8">
      <c r="C737">
        <f>_xlfn.XLOOKUP(B737,Lists!B:B,Lists!A:A,"")</f>
        <v>0.0</v>
      </c>
      <c r="G737" t="str">
        <f t="shared" si="56"/>
        <v/>
      </c>
      <c r="H737" s="20" t="str">
        <f t="shared" si="57"/>
        <v/>
      </c>
      <c r="J737" t="str">
        <f>IF(I737="","",_xlfn.XLOOKUP(I737,Lists!$C:$C,Lists!$D:$D))</f>
        <v/>
      </c>
      <c r="N737" t="str">
        <f t="shared" si="58"/>
        <v/>
      </c>
      <c r="O737" t="str">
        <f>IF(I737="","",_xlfn.XLOOKUP(I737,Lists!$C:$C,Lists!$J:$J))</f>
        <v/>
      </c>
      <c r="P737" t="str">
        <f>IF(I737="","",_xlfn.XLOOKUP(I737,Lists!$C:$C,Lists!$E:$E))</f>
        <v/>
      </c>
      <c r="Q737" s="21" t="str">
        <f t="shared" si="59"/>
        <v/>
      </c>
      <c r="R737" t="str">
        <f t="shared" si="60"/>
        <v/>
      </c>
      <c r="S737" t="str">
        <f>IF(I737="","",_xlfn.XLOOKUP(I737,Lists!$C:$C,Lists!$I:$I))</f>
        <v/>
      </c>
    </row>
    <row r="738" spans="8:8">
      <c r="C738">
        <f>_xlfn.XLOOKUP(B738,Lists!B:B,Lists!A:A,"")</f>
        <v>0.0</v>
      </c>
      <c r="G738" t="str">
        <f t="shared" si="56"/>
        <v/>
      </c>
      <c r="H738" s="20" t="str">
        <f t="shared" si="57"/>
        <v/>
      </c>
      <c r="J738" t="str">
        <f>IF(I738="","",_xlfn.XLOOKUP(I738,Lists!$C:$C,Lists!$D:$D))</f>
        <v/>
      </c>
      <c r="N738" t="str">
        <f t="shared" si="58"/>
        <v/>
      </c>
      <c r="O738" t="str">
        <f>IF(I738="","",_xlfn.XLOOKUP(I738,Lists!$C:$C,Lists!$J:$J))</f>
        <v/>
      </c>
      <c r="P738" t="str">
        <f>IF(I738="","",_xlfn.XLOOKUP(I738,Lists!$C:$C,Lists!$E:$E))</f>
        <v/>
      </c>
      <c r="Q738" s="21" t="str">
        <f t="shared" si="59"/>
        <v/>
      </c>
      <c r="R738" t="str">
        <f t="shared" si="60"/>
        <v/>
      </c>
      <c r="S738" t="str">
        <f>IF(I738="","",_xlfn.XLOOKUP(I738,Lists!$C:$C,Lists!$I:$I))</f>
        <v/>
      </c>
    </row>
    <row r="739" spans="8:8">
      <c r="C739">
        <f>_xlfn.XLOOKUP(B739,Lists!B:B,Lists!A:A,"")</f>
        <v>0.0</v>
      </c>
      <c r="G739" t="str">
        <f t="shared" si="56"/>
        <v/>
      </c>
      <c r="H739" s="20" t="str">
        <f t="shared" si="57"/>
        <v/>
      </c>
      <c r="J739" t="str">
        <f>IF(I739="","",_xlfn.XLOOKUP(I739,Lists!$C:$C,Lists!$D:$D))</f>
        <v/>
      </c>
      <c r="N739" t="str">
        <f t="shared" si="58"/>
        <v/>
      </c>
      <c r="O739" t="str">
        <f>IF(I739="","",_xlfn.XLOOKUP(I739,Lists!$C:$C,Lists!$J:$J))</f>
        <v/>
      </c>
      <c r="P739" t="str">
        <f>IF(I739="","",_xlfn.XLOOKUP(I739,Lists!$C:$C,Lists!$E:$E))</f>
        <v/>
      </c>
      <c r="Q739" s="21" t="str">
        <f t="shared" si="59"/>
        <v/>
      </c>
      <c r="R739" t="str">
        <f t="shared" si="60"/>
        <v/>
      </c>
      <c r="S739" t="str">
        <f>IF(I739="","",_xlfn.XLOOKUP(I739,Lists!$C:$C,Lists!$I:$I))</f>
        <v/>
      </c>
    </row>
    <row r="740" spans="8:8">
      <c r="C740">
        <f>_xlfn.XLOOKUP(B740,Lists!B:B,Lists!A:A,"")</f>
        <v>0.0</v>
      </c>
      <c r="G740" t="str">
        <f t="shared" si="56"/>
        <v/>
      </c>
      <c r="H740" s="20" t="str">
        <f t="shared" si="57"/>
        <v/>
      </c>
      <c r="J740" t="str">
        <f>IF(I740="","",_xlfn.XLOOKUP(I740,Lists!$C:$C,Lists!$D:$D))</f>
        <v/>
      </c>
      <c r="N740" t="str">
        <f t="shared" si="58"/>
        <v/>
      </c>
      <c r="O740" t="str">
        <f>IF(I740="","",_xlfn.XLOOKUP(I740,Lists!$C:$C,Lists!$J:$J))</f>
        <v/>
      </c>
      <c r="P740" t="str">
        <f>IF(I740="","",_xlfn.XLOOKUP(I740,Lists!$C:$C,Lists!$E:$E))</f>
        <v/>
      </c>
      <c r="Q740" s="21" t="str">
        <f t="shared" si="59"/>
        <v/>
      </c>
      <c r="R740" t="str">
        <f t="shared" si="60"/>
        <v/>
      </c>
      <c r="S740" t="str">
        <f>IF(I740="","",_xlfn.XLOOKUP(I740,Lists!$C:$C,Lists!$I:$I))</f>
        <v/>
      </c>
    </row>
    <row r="741" spans="8:8">
      <c r="C741">
        <f>_xlfn.XLOOKUP(B741,Lists!B:B,Lists!A:A,"")</f>
        <v>0.0</v>
      </c>
      <c r="G741" t="str">
        <f t="shared" si="56"/>
        <v/>
      </c>
      <c r="H741" s="20" t="str">
        <f t="shared" si="57"/>
        <v/>
      </c>
      <c r="J741" t="str">
        <f>IF(I741="","",_xlfn.XLOOKUP(I741,Lists!$C:$C,Lists!$D:$D))</f>
        <v/>
      </c>
      <c r="N741" t="str">
        <f t="shared" si="58"/>
        <v/>
      </c>
      <c r="O741" t="str">
        <f>IF(I741="","",_xlfn.XLOOKUP(I741,Lists!$C:$C,Lists!$J:$J))</f>
        <v/>
      </c>
      <c r="P741" t="str">
        <f>IF(I741="","",_xlfn.XLOOKUP(I741,Lists!$C:$C,Lists!$E:$E))</f>
        <v/>
      </c>
      <c r="Q741" s="21" t="str">
        <f t="shared" si="59"/>
        <v/>
      </c>
      <c r="R741" t="str">
        <f t="shared" si="60"/>
        <v/>
      </c>
      <c r="S741" t="str">
        <f>IF(I741="","",_xlfn.XLOOKUP(I741,Lists!$C:$C,Lists!$I:$I))</f>
        <v/>
      </c>
    </row>
    <row r="742" spans="8:8">
      <c r="C742">
        <f>_xlfn.XLOOKUP(B742,Lists!B:B,Lists!A:A,"")</f>
        <v>0.0</v>
      </c>
      <c r="G742" t="str">
        <f t="shared" si="56"/>
        <v/>
      </c>
      <c r="H742" s="20" t="str">
        <f t="shared" si="57"/>
        <v/>
      </c>
      <c r="J742" t="str">
        <f>IF(I742="","",_xlfn.XLOOKUP(I742,Lists!$C:$C,Lists!$D:$D))</f>
        <v/>
      </c>
      <c r="N742" t="str">
        <f t="shared" si="58"/>
        <v/>
      </c>
      <c r="O742" t="str">
        <f>IF(I742="","",_xlfn.XLOOKUP(I742,Lists!$C:$C,Lists!$J:$J))</f>
        <v/>
      </c>
      <c r="P742" t="str">
        <f>IF(I742="","",_xlfn.XLOOKUP(I742,Lists!$C:$C,Lists!$E:$E))</f>
        <v/>
      </c>
      <c r="Q742" s="21" t="str">
        <f t="shared" si="59"/>
        <v/>
      </c>
      <c r="R742" t="str">
        <f t="shared" si="60"/>
        <v/>
      </c>
      <c r="S742" t="str">
        <f>IF(I742="","",_xlfn.XLOOKUP(I742,Lists!$C:$C,Lists!$I:$I))</f>
        <v/>
      </c>
    </row>
    <row r="743" spans="8:8">
      <c r="C743">
        <f>_xlfn.XLOOKUP(B743,Lists!B:B,Lists!A:A,"")</f>
        <v>0.0</v>
      </c>
      <c r="G743" t="str">
        <f t="shared" si="56"/>
        <v/>
      </c>
      <c r="H743" s="20" t="str">
        <f t="shared" si="57"/>
        <v/>
      </c>
      <c r="J743" t="str">
        <f>IF(I743="","",_xlfn.XLOOKUP(I743,Lists!$C:$C,Lists!$D:$D))</f>
        <v/>
      </c>
      <c r="N743" t="str">
        <f t="shared" si="58"/>
        <v/>
      </c>
      <c r="O743" t="str">
        <f>IF(I743="","",_xlfn.XLOOKUP(I743,Lists!$C:$C,Lists!$J:$J))</f>
        <v/>
      </c>
      <c r="P743" t="str">
        <f>IF(I743="","",_xlfn.XLOOKUP(I743,Lists!$C:$C,Lists!$E:$E))</f>
        <v/>
      </c>
      <c r="Q743" s="21" t="str">
        <f t="shared" si="59"/>
        <v/>
      </c>
      <c r="R743" t="str">
        <f t="shared" si="60"/>
        <v/>
      </c>
      <c r="S743" t="str">
        <f>IF(I743="","",_xlfn.XLOOKUP(I743,Lists!$C:$C,Lists!$I:$I))</f>
        <v/>
      </c>
    </row>
    <row r="744" spans="8:8">
      <c r="C744">
        <f>_xlfn.XLOOKUP(B744,Lists!B:B,Lists!A:A,"")</f>
        <v>0.0</v>
      </c>
      <c r="G744" t="str">
        <f t="shared" si="56"/>
        <v/>
      </c>
      <c r="H744" s="20" t="str">
        <f t="shared" si="57"/>
        <v/>
      </c>
      <c r="J744" t="str">
        <f>IF(I744="","",_xlfn.XLOOKUP(I744,Lists!$C:$C,Lists!$D:$D))</f>
        <v/>
      </c>
      <c r="N744" t="str">
        <f t="shared" si="58"/>
        <v/>
      </c>
      <c r="O744" t="str">
        <f>IF(I744="","",_xlfn.XLOOKUP(I744,Lists!$C:$C,Lists!$J:$J))</f>
        <v/>
      </c>
      <c r="P744" t="str">
        <f>IF(I744="","",_xlfn.XLOOKUP(I744,Lists!$C:$C,Lists!$E:$E))</f>
        <v/>
      </c>
      <c r="Q744" s="21" t="str">
        <f t="shared" si="59"/>
        <v/>
      </c>
      <c r="R744" t="str">
        <f t="shared" si="60"/>
        <v/>
      </c>
      <c r="S744" t="str">
        <f>IF(I744="","",_xlfn.XLOOKUP(I744,Lists!$C:$C,Lists!$I:$I))</f>
        <v/>
      </c>
    </row>
    <row r="745" spans="8:8">
      <c r="C745">
        <f>_xlfn.XLOOKUP(B745,Lists!B:B,Lists!A:A,"")</f>
        <v>0.0</v>
      </c>
      <c r="G745" t="str">
        <f t="shared" si="56"/>
        <v/>
      </c>
      <c r="H745" s="20" t="str">
        <f t="shared" si="57"/>
        <v/>
      </c>
      <c r="J745" t="str">
        <f>IF(I745="","",_xlfn.XLOOKUP(I745,Lists!$C:$C,Lists!$D:$D))</f>
        <v/>
      </c>
      <c r="N745" t="str">
        <f t="shared" si="58"/>
        <v/>
      </c>
      <c r="O745" t="str">
        <f>IF(I745="","",_xlfn.XLOOKUP(I745,Lists!$C:$C,Lists!$J:$J))</f>
        <v/>
      </c>
      <c r="P745" t="str">
        <f>IF(I745="","",_xlfn.XLOOKUP(I745,Lists!$C:$C,Lists!$E:$E))</f>
        <v/>
      </c>
      <c r="Q745" s="21" t="str">
        <f t="shared" si="59"/>
        <v/>
      </c>
      <c r="R745" t="str">
        <f t="shared" si="60"/>
        <v/>
      </c>
      <c r="S745" t="str">
        <f>IF(I745="","",_xlfn.XLOOKUP(I745,Lists!$C:$C,Lists!$I:$I))</f>
        <v/>
      </c>
    </row>
    <row r="746" spans="8:8">
      <c r="C746">
        <f>_xlfn.XLOOKUP(B746,Lists!B:B,Lists!A:A,"")</f>
        <v>0.0</v>
      </c>
      <c r="G746" t="str">
        <f t="shared" si="56"/>
        <v/>
      </c>
      <c r="H746" s="20" t="str">
        <f t="shared" si="57"/>
        <v/>
      </c>
      <c r="J746" t="str">
        <f>IF(I746="","",_xlfn.XLOOKUP(I746,Lists!$C:$C,Lists!$D:$D))</f>
        <v/>
      </c>
      <c r="N746" t="str">
        <f t="shared" si="58"/>
        <v/>
      </c>
      <c r="O746" t="str">
        <f>IF(I746="","",_xlfn.XLOOKUP(I746,Lists!$C:$C,Lists!$J:$J))</f>
        <v/>
      </c>
      <c r="P746" t="str">
        <f>IF(I746="","",_xlfn.XLOOKUP(I746,Lists!$C:$C,Lists!$E:$E))</f>
        <v/>
      </c>
      <c r="Q746" s="21" t="str">
        <f t="shared" si="59"/>
        <v/>
      </c>
      <c r="R746" t="str">
        <f t="shared" si="60"/>
        <v/>
      </c>
      <c r="S746" t="str">
        <f>IF(I746="","",_xlfn.XLOOKUP(I746,Lists!$C:$C,Lists!$I:$I))</f>
        <v/>
      </c>
    </row>
    <row r="747" spans="8:8">
      <c r="C747">
        <f>_xlfn.XLOOKUP(B747,Lists!B:B,Lists!A:A,"")</f>
        <v>0.0</v>
      </c>
      <c r="G747" t="str">
        <f t="shared" si="56"/>
        <v/>
      </c>
      <c r="H747" s="20" t="str">
        <f t="shared" si="57"/>
        <v/>
      </c>
      <c r="J747" t="str">
        <f>IF(I747="","",_xlfn.XLOOKUP(I747,Lists!$C:$C,Lists!$D:$D))</f>
        <v/>
      </c>
      <c r="N747" t="str">
        <f t="shared" si="58"/>
        <v/>
      </c>
      <c r="O747" t="str">
        <f>IF(I747="","",_xlfn.XLOOKUP(I747,Lists!$C:$C,Lists!$J:$J))</f>
        <v/>
      </c>
      <c r="P747" t="str">
        <f>IF(I747="","",_xlfn.XLOOKUP(I747,Lists!$C:$C,Lists!$E:$E))</f>
        <v/>
      </c>
      <c r="Q747" s="21" t="str">
        <f t="shared" si="59"/>
        <v/>
      </c>
      <c r="R747" t="str">
        <f t="shared" si="60"/>
        <v/>
      </c>
      <c r="S747" t="str">
        <f>IF(I747="","",_xlfn.XLOOKUP(I747,Lists!$C:$C,Lists!$I:$I))</f>
        <v/>
      </c>
    </row>
    <row r="748" spans="8:8">
      <c r="C748">
        <f>_xlfn.XLOOKUP(B748,Lists!B:B,Lists!A:A,"")</f>
        <v>0.0</v>
      </c>
      <c r="G748" t="str">
        <f t="shared" si="56"/>
        <v/>
      </c>
      <c r="H748" s="20" t="str">
        <f t="shared" si="57"/>
        <v/>
      </c>
      <c r="J748" t="str">
        <f>IF(I748="","",_xlfn.XLOOKUP(I748,Lists!$C:$C,Lists!$D:$D))</f>
        <v/>
      </c>
      <c r="N748" t="str">
        <f t="shared" si="58"/>
        <v/>
      </c>
      <c r="O748" t="str">
        <f>IF(I748="","",_xlfn.XLOOKUP(I748,Lists!$C:$C,Lists!$J:$J))</f>
        <v/>
      </c>
      <c r="P748" t="str">
        <f>IF(I748="","",_xlfn.XLOOKUP(I748,Lists!$C:$C,Lists!$E:$E))</f>
        <v/>
      </c>
      <c r="Q748" s="21" t="str">
        <f t="shared" si="59"/>
        <v/>
      </c>
      <c r="R748" t="str">
        <f t="shared" si="60"/>
        <v/>
      </c>
      <c r="S748" t="str">
        <f>IF(I748="","",_xlfn.XLOOKUP(I748,Lists!$C:$C,Lists!$I:$I))</f>
        <v/>
      </c>
    </row>
    <row r="749" spans="8:8">
      <c r="C749">
        <f>_xlfn.XLOOKUP(B749,Lists!B:B,Lists!A:A,"")</f>
        <v>0.0</v>
      </c>
      <c r="G749" t="str">
        <f t="shared" si="56"/>
        <v/>
      </c>
      <c r="H749" s="20" t="str">
        <f t="shared" si="57"/>
        <v/>
      </c>
      <c r="J749" t="str">
        <f>IF(I749="","",_xlfn.XLOOKUP(I749,Lists!$C:$C,Lists!$D:$D))</f>
        <v/>
      </c>
      <c r="N749" t="str">
        <f t="shared" si="58"/>
        <v/>
      </c>
      <c r="O749" t="str">
        <f>IF(I749="","",_xlfn.XLOOKUP(I749,Lists!$C:$C,Lists!$J:$J))</f>
        <v/>
      </c>
      <c r="P749" t="str">
        <f>IF(I749="","",_xlfn.XLOOKUP(I749,Lists!$C:$C,Lists!$E:$E))</f>
        <v/>
      </c>
      <c r="Q749" s="21" t="str">
        <f t="shared" si="59"/>
        <v/>
      </c>
      <c r="R749" t="str">
        <f t="shared" si="60"/>
        <v/>
      </c>
      <c r="S749" t="str">
        <f>IF(I749="","",_xlfn.XLOOKUP(I749,Lists!$C:$C,Lists!$I:$I))</f>
        <v/>
      </c>
    </row>
    <row r="750" spans="8:8">
      <c r="C750">
        <f>_xlfn.XLOOKUP(B750,Lists!B:B,Lists!A:A,"")</f>
        <v>0.0</v>
      </c>
      <c r="G750" t="str">
        <f t="shared" si="56"/>
        <v/>
      </c>
      <c r="H750" s="20" t="str">
        <f t="shared" si="57"/>
        <v/>
      </c>
      <c r="J750" t="str">
        <f>IF(I750="","",_xlfn.XLOOKUP(I750,Lists!$C:$C,Lists!$D:$D))</f>
        <v/>
      </c>
      <c r="N750" t="str">
        <f t="shared" si="58"/>
        <v/>
      </c>
      <c r="O750" t="str">
        <f>IF(I750="","",_xlfn.XLOOKUP(I750,Lists!$C:$C,Lists!$J:$J))</f>
        <v/>
      </c>
      <c r="P750" t="str">
        <f>IF(I750="","",_xlfn.XLOOKUP(I750,Lists!$C:$C,Lists!$E:$E))</f>
        <v/>
      </c>
      <c r="Q750" s="21" t="str">
        <f t="shared" si="59"/>
        <v/>
      </c>
      <c r="R750" t="str">
        <f t="shared" si="60"/>
        <v/>
      </c>
      <c r="S750" t="str">
        <f>IF(I750="","",_xlfn.XLOOKUP(I750,Lists!$C:$C,Lists!$I:$I))</f>
        <v/>
      </c>
    </row>
    <row r="751" spans="8:8">
      <c r="C751">
        <f>_xlfn.XLOOKUP(B751,Lists!B:B,Lists!A:A,"")</f>
        <v>0.0</v>
      </c>
      <c r="G751" t="str">
        <f t="shared" si="56"/>
        <v/>
      </c>
      <c r="H751" s="20" t="str">
        <f t="shared" si="57"/>
        <v/>
      </c>
      <c r="J751" t="str">
        <f>IF(I751="","",_xlfn.XLOOKUP(I751,Lists!$C:$C,Lists!$D:$D))</f>
        <v/>
      </c>
      <c r="N751" t="str">
        <f t="shared" si="58"/>
        <v/>
      </c>
      <c r="O751" t="str">
        <f>IF(I751="","",_xlfn.XLOOKUP(I751,Lists!$C:$C,Lists!$J:$J))</f>
        <v/>
      </c>
      <c r="P751" t="str">
        <f>IF(I751="","",_xlfn.XLOOKUP(I751,Lists!$C:$C,Lists!$E:$E))</f>
        <v/>
      </c>
      <c r="Q751" s="21" t="str">
        <f t="shared" si="59"/>
        <v/>
      </c>
      <c r="R751" t="str">
        <f t="shared" si="60"/>
        <v/>
      </c>
      <c r="S751" t="str">
        <f>IF(I751="","",_xlfn.XLOOKUP(I751,Lists!$C:$C,Lists!$I:$I))</f>
        <v/>
      </c>
    </row>
    <row r="752" spans="8:8">
      <c r="C752">
        <f>_xlfn.XLOOKUP(B752,Lists!B:B,Lists!A:A,"")</f>
        <v>0.0</v>
      </c>
      <c r="G752" t="str">
        <f t="shared" si="56"/>
        <v/>
      </c>
      <c r="H752" s="20" t="str">
        <f t="shared" si="57"/>
        <v/>
      </c>
      <c r="J752" t="str">
        <f>IF(I752="","",_xlfn.XLOOKUP(I752,Lists!$C:$C,Lists!$D:$D))</f>
        <v/>
      </c>
      <c r="N752" t="str">
        <f t="shared" si="58"/>
        <v/>
      </c>
      <c r="O752" t="str">
        <f>IF(I752="","",_xlfn.XLOOKUP(I752,Lists!$C:$C,Lists!$J:$J))</f>
        <v/>
      </c>
      <c r="P752" t="str">
        <f>IF(I752="","",_xlfn.XLOOKUP(I752,Lists!$C:$C,Lists!$E:$E))</f>
        <v/>
      </c>
      <c r="Q752" s="21" t="str">
        <f t="shared" si="59"/>
        <v/>
      </c>
      <c r="R752" t="str">
        <f t="shared" si="60"/>
        <v/>
      </c>
      <c r="S752" t="str">
        <f>IF(I752="","",_xlfn.XLOOKUP(I752,Lists!$C:$C,Lists!$I:$I))</f>
        <v/>
      </c>
    </row>
    <row r="753" spans="8:8">
      <c r="C753">
        <f>_xlfn.XLOOKUP(B753,Lists!B:B,Lists!A:A,"")</f>
        <v>0.0</v>
      </c>
      <c r="G753" t="str">
        <f t="shared" si="56"/>
        <v/>
      </c>
      <c r="H753" s="20" t="str">
        <f t="shared" si="57"/>
        <v/>
      </c>
      <c r="J753" t="str">
        <f>IF(I753="","",_xlfn.XLOOKUP(I753,Lists!$C:$C,Lists!$D:$D))</f>
        <v/>
      </c>
      <c r="N753" t="str">
        <f t="shared" si="58"/>
        <v/>
      </c>
      <c r="O753" t="str">
        <f>IF(I753="","",_xlfn.XLOOKUP(I753,Lists!$C:$C,Lists!$J:$J))</f>
        <v/>
      </c>
      <c r="P753" t="str">
        <f>IF(I753="","",_xlfn.XLOOKUP(I753,Lists!$C:$C,Lists!$E:$E))</f>
        <v/>
      </c>
      <c r="Q753" s="21" t="str">
        <f t="shared" si="59"/>
        <v/>
      </c>
      <c r="R753" t="str">
        <f t="shared" si="60"/>
        <v/>
      </c>
      <c r="S753" t="str">
        <f>IF(I753="","",_xlfn.XLOOKUP(I753,Lists!$C:$C,Lists!$I:$I))</f>
        <v/>
      </c>
    </row>
    <row r="754" spans="8:8">
      <c r="C754">
        <f>_xlfn.XLOOKUP(B754,Lists!B:B,Lists!A:A,"")</f>
        <v>0.0</v>
      </c>
      <c r="G754" t="str">
        <f t="shared" si="56"/>
        <v/>
      </c>
      <c r="H754" s="20" t="str">
        <f t="shared" si="57"/>
        <v/>
      </c>
      <c r="J754" t="str">
        <f>IF(I754="","",_xlfn.XLOOKUP(I754,Lists!$C:$C,Lists!$D:$D))</f>
        <v/>
      </c>
      <c r="N754" t="str">
        <f t="shared" si="58"/>
        <v/>
      </c>
      <c r="O754" t="str">
        <f>IF(I754="","",_xlfn.XLOOKUP(I754,Lists!$C:$C,Lists!$J:$J))</f>
        <v/>
      </c>
      <c r="P754" t="str">
        <f>IF(I754="","",_xlfn.XLOOKUP(I754,Lists!$C:$C,Lists!$E:$E))</f>
        <v/>
      </c>
      <c r="Q754" s="21" t="str">
        <f t="shared" si="59"/>
        <v/>
      </c>
      <c r="R754" t="str">
        <f t="shared" si="60"/>
        <v/>
      </c>
      <c r="S754" t="str">
        <f>IF(I754="","",_xlfn.XLOOKUP(I754,Lists!$C:$C,Lists!$I:$I))</f>
        <v/>
      </c>
    </row>
    <row r="755" spans="8:8">
      <c r="C755">
        <f>_xlfn.XLOOKUP(B755,Lists!B:B,Lists!A:A,"")</f>
        <v>0.0</v>
      </c>
      <c r="G755" t="str">
        <f t="shared" si="56"/>
        <v/>
      </c>
      <c r="H755" s="20" t="str">
        <f t="shared" si="57"/>
        <v/>
      </c>
      <c r="J755" t="str">
        <f>IF(I755="","",_xlfn.XLOOKUP(I755,Lists!$C:$C,Lists!$D:$D))</f>
        <v/>
      </c>
      <c r="N755" t="str">
        <f t="shared" si="58"/>
        <v/>
      </c>
      <c r="O755" t="str">
        <f>IF(I755="","",_xlfn.XLOOKUP(I755,Lists!$C:$C,Lists!$J:$J))</f>
        <v/>
      </c>
      <c r="P755" t="str">
        <f>IF(I755="","",_xlfn.XLOOKUP(I755,Lists!$C:$C,Lists!$E:$E))</f>
        <v/>
      </c>
      <c r="Q755" s="21" t="str">
        <f t="shared" si="59"/>
        <v/>
      </c>
      <c r="R755" t="str">
        <f t="shared" si="60"/>
        <v/>
      </c>
      <c r="S755" t="str">
        <f>IF(I755="","",_xlfn.XLOOKUP(I755,Lists!$C:$C,Lists!$I:$I))</f>
        <v/>
      </c>
    </row>
    <row r="756" spans="8:8">
      <c r="C756">
        <f>_xlfn.XLOOKUP(B756,Lists!B:B,Lists!A:A,"")</f>
        <v>0.0</v>
      </c>
      <c r="G756" t="str">
        <f t="shared" si="56"/>
        <v/>
      </c>
      <c r="H756" s="20" t="str">
        <f t="shared" si="57"/>
        <v/>
      </c>
      <c r="J756" t="str">
        <f>IF(I756="","",_xlfn.XLOOKUP(I756,Lists!$C:$C,Lists!$D:$D))</f>
        <v/>
      </c>
      <c r="N756" t="str">
        <f t="shared" si="58"/>
        <v/>
      </c>
      <c r="O756" t="str">
        <f>IF(I756="","",_xlfn.XLOOKUP(I756,Lists!$C:$C,Lists!$J:$J))</f>
        <v/>
      </c>
      <c r="P756" t="str">
        <f>IF(I756="","",_xlfn.XLOOKUP(I756,Lists!$C:$C,Lists!$E:$E))</f>
        <v/>
      </c>
      <c r="Q756" s="21" t="str">
        <f t="shared" si="59"/>
        <v/>
      </c>
      <c r="R756" t="str">
        <f t="shared" si="60"/>
        <v/>
      </c>
      <c r="S756" t="str">
        <f>IF(I756="","",_xlfn.XLOOKUP(I756,Lists!$C:$C,Lists!$I:$I))</f>
        <v/>
      </c>
    </row>
    <row r="757" spans="8:8">
      <c r="C757">
        <f>_xlfn.XLOOKUP(B757,Lists!B:B,Lists!A:A,"")</f>
        <v>0.0</v>
      </c>
      <c r="G757" t="str">
        <f t="shared" si="56"/>
        <v/>
      </c>
      <c r="H757" s="20" t="str">
        <f t="shared" si="57"/>
        <v/>
      </c>
      <c r="J757" t="str">
        <f>IF(I757="","",_xlfn.XLOOKUP(I757,Lists!$C:$C,Lists!$D:$D))</f>
        <v/>
      </c>
      <c r="N757" t="str">
        <f t="shared" si="58"/>
        <v/>
      </c>
      <c r="O757" t="str">
        <f>IF(I757="","",_xlfn.XLOOKUP(I757,Lists!$C:$C,Lists!$J:$J))</f>
        <v/>
      </c>
      <c r="P757" t="str">
        <f>IF(I757="","",_xlfn.XLOOKUP(I757,Lists!$C:$C,Lists!$E:$E))</f>
        <v/>
      </c>
      <c r="Q757" s="21" t="str">
        <f t="shared" si="59"/>
        <v/>
      </c>
      <c r="R757" t="str">
        <f t="shared" si="60"/>
        <v/>
      </c>
      <c r="S757" t="str">
        <f>IF(I757="","",_xlfn.XLOOKUP(I757,Lists!$C:$C,Lists!$I:$I))</f>
        <v/>
      </c>
    </row>
    <row r="758" spans="8:8">
      <c r="C758">
        <f>_xlfn.XLOOKUP(B758,Lists!B:B,Lists!A:A,"")</f>
        <v>0.0</v>
      </c>
      <c r="G758" t="str">
        <f t="shared" si="56"/>
        <v/>
      </c>
      <c r="H758" s="20" t="str">
        <f t="shared" si="57"/>
        <v/>
      </c>
      <c r="J758" t="str">
        <f>IF(I758="","",_xlfn.XLOOKUP(I758,Lists!$C:$C,Lists!$D:$D))</f>
        <v/>
      </c>
      <c r="N758" t="str">
        <f t="shared" si="58"/>
        <v/>
      </c>
      <c r="O758" t="str">
        <f>IF(I758="","",_xlfn.XLOOKUP(I758,Lists!$C:$C,Lists!$J:$J))</f>
        <v/>
      </c>
      <c r="P758" t="str">
        <f>IF(I758="","",_xlfn.XLOOKUP(I758,Lists!$C:$C,Lists!$E:$E))</f>
        <v/>
      </c>
      <c r="Q758" s="21" t="str">
        <f t="shared" si="59"/>
        <v/>
      </c>
      <c r="R758" t="str">
        <f t="shared" si="60"/>
        <v/>
      </c>
      <c r="S758" t="str">
        <f>IF(I758="","",_xlfn.XLOOKUP(I758,Lists!$C:$C,Lists!$I:$I))</f>
        <v/>
      </c>
    </row>
    <row r="759" spans="8:8">
      <c r="C759">
        <f>_xlfn.XLOOKUP(B759,Lists!B:B,Lists!A:A,"")</f>
        <v>0.0</v>
      </c>
      <c r="G759" t="str">
        <f t="shared" si="56"/>
        <v/>
      </c>
      <c r="H759" s="20" t="str">
        <f t="shared" si="57"/>
        <v/>
      </c>
      <c r="J759" t="str">
        <f>IF(I759="","",_xlfn.XLOOKUP(I759,Lists!$C:$C,Lists!$D:$D))</f>
        <v/>
      </c>
      <c r="N759" t="str">
        <f t="shared" si="58"/>
        <v/>
      </c>
      <c r="O759" t="str">
        <f>IF(I759="","",_xlfn.XLOOKUP(I759,Lists!$C:$C,Lists!$J:$J))</f>
        <v/>
      </c>
      <c r="P759" t="str">
        <f>IF(I759="","",_xlfn.XLOOKUP(I759,Lists!$C:$C,Lists!$E:$E))</f>
        <v/>
      </c>
      <c r="Q759" s="21" t="str">
        <f t="shared" si="59"/>
        <v/>
      </c>
      <c r="R759" t="str">
        <f t="shared" si="60"/>
        <v/>
      </c>
      <c r="S759" t="str">
        <f>IF(I759="","",_xlfn.XLOOKUP(I759,Lists!$C:$C,Lists!$I:$I))</f>
        <v/>
      </c>
    </row>
    <row r="760" spans="8:8">
      <c r="C760">
        <f>_xlfn.XLOOKUP(B760,Lists!B:B,Lists!A:A,"")</f>
        <v>0.0</v>
      </c>
      <c r="G760" t="str">
        <f t="shared" si="56"/>
        <v/>
      </c>
      <c r="H760" s="20" t="str">
        <f t="shared" si="57"/>
        <v/>
      </c>
      <c r="J760" t="str">
        <f>IF(I760="","",_xlfn.XLOOKUP(I760,Lists!$C:$C,Lists!$D:$D))</f>
        <v/>
      </c>
      <c r="N760" t="str">
        <f t="shared" si="58"/>
        <v/>
      </c>
      <c r="O760" t="str">
        <f>IF(I760="","",_xlfn.XLOOKUP(I760,Lists!$C:$C,Lists!$J:$J))</f>
        <v/>
      </c>
      <c r="P760" t="str">
        <f>IF(I760="","",_xlfn.XLOOKUP(I760,Lists!$C:$C,Lists!$E:$E))</f>
        <v/>
      </c>
      <c r="Q760" s="21" t="str">
        <f t="shared" si="59"/>
        <v/>
      </c>
      <c r="R760" t="str">
        <f t="shared" si="60"/>
        <v/>
      </c>
      <c r="S760" t="str">
        <f>IF(I760="","",_xlfn.XLOOKUP(I760,Lists!$C:$C,Lists!$I:$I))</f>
        <v/>
      </c>
    </row>
    <row r="761" spans="8:8">
      <c r="C761">
        <f>_xlfn.XLOOKUP(B761,Lists!B:B,Lists!A:A,"")</f>
        <v>0.0</v>
      </c>
      <c r="G761" t="str">
        <f t="shared" si="56"/>
        <v/>
      </c>
      <c r="H761" s="20" t="str">
        <f t="shared" si="57"/>
        <v/>
      </c>
      <c r="J761" t="str">
        <f>IF(I761="","",_xlfn.XLOOKUP(I761,Lists!$C:$C,Lists!$D:$D))</f>
        <v/>
      </c>
      <c r="N761" t="str">
        <f t="shared" si="58"/>
        <v/>
      </c>
      <c r="O761" t="str">
        <f>IF(I761="","",_xlfn.XLOOKUP(I761,Lists!$C:$C,Lists!$J:$J))</f>
        <v/>
      </c>
      <c r="P761" t="str">
        <f>IF(I761="","",_xlfn.XLOOKUP(I761,Lists!$C:$C,Lists!$E:$E))</f>
        <v/>
      </c>
      <c r="Q761" s="21" t="str">
        <f t="shared" si="59"/>
        <v/>
      </c>
      <c r="R761" t="str">
        <f t="shared" si="60"/>
        <v/>
      </c>
      <c r="S761" t="str">
        <f>IF(I761="","",_xlfn.XLOOKUP(I761,Lists!$C:$C,Lists!$I:$I))</f>
        <v/>
      </c>
    </row>
    <row r="762" spans="8:8">
      <c r="C762">
        <f>_xlfn.XLOOKUP(B762,Lists!B:B,Lists!A:A,"")</f>
        <v>0.0</v>
      </c>
      <c r="G762" t="str">
        <f t="shared" si="56"/>
        <v/>
      </c>
      <c r="H762" s="20" t="str">
        <f t="shared" si="57"/>
        <v/>
      </c>
      <c r="J762" t="str">
        <f>IF(I762="","",_xlfn.XLOOKUP(I762,Lists!$C:$C,Lists!$D:$D))</f>
        <v/>
      </c>
      <c r="N762" t="str">
        <f t="shared" si="58"/>
        <v/>
      </c>
      <c r="O762" t="str">
        <f>IF(I762="","",_xlfn.XLOOKUP(I762,Lists!$C:$C,Lists!$J:$J))</f>
        <v/>
      </c>
      <c r="P762" t="str">
        <f>IF(I762="","",_xlfn.XLOOKUP(I762,Lists!$C:$C,Lists!$E:$E))</f>
        <v/>
      </c>
      <c r="Q762" s="21" t="str">
        <f t="shared" si="59"/>
        <v/>
      </c>
      <c r="R762" t="str">
        <f t="shared" si="60"/>
        <v/>
      </c>
      <c r="S762" t="str">
        <f>IF(I762="","",_xlfn.XLOOKUP(I762,Lists!$C:$C,Lists!$I:$I))</f>
        <v/>
      </c>
    </row>
    <row r="763" spans="8:8">
      <c r="C763">
        <f>_xlfn.XLOOKUP(B763,Lists!B:B,Lists!A:A,"")</f>
        <v>0.0</v>
      </c>
      <c r="G763" t="str">
        <f t="shared" si="56"/>
        <v/>
      </c>
      <c r="H763" s="20" t="str">
        <f t="shared" si="57"/>
        <v/>
      </c>
      <c r="J763" t="str">
        <f>IF(I763="","",_xlfn.XLOOKUP(I763,Lists!$C:$C,Lists!$D:$D))</f>
        <v/>
      </c>
      <c r="N763" t="str">
        <f t="shared" si="58"/>
        <v/>
      </c>
      <c r="O763" t="str">
        <f>IF(I763="","",_xlfn.XLOOKUP(I763,Lists!$C:$C,Lists!$J:$J))</f>
        <v/>
      </c>
      <c r="P763" t="str">
        <f>IF(I763="","",_xlfn.XLOOKUP(I763,Lists!$C:$C,Lists!$E:$E))</f>
        <v/>
      </c>
      <c r="Q763" s="21" t="str">
        <f t="shared" si="59"/>
        <v/>
      </c>
      <c r="R763" t="str">
        <f t="shared" si="60"/>
        <v/>
      </c>
      <c r="S763" t="str">
        <f>IF(I763="","",_xlfn.XLOOKUP(I763,Lists!$C:$C,Lists!$I:$I))</f>
        <v/>
      </c>
    </row>
    <row r="764" spans="8:8">
      <c r="C764">
        <f>_xlfn.XLOOKUP(B764,Lists!B:B,Lists!A:A,"")</f>
        <v>0.0</v>
      </c>
      <c r="G764" t="str">
        <f t="shared" si="56"/>
        <v/>
      </c>
      <c r="H764" s="20" t="str">
        <f t="shared" si="57"/>
        <v/>
      </c>
      <c r="J764" t="str">
        <f>IF(I764="","",_xlfn.XLOOKUP(I764,Lists!$C:$C,Lists!$D:$D))</f>
        <v/>
      </c>
      <c r="N764" t="str">
        <f t="shared" si="58"/>
        <v/>
      </c>
      <c r="O764" t="str">
        <f>IF(I764="","",_xlfn.XLOOKUP(I764,Lists!$C:$C,Lists!$J:$J))</f>
        <v/>
      </c>
      <c r="P764" t="str">
        <f>IF(I764="","",_xlfn.XLOOKUP(I764,Lists!$C:$C,Lists!$E:$E))</f>
        <v/>
      </c>
      <c r="Q764" s="21" t="str">
        <f t="shared" si="59"/>
        <v/>
      </c>
      <c r="R764" t="str">
        <f t="shared" si="60"/>
        <v/>
      </c>
      <c r="S764" t="str">
        <f>IF(I764="","",_xlfn.XLOOKUP(I764,Lists!$C:$C,Lists!$I:$I))</f>
        <v/>
      </c>
    </row>
    <row r="765" spans="8:8">
      <c r="C765">
        <f>_xlfn.XLOOKUP(B765,Lists!B:B,Lists!A:A,"")</f>
        <v>0.0</v>
      </c>
      <c r="G765" t="str">
        <f t="shared" si="56"/>
        <v/>
      </c>
      <c r="H765" s="20" t="str">
        <f t="shared" si="57"/>
        <v/>
      </c>
      <c r="J765" t="str">
        <f>IF(I765="","",_xlfn.XLOOKUP(I765,Lists!$C:$C,Lists!$D:$D))</f>
        <v/>
      </c>
      <c r="N765" t="str">
        <f t="shared" si="58"/>
        <v/>
      </c>
      <c r="O765" t="str">
        <f>IF(I765="","",_xlfn.XLOOKUP(I765,Lists!$C:$C,Lists!$J:$J))</f>
        <v/>
      </c>
      <c r="P765" t="str">
        <f>IF(I765="","",_xlfn.XLOOKUP(I765,Lists!$C:$C,Lists!$E:$E))</f>
        <v/>
      </c>
      <c r="Q765" s="21" t="str">
        <f t="shared" si="59"/>
        <v/>
      </c>
      <c r="R765" t="str">
        <f t="shared" si="60"/>
        <v/>
      </c>
      <c r="S765" t="str">
        <f>IF(I765="","",_xlfn.XLOOKUP(I765,Lists!$C:$C,Lists!$I:$I))</f>
        <v/>
      </c>
    </row>
    <row r="766" spans="8:8">
      <c r="C766">
        <f>_xlfn.XLOOKUP(B766,Lists!B:B,Lists!A:A,"")</f>
        <v>0.0</v>
      </c>
      <c r="G766" t="str">
        <f t="shared" si="56"/>
        <v/>
      </c>
      <c r="H766" s="20" t="str">
        <f t="shared" si="57"/>
        <v/>
      </c>
      <c r="J766" t="str">
        <f>IF(I766="","",_xlfn.XLOOKUP(I766,Lists!$C:$C,Lists!$D:$D))</f>
        <v/>
      </c>
      <c r="N766" t="str">
        <f t="shared" si="58"/>
        <v/>
      </c>
      <c r="O766" t="str">
        <f>IF(I766="","",_xlfn.XLOOKUP(I766,Lists!$C:$C,Lists!$J:$J))</f>
        <v/>
      </c>
      <c r="P766" t="str">
        <f>IF(I766="","",_xlfn.XLOOKUP(I766,Lists!$C:$C,Lists!$E:$E))</f>
        <v/>
      </c>
      <c r="Q766" s="21" t="str">
        <f t="shared" si="59"/>
        <v/>
      </c>
      <c r="R766" t="str">
        <f t="shared" si="60"/>
        <v/>
      </c>
      <c r="S766" t="str">
        <f>IF(I766="","",_xlfn.XLOOKUP(I766,Lists!$C:$C,Lists!$I:$I))</f>
        <v/>
      </c>
    </row>
    <row r="767" spans="8:8">
      <c r="C767">
        <f>_xlfn.XLOOKUP(B767,Lists!B:B,Lists!A:A,"")</f>
        <v>0.0</v>
      </c>
      <c r="G767" t="str">
        <f t="shared" si="56"/>
        <v/>
      </c>
      <c r="H767" s="20" t="str">
        <f t="shared" si="57"/>
        <v/>
      </c>
      <c r="J767" t="str">
        <f>IF(I767="","",_xlfn.XLOOKUP(I767,Lists!$C:$C,Lists!$D:$D))</f>
        <v/>
      </c>
      <c r="N767" t="str">
        <f t="shared" si="58"/>
        <v/>
      </c>
      <c r="O767" t="str">
        <f>IF(I767="","",_xlfn.XLOOKUP(I767,Lists!$C:$C,Lists!$J:$J))</f>
        <v/>
      </c>
      <c r="P767" t="str">
        <f>IF(I767="","",_xlfn.XLOOKUP(I767,Lists!$C:$C,Lists!$E:$E))</f>
        <v/>
      </c>
      <c r="Q767" s="21" t="str">
        <f t="shared" si="59"/>
        <v/>
      </c>
      <c r="R767" t="str">
        <f t="shared" si="60"/>
        <v/>
      </c>
      <c r="S767" t="str">
        <f>IF(I767="","",_xlfn.XLOOKUP(I767,Lists!$C:$C,Lists!$I:$I))</f>
        <v/>
      </c>
    </row>
    <row r="768" spans="8:8">
      <c r="C768">
        <f>_xlfn.XLOOKUP(B768,Lists!B:B,Lists!A:A,"")</f>
        <v>0.0</v>
      </c>
      <c r="G768" t="str">
        <f t="shared" si="56"/>
        <v/>
      </c>
      <c r="H768" s="20" t="str">
        <f t="shared" si="57"/>
        <v/>
      </c>
      <c r="J768" t="str">
        <f>IF(I768="","",_xlfn.XLOOKUP(I768,Lists!$C:$C,Lists!$D:$D))</f>
        <v/>
      </c>
      <c r="N768" t="str">
        <f t="shared" si="58"/>
        <v/>
      </c>
      <c r="O768" t="str">
        <f>IF(I768="","",_xlfn.XLOOKUP(I768,Lists!$C:$C,Lists!$J:$J))</f>
        <v/>
      </c>
      <c r="P768" t="str">
        <f>IF(I768="","",_xlfn.XLOOKUP(I768,Lists!$C:$C,Lists!$E:$E))</f>
        <v/>
      </c>
      <c r="Q768" s="21" t="str">
        <f t="shared" si="59"/>
        <v/>
      </c>
      <c r="R768" t="str">
        <f t="shared" si="60"/>
        <v/>
      </c>
      <c r="S768" t="str">
        <f>IF(I768="","",_xlfn.XLOOKUP(I768,Lists!$C:$C,Lists!$I:$I))</f>
        <v/>
      </c>
    </row>
    <row r="769" spans="8:8">
      <c r="C769">
        <f>_xlfn.XLOOKUP(B769,Lists!B:B,Lists!A:A,"")</f>
        <v>0.0</v>
      </c>
      <c r="G769" t="str">
        <f t="shared" si="56"/>
        <v/>
      </c>
      <c r="H769" s="20" t="str">
        <f t="shared" si="57"/>
        <v/>
      </c>
      <c r="J769" t="str">
        <f>IF(I769="","",_xlfn.XLOOKUP(I769,Lists!$C:$C,Lists!$D:$D))</f>
        <v/>
      </c>
      <c r="N769" t="str">
        <f t="shared" si="58"/>
        <v/>
      </c>
      <c r="O769" t="str">
        <f>IF(I769="","",_xlfn.XLOOKUP(I769,Lists!$C:$C,Lists!$J:$J))</f>
        <v/>
      </c>
      <c r="P769" t="str">
        <f>IF(I769="","",_xlfn.XLOOKUP(I769,Lists!$C:$C,Lists!$E:$E))</f>
        <v/>
      </c>
      <c r="Q769" s="21" t="str">
        <f t="shared" si="59"/>
        <v/>
      </c>
      <c r="R769" t="str">
        <f t="shared" si="60"/>
        <v/>
      </c>
      <c r="S769" t="str">
        <f>IF(I769="","",_xlfn.XLOOKUP(I769,Lists!$C:$C,Lists!$I:$I))</f>
        <v/>
      </c>
    </row>
    <row r="770" spans="8:8">
      <c r="C770">
        <f>_xlfn.XLOOKUP(B770,Lists!B:B,Lists!A:A,"")</f>
        <v>0.0</v>
      </c>
      <c r="G770" t="str">
        <f t="shared" si="56"/>
        <v/>
      </c>
      <c r="H770" s="20" t="str">
        <f t="shared" si="57"/>
        <v/>
      </c>
      <c r="J770" t="str">
        <f>IF(I770="","",_xlfn.XLOOKUP(I770,Lists!$C:$C,Lists!$D:$D))</f>
        <v/>
      </c>
      <c r="N770" t="str">
        <f t="shared" si="58"/>
        <v/>
      </c>
      <c r="O770" t="str">
        <f>IF(I770="","",_xlfn.XLOOKUP(I770,Lists!$C:$C,Lists!$J:$J))</f>
        <v/>
      </c>
      <c r="P770" t="str">
        <f>IF(I770="","",_xlfn.XLOOKUP(I770,Lists!$C:$C,Lists!$E:$E))</f>
        <v/>
      </c>
      <c r="Q770" s="21" t="str">
        <f t="shared" si="59"/>
        <v/>
      </c>
      <c r="R770" t="str">
        <f t="shared" si="60"/>
        <v/>
      </c>
      <c r="S770" t="str">
        <f>IF(I770="","",_xlfn.XLOOKUP(I770,Lists!$C:$C,Lists!$I:$I))</f>
        <v/>
      </c>
    </row>
    <row r="771" spans="8:8">
      <c r="C771">
        <f>_xlfn.XLOOKUP(B771,Lists!B:B,Lists!A:A,"")</f>
        <v>0.0</v>
      </c>
      <c r="G771" t="str">
        <f t="shared" si="56"/>
        <v/>
      </c>
      <c r="H771" s="20" t="str">
        <f t="shared" si="57"/>
        <v/>
      </c>
      <c r="J771" t="str">
        <f>IF(I771="","",_xlfn.XLOOKUP(I771,Lists!$C:$C,Lists!$D:$D))</f>
        <v/>
      </c>
      <c r="N771" t="str">
        <f t="shared" si="58"/>
        <v/>
      </c>
      <c r="O771" t="str">
        <f>IF(I771="","",_xlfn.XLOOKUP(I771,Lists!$C:$C,Lists!$J:$J))</f>
        <v/>
      </c>
      <c r="P771" t="str">
        <f>IF(I771="","",_xlfn.XLOOKUP(I771,Lists!$C:$C,Lists!$E:$E))</f>
        <v/>
      </c>
      <c r="Q771" s="21" t="str">
        <f t="shared" si="59"/>
        <v/>
      </c>
      <c r="R771" t="str">
        <f t="shared" si="60"/>
        <v/>
      </c>
      <c r="S771" t="str">
        <f>IF(I771="","",_xlfn.XLOOKUP(I771,Lists!$C:$C,Lists!$I:$I))</f>
        <v/>
      </c>
    </row>
    <row r="772" spans="8:8">
      <c r="C772">
        <f>_xlfn.XLOOKUP(B772,Lists!B:B,Lists!A:A,"")</f>
        <v>0.0</v>
      </c>
      <c r="G772" t="str">
        <f t="shared" si="56"/>
        <v/>
      </c>
      <c r="H772" s="20" t="str">
        <f t="shared" si="57"/>
        <v/>
      </c>
      <c r="J772" t="str">
        <f>IF(I772="","",_xlfn.XLOOKUP(I772,Lists!$C:$C,Lists!$D:$D))</f>
        <v/>
      </c>
      <c r="N772" t="str">
        <f t="shared" si="58"/>
        <v/>
      </c>
      <c r="O772" t="str">
        <f>IF(I772="","",_xlfn.XLOOKUP(I772,Lists!$C:$C,Lists!$J:$J))</f>
        <v/>
      </c>
      <c r="P772" t="str">
        <f>IF(I772="","",_xlfn.XLOOKUP(I772,Lists!$C:$C,Lists!$E:$E))</f>
        <v/>
      </c>
      <c r="Q772" s="21" t="str">
        <f t="shared" si="59"/>
        <v/>
      </c>
      <c r="R772" t="str">
        <f t="shared" si="60"/>
        <v/>
      </c>
      <c r="S772" t="str">
        <f>IF(I772="","",_xlfn.XLOOKUP(I772,Lists!$C:$C,Lists!$I:$I))</f>
        <v/>
      </c>
    </row>
    <row r="773" spans="8:8">
      <c r="C773">
        <f>_xlfn.XLOOKUP(B773,Lists!B:B,Lists!A:A,"")</f>
        <v>0.0</v>
      </c>
      <c r="G773" t="str">
        <f t="shared" si="56"/>
        <v/>
      </c>
      <c r="H773" s="20" t="str">
        <f t="shared" si="57"/>
        <v/>
      </c>
      <c r="J773" t="str">
        <f>IF(I773="","",_xlfn.XLOOKUP(I773,Lists!$C:$C,Lists!$D:$D))</f>
        <v/>
      </c>
      <c r="N773" t="str">
        <f t="shared" si="58"/>
        <v/>
      </c>
      <c r="O773" t="str">
        <f>IF(I773="","",_xlfn.XLOOKUP(I773,Lists!$C:$C,Lists!$J:$J))</f>
        <v/>
      </c>
      <c r="P773" t="str">
        <f>IF(I773="","",_xlfn.XLOOKUP(I773,Lists!$C:$C,Lists!$E:$E))</f>
        <v/>
      </c>
      <c r="Q773" s="21" t="str">
        <f t="shared" si="59"/>
        <v/>
      </c>
      <c r="R773" t="str">
        <f t="shared" si="60"/>
        <v/>
      </c>
      <c r="S773" t="str">
        <f>IF(I773="","",_xlfn.XLOOKUP(I773,Lists!$C:$C,Lists!$I:$I))</f>
        <v/>
      </c>
    </row>
    <row r="774" spans="8:8">
      <c r="C774">
        <f>_xlfn.XLOOKUP(B774,Lists!B:B,Lists!A:A,"")</f>
        <v>0.0</v>
      </c>
      <c r="G774" t="str">
        <f t="shared" si="56"/>
        <v/>
      </c>
      <c r="H774" s="20" t="str">
        <f t="shared" si="57"/>
        <v/>
      </c>
      <c r="J774" t="str">
        <f>IF(I774="","",_xlfn.XLOOKUP(I774,Lists!$C:$C,Lists!$D:$D))</f>
        <v/>
      </c>
      <c r="N774" t="str">
        <f t="shared" si="58"/>
        <v/>
      </c>
      <c r="O774" t="str">
        <f>IF(I774="","",_xlfn.XLOOKUP(I774,Lists!$C:$C,Lists!$J:$J))</f>
        <v/>
      </c>
      <c r="P774" t="str">
        <f>IF(I774="","",_xlfn.XLOOKUP(I774,Lists!$C:$C,Lists!$E:$E))</f>
        <v/>
      </c>
      <c r="Q774" s="21" t="str">
        <f t="shared" si="59"/>
        <v/>
      </c>
      <c r="R774" t="str">
        <f t="shared" si="60"/>
        <v/>
      </c>
      <c r="S774" t="str">
        <f>IF(I774="","",_xlfn.XLOOKUP(I774,Lists!$C:$C,Lists!$I:$I))</f>
        <v/>
      </c>
    </row>
    <row r="775" spans="8:8">
      <c r="C775">
        <f>_xlfn.XLOOKUP(B775,Lists!B:B,Lists!A:A,"")</f>
        <v>0.0</v>
      </c>
      <c r="G775" t="str">
        <f t="shared" si="56"/>
        <v/>
      </c>
      <c r="H775" s="20" t="str">
        <f t="shared" si="57"/>
        <v/>
      </c>
      <c r="J775" t="str">
        <f>IF(I775="","",_xlfn.XLOOKUP(I775,Lists!$C:$C,Lists!$D:$D))</f>
        <v/>
      </c>
      <c r="N775" t="str">
        <f t="shared" si="58"/>
        <v/>
      </c>
      <c r="O775" t="str">
        <f>IF(I775="","",_xlfn.XLOOKUP(I775,Lists!$C:$C,Lists!$J:$J))</f>
        <v/>
      </c>
      <c r="P775" t="str">
        <f>IF(I775="","",_xlfn.XLOOKUP(I775,Lists!$C:$C,Lists!$E:$E))</f>
        <v/>
      </c>
      <c r="Q775" s="21" t="str">
        <f t="shared" si="59"/>
        <v/>
      </c>
      <c r="R775" t="str">
        <f t="shared" si="60"/>
        <v/>
      </c>
      <c r="S775" t="str">
        <f>IF(I775="","",_xlfn.XLOOKUP(I775,Lists!$C:$C,Lists!$I:$I))</f>
        <v/>
      </c>
    </row>
    <row r="776" spans="8:8">
      <c r="C776">
        <f>_xlfn.XLOOKUP(B776,Lists!B:B,Lists!A:A,"")</f>
        <v>0.0</v>
      </c>
      <c r="G776" t="str">
        <f t="shared" si="56"/>
        <v/>
      </c>
      <c r="H776" s="20" t="str">
        <f t="shared" si="57"/>
        <v/>
      </c>
      <c r="J776" t="str">
        <f>IF(I776="","",_xlfn.XLOOKUP(I776,Lists!$C:$C,Lists!$D:$D))</f>
        <v/>
      </c>
      <c r="N776" t="str">
        <f t="shared" si="58"/>
        <v/>
      </c>
      <c r="O776" t="str">
        <f>IF(I776="","",_xlfn.XLOOKUP(I776,Lists!$C:$C,Lists!$J:$J))</f>
        <v/>
      </c>
      <c r="P776" t="str">
        <f>IF(I776="","",_xlfn.XLOOKUP(I776,Lists!$C:$C,Lists!$E:$E))</f>
        <v/>
      </c>
      <c r="Q776" s="21" t="str">
        <f t="shared" si="59"/>
        <v/>
      </c>
      <c r="R776" t="str">
        <f t="shared" si="60"/>
        <v/>
      </c>
      <c r="S776" t="str">
        <f>IF(I776="","",_xlfn.XLOOKUP(I776,Lists!$C:$C,Lists!$I:$I))</f>
        <v/>
      </c>
    </row>
    <row r="777" spans="8:8">
      <c r="C777">
        <f>_xlfn.XLOOKUP(B777,Lists!B:B,Lists!A:A,"")</f>
        <v>0.0</v>
      </c>
      <c r="G777" t="str">
        <f t="shared" si="56"/>
        <v/>
      </c>
      <c r="H777" s="20" t="str">
        <f t="shared" si="57"/>
        <v/>
      </c>
      <c r="J777" t="str">
        <f>IF(I777="","",_xlfn.XLOOKUP(I777,Lists!$C:$C,Lists!$D:$D))</f>
        <v/>
      </c>
      <c r="N777" t="str">
        <f t="shared" si="58"/>
        <v/>
      </c>
      <c r="O777" t="str">
        <f>IF(I777="","",_xlfn.XLOOKUP(I777,Lists!$C:$C,Lists!$J:$J))</f>
        <v/>
      </c>
      <c r="P777" t="str">
        <f>IF(I777="","",_xlfn.XLOOKUP(I777,Lists!$C:$C,Lists!$E:$E))</f>
        <v/>
      </c>
      <c r="Q777" s="21" t="str">
        <f t="shared" si="59"/>
        <v/>
      </c>
      <c r="R777" t="str">
        <f t="shared" si="60"/>
        <v/>
      </c>
      <c r="S777" t="str">
        <f>IF(I777="","",_xlfn.XLOOKUP(I777,Lists!$C:$C,Lists!$I:$I))</f>
        <v/>
      </c>
    </row>
    <row r="778" spans="8:8">
      <c r="C778">
        <f>_xlfn.XLOOKUP(B778,Lists!B:B,Lists!A:A,"")</f>
        <v>0.0</v>
      </c>
      <c r="G778" t="str">
        <f t="shared" si="56"/>
        <v/>
      </c>
      <c r="H778" s="20" t="str">
        <f t="shared" si="57"/>
        <v/>
      </c>
      <c r="J778" t="str">
        <f>IF(I778="","",_xlfn.XLOOKUP(I778,Lists!$C:$C,Lists!$D:$D))</f>
        <v/>
      </c>
      <c r="N778" t="str">
        <f t="shared" si="58"/>
        <v/>
      </c>
      <c r="O778" t="str">
        <f>IF(I778="","",_xlfn.XLOOKUP(I778,Lists!$C:$C,Lists!$J:$J))</f>
        <v/>
      </c>
      <c r="P778" t="str">
        <f>IF(I778="","",_xlfn.XLOOKUP(I778,Lists!$C:$C,Lists!$E:$E))</f>
        <v/>
      </c>
      <c r="Q778" s="21" t="str">
        <f t="shared" si="59"/>
        <v/>
      </c>
      <c r="R778" t="str">
        <f t="shared" si="60"/>
        <v/>
      </c>
      <c r="S778" t="str">
        <f>IF(I778="","",_xlfn.XLOOKUP(I778,Lists!$C:$C,Lists!$I:$I))</f>
        <v/>
      </c>
    </row>
    <row r="779" spans="8:8">
      <c r="C779">
        <f>_xlfn.XLOOKUP(B779,Lists!B:B,Lists!A:A,"")</f>
        <v>0.0</v>
      </c>
      <c r="G779" t="str">
        <f t="shared" si="61" ref="G779:G842">IF(OR(E779="",F779=""),"",F779-E779+1)</f>
        <v/>
      </c>
      <c r="H779" s="20" t="str">
        <f t="shared" si="62" ref="H779:H842">IF(D779="","",IF(OR(D779="A",D779="B"),G779/80,IF(D779="A&amp;B",G779/160,"")))</f>
        <v/>
      </c>
      <c r="J779" t="str">
        <f>IF(I779="","",_xlfn.XLOOKUP(I779,Lists!$C:$C,Lists!$D:$D))</f>
        <v/>
      </c>
      <c r="N779" t="str">
        <f t="shared" si="63" ref="N779:N842">IF(OR(M779="",L779=""),"",(M779*L779)/100000)</f>
        <v/>
      </c>
      <c r="O779" t="str">
        <f>IF(I779="","",_xlfn.XLOOKUP(I779,Lists!$C:$C,Lists!$J:$J))</f>
        <v/>
      </c>
      <c r="P779" t="str">
        <f>IF(I779="","",_xlfn.XLOOKUP(I779,Lists!$C:$C,Lists!$E:$E))</f>
        <v/>
      </c>
      <c r="Q779" s="21" t="str">
        <f t="shared" si="64" ref="Q779:Q842">IF(OR(A779="",P779=""),"",A779+P779+1)</f>
        <v/>
      </c>
      <c r="R779" t="str">
        <f t="shared" si="65" ref="R779:R842">IF(Q779="","",IF(Q779&lt;=TODAY(),"Allow","Not Allow"))</f>
        <v/>
      </c>
      <c r="S779" t="str">
        <f>IF(I779="","",_xlfn.XLOOKUP(I779,Lists!$C:$C,Lists!$I:$I))</f>
        <v/>
      </c>
    </row>
    <row r="780" spans="8:8">
      <c r="C780">
        <f>_xlfn.XLOOKUP(B780,Lists!B:B,Lists!A:A,"")</f>
        <v>0.0</v>
      </c>
      <c r="G780" t="str">
        <f t="shared" si="61"/>
        <v/>
      </c>
      <c r="H780" s="20" t="str">
        <f t="shared" si="62"/>
        <v/>
      </c>
      <c r="J780" t="str">
        <f>IF(I780="","",_xlfn.XLOOKUP(I780,Lists!$C:$C,Lists!$D:$D))</f>
        <v/>
      </c>
      <c r="N780" t="str">
        <f t="shared" si="63"/>
        <v/>
      </c>
      <c r="O780" t="str">
        <f>IF(I780="","",_xlfn.XLOOKUP(I780,Lists!$C:$C,Lists!$J:$J))</f>
        <v/>
      </c>
      <c r="P780" t="str">
        <f>IF(I780="","",_xlfn.XLOOKUP(I780,Lists!$C:$C,Lists!$E:$E))</f>
        <v/>
      </c>
      <c r="Q780" s="21" t="str">
        <f t="shared" si="64"/>
        <v/>
      </c>
      <c r="R780" t="str">
        <f t="shared" si="65"/>
        <v/>
      </c>
      <c r="S780" t="str">
        <f>IF(I780="","",_xlfn.XLOOKUP(I780,Lists!$C:$C,Lists!$I:$I))</f>
        <v/>
      </c>
    </row>
    <row r="781" spans="8:8">
      <c r="C781">
        <f>_xlfn.XLOOKUP(B781,Lists!B:B,Lists!A:A,"")</f>
        <v>0.0</v>
      </c>
      <c r="G781" t="str">
        <f t="shared" si="61"/>
        <v/>
      </c>
      <c r="H781" s="20" t="str">
        <f t="shared" si="62"/>
        <v/>
      </c>
      <c r="J781" t="str">
        <f>IF(I781="","",_xlfn.XLOOKUP(I781,Lists!$C:$C,Lists!$D:$D))</f>
        <v/>
      </c>
      <c r="N781" t="str">
        <f t="shared" si="63"/>
        <v/>
      </c>
      <c r="O781" t="str">
        <f>IF(I781="","",_xlfn.XLOOKUP(I781,Lists!$C:$C,Lists!$J:$J))</f>
        <v/>
      </c>
      <c r="P781" t="str">
        <f>IF(I781="","",_xlfn.XLOOKUP(I781,Lists!$C:$C,Lists!$E:$E))</f>
        <v/>
      </c>
      <c r="Q781" s="21" t="str">
        <f t="shared" si="64"/>
        <v/>
      </c>
      <c r="R781" t="str">
        <f t="shared" si="65"/>
        <v/>
      </c>
      <c r="S781" t="str">
        <f>IF(I781="","",_xlfn.XLOOKUP(I781,Lists!$C:$C,Lists!$I:$I))</f>
        <v/>
      </c>
    </row>
    <row r="782" spans="8:8">
      <c r="C782">
        <f>_xlfn.XLOOKUP(B782,Lists!B:B,Lists!A:A,"")</f>
        <v>0.0</v>
      </c>
      <c r="G782" t="str">
        <f t="shared" si="61"/>
        <v/>
      </c>
      <c r="H782" s="20" t="str">
        <f t="shared" si="62"/>
        <v/>
      </c>
      <c r="J782" t="str">
        <f>IF(I782="","",_xlfn.XLOOKUP(I782,Lists!$C:$C,Lists!$D:$D))</f>
        <v/>
      </c>
      <c r="N782" t="str">
        <f t="shared" si="63"/>
        <v/>
      </c>
      <c r="O782" t="str">
        <f>IF(I782="","",_xlfn.XLOOKUP(I782,Lists!$C:$C,Lists!$J:$J))</f>
        <v/>
      </c>
      <c r="P782" t="str">
        <f>IF(I782="","",_xlfn.XLOOKUP(I782,Lists!$C:$C,Lists!$E:$E))</f>
        <v/>
      </c>
      <c r="Q782" s="21" t="str">
        <f t="shared" si="64"/>
        <v/>
      </c>
      <c r="R782" t="str">
        <f t="shared" si="65"/>
        <v/>
      </c>
      <c r="S782" t="str">
        <f>IF(I782="","",_xlfn.XLOOKUP(I782,Lists!$C:$C,Lists!$I:$I))</f>
        <v/>
      </c>
    </row>
    <row r="783" spans="8:8">
      <c r="C783">
        <f>_xlfn.XLOOKUP(B783,Lists!B:B,Lists!A:A,"")</f>
        <v>0.0</v>
      </c>
      <c r="G783" t="str">
        <f t="shared" si="61"/>
        <v/>
      </c>
      <c r="H783" s="20" t="str">
        <f t="shared" si="62"/>
        <v/>
      </c>
      <c r="J783" t="str">
        <f>IF(I783="","",_xlfn.XLOOKUP(I783,Lists!$C:$C,Lists!$D:$D))</f>
        <v/>
      </c>
      <c r="N783" t="str">
        <f t="shared" si="63"/>
        <v/>
      </c>
      <c r="O783" t="str">
        <f>IF(I783="","",_xlfn.XLOOKUP(I783,Lists!$C:$C,Lists!$J:$J))</f>
        <v/>
      </c>
      <c r="P783" t="str">
        <f>IF(I783="","",_xlfn.XLOOKUP(I783,Lists!$C:$C,Lists!$E:$E))</f>
        <v/>
      </c>
      <c r="Q783" s="21" t="str">
        <f t="shared" si="64"/>
        <v/>
      </c>
      <c r="R783" t="str">
        <f t="shared" si="65"/>
        <v/>
      </c>
      <c r="S783" t="str">
        <f>IF(I783="","",_xlfn.XLOOKUP(I783,Lists!$C:$C,Lists!$I:$I))</f>
        <v/>
      </c>
    </row>
    <row r="784" spans="8:8">
      <c r="C784">
        <f>_xlfn.XLOOKUP(B784,Lists!B:B,Lists!A:A,"")</f>
        <v>0.0</v>
      </c>
      <c r="G784" t="str">
        <f t="shared" si="61"/>
        <v/>
      </c>
      <c r="H784" s="20" t="str">
        <f t="shared" si="62"/>
        <v/>
      </c>
      <c r="J784" t="str">
        <f>IF(I784="","",_xlfn.XLOOKUP(I784,Lists!$C:$C,Lists!$D:$D))</f>
        <v/>
      </c>
      <c r="N784" t="str">
        <f t="shared" si="63"/>
        <v/>
      </c>
      <c r="O784" t="str">
        <f>IF(I784="","",_xlfn.XLOOKUP(I784,Lists!$C:$C,Lists!$J:$J))</f>
        <v/>
      </c>
      <c r="P784" t="str">
        <f>IF(I784="","",_xlfn.XLOOKUP(I784,Lists!$C:$C,Lists!$E:$E))</f>
        <v/>
      </c>
      <c r="Q784" s="21" t="str">
        <f t="shared" si="64"/>
        <v/>
      </c>
      <c r="R784" t="str">
        <f t="shared" si="65"/>
        <v/>
      </c>
      <c r="S784" t="str">
        <f>IF(I784="","",_xlfn.XLOOKUP(I784,Lists!$C:$C,Lists!$I:$I))</f>
        <v/>
      </c>
    </row>
    <row r="785" spans="8:8">
      <c r="C785">
        <f>_xlfn.XLOOKUP(B785,Lists!B:B,Lists!A:A,"")</f>
        <v>0.0</v>
      </c>
      <c r="G785" t="str">
        <f t="shared" si="61"/>
        <v/>
      </c>
      <c r="H785" s="20" t="str">
        <f t="shared" si="62"/>
        <v/>
      </c>
      <c r="J785" t="str">
        <f>IF(I785="","",_xlfn.XLOOKUP(I785,Lists!$C:$C,Lists!$D:$D))</f>
        <v/>
      </c>
      <c r="N785" t="str">
        <f t="shared" si="63"/>
        <v/>
      </c>
      <c r="O785" t="str">
        <f>IF(I785="","",_xlfn.XLOOKUP(I785,Lists!$C:$C,Lists!$J:$J))</f>
        <v/>
      </c>
      <c r="P785" t="str">
        <f>IF(I785="","",_xlfn.XLOOKUP(I785,Lists!$C:$C,Lists!$E:$E))</f>
        <v/>
      </c>
      <c r="Q785" s="21" t="str">
        <f t="shared" si="64"/>
        <v/>
      </c>
      <c r="R785" t="str">
        <f t="shared" si="65"/>
        <v/>
      </c>
      <c r="S785" t="str">
        <f>IF(I785="","",_xlfn.XLOOKUP(I785,Lists!$C:$C,Lists!$I:$I))</f>
        <v/>
      </c>
    </row>
    <row r="786" spans="8:8">
      <c r="C786">
        <f>_xlfn.XLOOKUP(B786,Lists!B:B,Lists!A:A,"")</f>
        <v>0.0</v>
      </c>
      <c r="G786" t="str">
        <f t="shared" si="61"/>
        <v/>
      </c>
      <c r="H786" s="20" t="str">
        <f t="shared" si="62"/>
        <v/>
      </c>
      <c r="J786" t="str">
        <f>IF(I786="","",_xlfn.XLOOKUP(I786,Lists!$C:$C,Lists!$D:$D))</f>
        <v/>
      </c>
      <c r="N786" t="str">
        <f t="shared" si="63"/>
        <v/>
      </c>
      <c r="O786" t="str">
        <f>IF(I786="","",_xlfn.XLOOKUP(I786,Lists!$C:$C,Lists!$J:$J))</f>
        <v/>
      </c>
      <c r="P786" t="str">
        <f>IF(I786="","",_xlfn.XLOOKUP(I786,Lists!$C:$C,Lists!$E:$E))</f>
        <v/>
      </c>
      <c r="Q786" s="21" t="str">
        <f t="shared" si="64"/>
        <v/>
      </c>
      <c r="R786" t="str">
        <f t="shared" si="65"/>
        <v/>
      </c>
      <c r="S786" t="str">
        <f>IF(I786="","",_xlfn.XLOOKUP(I786,Lists!$C:$C,Lists!$I:$I))</f>
        <v/>
      </c>
    </row>
    <row r="787" spans="8:8">
      <c r="C787">
        <f>_xlfn.XLOOKUP(B787,Lists!B:B,Lists!A:A,"")</f>
        <v>0.0</v>
      </c>
      <c r="G787" t="str">
        <f t="shared" si="61"/>
        <v/>
      </c>
      <c r="H787" s="20" t="str">
        <f t="shared" si="62"/>
        <v/>
      </c>
      <c r="J787" t="str">
        <f>IF(I787="","",_xlfn.XLOOKUP(I787,Lists!$C:$C,Lists!$D:$D))</f>
        <v/>
      </c>
      <c r="N787" t="str">
        <f t="shared" si="63"/>
        <v/>
      </c>
      <c r="O787" t="str">
        <f>IF(I787="","",_xlfn.XLOOKUP(I787,Lists!$C:$C,Lists!$J:$J))</f>
        <v/>
      </c>
      <c r="P787" t="str">
        <f>IF(I787="","",_xlfn.XLOOKUP(I787,Lists!$C:$C,Lists!$E:$E))</f>
        <v/>
      </c>
      <c r="Q787" s="21" t="str">
        <f t="shared" si="64"/>
        <v/>
      </c>
      <c r="R787" t="str">
        <f t="shared" si="65"/>
        <v/>
      </c>
      <c r="S787" t="str">
        <f>IF(I787="","",_xlfn.XLOOKUP(I787,Lists!$C:$C,Lists!$I:$I))</f>
        <v/>
      </c>
    </row>
    <row r="788" spans="8:8">
      <c r="C788">
        <f>_xlfn.XLOOKUP(B788,Lists!B:B,Lists!A:A,"")</f>
        <v>0.0</v>
      </c>
      <c r="G788" t="str">
        <f t="shared" si="61"/>
        <v/>
      </c>
      <c r="H788" s="20" t="str">
        <f t="shared" si="62"/>
        <v/>
      </c>
      <c r="J788" t="str">
        <f>IF(I788="","",_xlfn.XLOOKUP(I788,Lists!$C:$C,Lists!$D:$D))</f>
        <v/>
      </c>
      <c r="N788" t="str">
        <f t="shared" si="63"/>
        <v/>
      </c>
      <c r="O788" t="str">
        <f>IF(I788="","",_xlfn.XLOOKUP(I788,Lists!$C:$C,Lists!$J:$J))</f>
        <v/>
      </c>
      <c r="P788" t="str">
        <f>IF(I788="","",_xlfn.XLOOKUP(I788,Lists!$C:$C,Lists!$E:$E))</f>
        <v/>
      </c>
      <c r="Q788" s="21" t="str">
        <f t="shared" si="64"/>
        <v/>
      </c>
      <c r="R788" t="str">
        <f t="shared" si="65"/>
        <v/>
      </c>
      <c r="S788" t="str">
        <f>IF(I788="","",_xlfn.XLOOKUP(I788,Lists!$C:$C,Lists!$I:$I))</f>
        <v/>
      </c>
    </row>
    <row r="789" spans="8:8">
      <c r="C789">
        <f>_xlfn.XLOOKUP(B789,Lists!B:B,Lists!A:A,"")</f>
        <v>0.0</v>
      </c>
      <c r="G789" t="str">
        <f t="shared" si="61"/>
        <v/>
      </c>
      <c r="H789" s="20" t="str">
        <f t="shared" si="62"/>
        <v/>
      </c>
      <c r="J789" t="str">
        <f>IF(I789="","",_xlfn.XLOOKUP(I789,Lists!$C:$C,Lists!$D:$D))</f>
        <v/>
      </c>
      <c r="N789" t="str">
        <f t="shared" si="63"/>
        <v/>
      </c>
      <c r="O789" t="str">
        <f>IF(I789="","",_xlfn.XLOOKUP(I789,Lists!$C:$C,Lists!$J:$J))</f>
        <v/>
      </c>
      <c r="P789" t="str">
        <f>IF(I789="","",_xlfn.XLOOKUP(I789,Lists!$C:$C,Lists!$E:$E))</f>
        <v/>
      </c>
      <c r="Q789" s="21" t="str">
        <f t="shared" si="64"/>
        <v/>
      </c>
      <c r="R789" t="str">
        <f t="shared" si="65"/>
        <v/>
      </c>
      <c r="S789" t="str">
        <f>IF(I789="","",_xlfn.XLOOKUP(I789,Lists!$C:$C,Lists!$I:$I))</f>
        <v/>
      </c>
    </row>
    <row r="790" spans="8:8">
      <c r="C790">
        <f>_xlfn.XLOOKUP(B790,Lists!B:B,Lists!A:A,"")</f>
        <v>0.0</v>
      </c>
      <c r="G790" t="str">
        <f t="shared" si="61"/>
        <v/>
      </c>
      <c r="H790" s="20" t="str">
        <f t="shared" si="62"/>
        <v/>
      </c>
      <c r="J790" t="str">
        <f>IF(I790="","",_xlfn.XLOOKUP(I790,Lists!$C:$C,Lists!$D:$D))</f>
        <v/>
      </c>
      <c r="N790" t="str">
        <f t="shared" si="63"/>
        <v/>
      </c>
      <c r="O790" t="str">
        <f>IF(I790="","",_xlfn.XLOOKUP(I790,Lists!$C:$C,Lists!$J:$J))</f>
        <v/>
      </c>
      <c r="P790" t="str">
        <f>IF(I790="","",_xlfn.XLOOKUP(I790,Lists!$C:$C,Lists!$E:$E))</f>
        <v/>
      </c>
      <c r="Q790" s="21" t="str">
        <f t="shared" si="64"/>
        <v/>
      </c>
      <c r="R790" t="str">
        <f t="shared" si="65"/>
        <v/>
      </c>
      <c r="S790" t="str">
        <f>IF(I790="","",_xlfn.XLOOKUP(I790,Lists!$C:$C,Lists!$I:$I))</f>
        <v/>
      </c>
    </row>
    <row r="791" spans="8:8">
      <c r="C791">
        <f>_xlfn.XLOOKUP(B791,Lists!B:B,Lists!A:A,"")</f>
        <v>0.0</v>
      </c>
      <c r="G791" t="str">
        <f t="shared" si="61"/>
        <v/>
      </c>
      <c r="H791" s="20" t="str">
        <f t="shared" si="62"/>
        <v/>
      </c>
      <c r="J791" t="str">
        <f>IF(I791="","",_xlfn.XLOOKUP(I791,Lists!$C:$C,Lists!$D:$D))</f>
        <v/>
      </c>
      <c r="N791" t="str">
        <f t="shared" si="63"/>
        <v/>
      </c>
      <c r="O791" t="str">
        <f>IF(I791="","",_xlfn.XLOOKUP(I791,Lists!$C:$C,Lists!$J:$J))</f>
        <v/>
      </c>
      <c r="P791" t="str">
        <f>IF(I791="","",_xlfn.XLOOKUP(I791,Lists!$C:$C,Lists!$E:$E))</f>
        <v/>
      </c>
      <c r="Q791" s="21" t="str">
        <f t="shared" si="64"/>
        <v/>
      </c>
      <c r="R791" t="str">
        <f t="shared" si="65"/>
        <v/>
      </c>
      <c r="S791" t="str">
        <f>IF(I791="","",_xlfn.XLOOKUP(I791,Lists!$C:$C,Lists!$I:$I))</f>
        <v/>
      </c>
    </row>
    <row r="792" spans="8:8">
      <c r="C792">
        <f>_xlfn.XLOOKUP(B792,Lists!B:B,Lists!A:A,"")</f>
        <v>0.0</v>
      </c>
      <c r="G792" t="str">
        <f t="shared" si="61"/>
        <v/>
      </c>
      <c r="H792" s="20" t="str">
        <f t="shared" si="62"/>
        <v/>
      </c>
      <c r="J792" t="str">
        <f>IF(I792="","",_xlfn.XLOOKUP(I792,Lists!$C:$C,Lists!$D:$D))</f>
        <v/>
      </c>
      <c r="N792" t="str">
        <f t="shared" si="63"/>
        <v/>
      </c>
      <c r="O792" t="str">
        <f>IF(I792="","",_xlfn.XLOOKUP(I792,Lists!$C:$C,Lists!$J:$J))</f>
        <v/>
      </c>
      <c r="P792" t="str">
        <f>IF(I792="","",_xlfn.XLOOKUP(I792,Lists!$C:$C,Lists!$E:$E))</f>
        <v/>
      </c>
      <c r="Q792" s="21" t="str">
        <f t="shared" si="64"/>
        <v/>
      </c>
      <c r="R792" t="str">
        <f t="shared" si="65"/>
        <v/>
      </c>
      <c r="S792" t="str">
        <f>IF(I792="","",_xlfn.XLOOKUP(I792,Lists!$C:$C,Lists!$I:$I))</f>
        <v/>
      </c>
    </row>
    <row r="793" spans="8:8">
      <c r="C793">
        <f>_xlfn.XLOOKUP(B793,Lists!B:B,Lists!A:A,"")</f>
        <v>0.0</v>
      </c>
      <c r="G793" t="str">
        <f t="shared" si="61"/>
        <v/>
      </c>
      <c r="H793" s="20" t="str">
        <f t="shared" si="62"/>
        <v/>
      </c>
      <c r="J793" t="str">
        <f>IF(I793="","",_xlfn.XLOOKUP(I793,Lists!$C:$C,Lists!$D:$D))</f>
        <v/>
      </c>
      <c r="N793" t="str">
        <f t="shared" si="63"/>
        <v/>
      </c>
      <c r="O793" t="str">
        <f>IF(I793="","",_xlfn.XLOOKUP(I793,Lists!$C:$C,Lists!$J:$J))</f>
        <v/>
      </c>
      <c r="P793" t="str">
        <f>IF(I793="","",_xlfn.XLOOKUP(I793,Lists!$C:$C,Lists!$E:$E))</f>
        <v/>
      </c>
      <c r="Q793" s="21" t="str">
        <f t="shared" si="64"/>
        <v/>
      </c>
      <c r="R793" t="str">
        <f t="shared" si="65"/>
        <v/>
      </c>
      <c r="S793" t="str">
        <f>IF(I793="","",_xlfn.XLOOKUP(I793,Lists!$C:$C,Lists!$I:$I))</f>
        <v/>
      </c>
    </row>
    <row r="794" spans="8:8">
      <c r="C794">
        <f>_xlfn.XLOOKUP(B794,Lists!B:B,Lists!A:A,"")</f>
        <v>0.0</v>
      </c>
      <c r="G794" t="str">
        <f t="shared" si="61"/>
        <v/>
      </c>
      <c r="H794" s="20" t="str">
        <f t="shared" si="62"/>
        <v/>
      </c>
      <c r="J794" t="str">
        <f>IF(I794="","",_xlfn.XLOOKUP(I794,Lists!$C:$C,Lists!$D:$D))</f>
        <v/>
      </c>
      <c r="N794" t="str">
        <f t="shared" si="63"/>
        <v/>
      </c>
      <c r="O794" t="str">
        <f>IF(I794="","",_xlfn.XLOOKUP(I794,Lists!$C:$C,Lists!$J:$J))</f>
        <v/>
      </c>
      <c r="P794" t="str">
        <f>IF(I794="","",_xlfn.XLOOKUP(I794,Lists!$C:$C,Lists!$E:$E))</f>
        <v/>
      </c>
      <c r="Q794" s="21" t="str">
        <f t="shared" si="64"/>
        <v/>
      </c>
      <c r="R794" t="str">
        <f t="shared" si="65"/>
        <v/>
      </c>
      <c r="S794" t="str">
        <f>IF(I794="","",_xlfn.XLOOKUP(I794,Lists!$C:$C,Lists!$I:$I))</f>
        <v/>
      </c>
    </row>
    <row r="795" spans="8:8">
      <c r="C795">
        <f>_xlfn.XLOOKUP(B795,Lists!B:B,Lists!A:A,"")</f>
        <v>0.0</v>
      </c>
      <c r="G795" t="str">
        <f t="shared" si="61"/>
        <v/>
      </c>
      <c r="H795" s="20" t="str">
        <f t="shared" si="62"/>
        <v/>
      </c>
      <c r="J795" t="str">
        <f>IF(I795="","",_xlfn.XLOOKUP(I795,Lists!$C:$C,Lists!$D:$D))</f>
        <v/>
      </c>
      <c r="N795" t="str">
        <f t="shared" si="63"/>
        <v/>
      </c>
      <c r="O795" t="str">
        <f>IF(I795="","",_xlfn.XLOOKUP(I795,Lists!$C:$C,Lists!$J:$J))</f>
        <v/>
      </c>
      <c r="P795" t="str">
        <f>IF(I795="","",_xlfn.XLOOKUP(I795,Lists!$C:$C,Lists!$E:$E))</f>
        <v/>
      </c>
      <c r="Q795" s="21" t="str">
        <f t="shared" si="64"/>
        <v/>
      </c>
      <c r="R795" t="str">
        <f t="shared" si="65"/>
        <v/>
      </c>
      <c r="S795" t="str">
        <f>IF(I795="","",_xlfn.XLOOKUP(I795,Lists!$C:$C,Lists!$I:$I))</f>
        <v/>
      </c>
    </row>
    <row r="796" spans="8:8">
      <c r="C796">
        <f>_xlfn.XLOOKUP(B796,Lists!B:B,Lists!A:A,"")</f>
        <v>0.0</v>
      </c>
      <c r="G796" t="str">
        <f t="shared" si="61"/>
        <v/>
      </c>
      <c r="H796" s="20" t="str">
        <f t="shared" si="62"/>
        <v/>
      </c>
      <c r="J796" t="str">
        <f>IF(I796="","",_xlfn.XLOOKUP(I796,Lists!$C:$C,Lists!$D:$D))</f>
        <v/>
      </c>
      <c r="N796" t="str">
        <f t="shared" si="63"/>
        <v/>
      </c>
      <c r="O796" t="str">
        <f>IF(I796="","",_xlfn.XLOOKUP(I796,Lists!$C:$C,Lists!$J:$J))</f>
        <v/>
      </c>
      <c r="P796" t="str">
        <f>IF(I796="","",_xlfn.XLOOKUP(I796,Lists!$C:$C,Lists!$E:$E))</f>
        <v/>
      </c>
      <c r="Q796" s="21" t="str">
        <f t="shared" si="64"/>
        <v/>
      </c>
      <c r="R796" t="str">
        <f t="shared" si="65"/>
        <v/>
      </c>
      <c r="S796" t="str">
        <f>IF(I796="","",_xlfn.XLOOKUP(I796,Lists!$C:$C,Lists!$I:$I))</f>
        <v/>
      </c>
    </row>
    <row r="797" spans="8:8">
      <c r="C797">
        <f>_xlfn.XLOOKUP(B797,Lists!B:B,Lists!A:A,"")</f>
        <v>0.0</v>
      </c>
      <c r="G797" t="str">
        <f t="shared" si="61"/>
        <v/>
      </c>
      <c r="H797" s="20" t="str">
        <f t="shared" si="62"/>
        <v/>
      </c>
      <c r="J797" t="str">
        <f>IF(I797="","",_xlfn.XLOOKUP(I797,Lists!$C:$C,Lists!$D:$D))</f>
        <v/>
      </c>
      <c r="N797" t="str">
        <f t="shared" si="63"/>
        <v/>
      </c>
      <c r="O797" t="str">
        <f>IF(I797="","",_xlfn.XLOOKUP(I797,Lists!$C:$C,Lists!$J:$J))</f>
        <v/>
      </c>
      <c r="P797" t="str">
        <f>IF(I797="","",_xlfn.XLOOKUP(I797,Lists!$C:$C,Lists!$E:$E))</f>
        <v/>
      </c>
      <c r="Q797" s="21" t="str">
        <f t="shared" si="64"/>
        <v/>
      </c>
      <c r="R797" t="str">
        <f t="shared" si="65"/>
        <v/>
      </c>
      <c r="S797" t="str">
        <f>IF(I797="","",_xlfn.XLOOKUP(I797,Lists!$C:$C,Lists!$I:$I))</f>
        <v/>
      </c>
    </row>
    <row r="798" spans="8:8">
      <c r="C798">
        <f>_xlfn.XLOOKUP(B798,Lists!B:B,Lists!A:A,"")</f>
        <v>0.0</v>
      </c>
      <c r="G798" t="str">
        <f t="shared" si="61"/>
        <v/>
      </c>
      <c r="H798" s="20" t="str">
        <f t="shared" si="62"/>
        <v/>
      </c>
      <c r="J798" t="str">
        <f>IF(I798="","",_xlfn.XLOOKUP(I798,Lists!$C:$C,Lists!$D:$D))</f>
        <v/>
      </c>
      <c r="N798" t="str">
        <f t="shared" si="63"/>
        <v/>
      </c>
      <c r="O798" t="str">
        <f>IF(I798="","",_xlfn.XLOOKUP(I798,Lists!$C:$C,Lists!$J:$J))</f>
        <v/>
      </c>
      <c r="P798" t="str">
        <f>IF(I798="","",_xlfn.XLOOKUP(I798,Lists!$C:$C,Lists!$E:$E))</f>
        <v/>
      </c>
      <c r="Q798" s="21" t="str">
        <f t="shared" si="64"/>
        <v/>
      </c>
      <c r="R798" t="str">
        <f t="shared" si="65"/>
        <v/>
      </c>
      <c r="S798" t="str">
        <f>IF(I798="","",_xlfn.XLOOKUP(I798,Lists!$C:$C,Lists!$I:$I))</f>
        <v/>
      </c>
    </row>
    <row r="799" spans="8:8">
      <c r="C799">
        <f>_xlfn.XLOOKUP(B799,Lists!B:B,Lists!A:A,"")</f>
        <v>0.0</v>
      </c>
      <c r="G799" t="str">
        <f t="shared" si="61"/>
        <v/>
      </c>
      <c r="H799" s="20" t="str">
        <f t="shared" si="62"/>
        <v/>
      </c>
      <c r="J799" t="str">
        <f>IF(I799="","",_xlfn.XLOOKUP(I799,Lists!$C:$C,Lists!$D:$D))</f>
        <v/>
      </c>
      <c r="N799" t="str">
        <f t="shared" si="63"/>
        <v/>
      </c>
      <c r="O799" t="str">
        <f>IF(I799="","",_xlfn.XLOOKUP(I799,Lists!$C:$C,Lists!$J:$J))</f>
        <v/>
      </c>
      <c r="P799" t="str">
        <f>IF(I799="","",_xlfn.XLOOKUP(I799,Lists!$C:$C,Lists!$E:$E))</f>
        <v/>
      </c>
      <c r="Q799" s="21" t="str">
        <f t="shared" si="64"/>
        <v/>
      </c>
      <c r="R799" t="str">
        <f t="shared" si="65"/>
        <v/>
      </c>
      <c r="S799" t="str">
        <f>IF(I799="","",_xlfn.XLOOKUP(I799,Lists!$C:$C,Lists!$I:$I))</f>
        <v/>
      </c>
    </row>
    <row r="800" spans="8:8">
      <c r="C800">
        <f>_xlfn.XLOOKUP(B800,Lists!B:B,Lists!A:A,"")</f>
        <v>0.0</v>
      </c>
      <c r="G800" t="str">
        <f t="shared" si="61"/>
        <v/>
      </c>
      <c r="H800" s="20" t="str">
        <f t="shared" si="62"/>
        <v/>
      </c>
      <c r="J800" t="str">
        <f>IF(I800="","",_xlfn.XLOOKUP(I800,Lists!$C:$C,Lists!$D:$D))</f>
        <v/>
      </c>
      <c r="N800" t="str">
        <f t="shared" si="63"/>
        <v/>
      </c>
      <c r="O800" t="str">
        <f>IF(I800="","",_xlfn.XLOOKUP(I800,Lists!$C:$C,Lists!$J:$J))</f>
        <v/>
      </c>
      <c r="P800" t="str">
        <f>IF(I800="","",_xlfn.XLOOKUP(I800,Lists!$C:$C,Lists!$E:$E))</f>
        <v/>
      </c>
      <c r="Q800" s="21" t="str">
        <f t="shared" si="64"/>
        <v/>
      </c>
      <c r="R800" t="str">
        <f t="shared" si="65"/>
        <v/>
      </c>
      <c r="S800" t="str">
        <f>IF(I800="","",_xlfn.XLOOKUP(I800,Lists!$C:$C,Lists!$I:$I))</f>
        <v/>
      </c>
    </row>
    <row r="801" spans="8:8">
      <c r="C801">
        <f>_xlfn.XLOOKUP(B801,Lists!B:B,Lists!A:A,"")</f>
        <v>0.0</v>
      </c>
      <c r="G801" t="str">
        <f t="shared" si="61"/>
        <v/>
      </c>
      <c r="H801" s="20" t="str">
        <f t="shared" si="62"/>
        <v/>
      </c>
      <c r="J801" t="str">
        <f>IF(I801="","",_xlfn.XLOOKUP(I801,Lists!$C:$C,Lists!$D:$D))</f>
        <v/>
      </c>
      <c r="N801" t="str">
        <f t="shared" si="63"/>
        <v/>
      </c>
      <c r="O801" t="str">
        <f>IF(I801="","",_xlfn.XLOOKUP(I801,Lists!$C:$C,Lists!$J:$J))</f>
        <v/>
      </c>
      <c r="P801" t="str">
        <f>IF(I801="","",_xlfn.XLOOKUP(I801,Lists!$C:$C,Lists!$E:$E))</f>
        <v/>
      </c>
      <c r="Q801" s="21" t="str">
        <f t="shared" si="64"/>
        <v/>
      </c>
      <c r="R801" t="str">
        <f t="shared" si="65"/>
        <v/>
      </c>
      <c r="S801" t="str">
        <f>IF(I801="","",_xlfn.XLOOKUP(I801,Lists!$C:$C,Lists!$I:$I))</f>
        <v/>
      </c>
    </row>
    <row r="802" spans="8:8">
      <c r="C802">
        <f>_xlfn.XLOOKUP(B802,Lists!B:B,Lists!A:A,"")</f>
        <v>0.0</v>
      </c>
      <c r="G802" t="str">
        <f t="shared" si="61"/>
        <v/>
      </c>
      <c r="H802" s="20" t="str">
        <f t="shared" si="62"/>
        <v/>
      </c>
      <c r="J802" t="str">
        <f>IF(I802="","",_xlfn.XLOOKUP(I802,Lists!$C:$C,Lists!$D:$D))</f>
        <v/>
      </c>
      <c r="N802" t="str">
        <f t="shared" si="63"/>
        <v/>
      </c>
      <c r="O802" t="str">
        <f>IF(I802="","",_xlfn.XLOOKUP(I802,Lists!$C:$C,Lists!$J:$J))</f>
        <v/>
      </c>
      <c r="P802" t="str">
        <f>IF(I802="","",_xlfn.XLOOKUP(I802,Lists!$C:$C,Lists!$E:$E))</f>
        <v/>
      </c>
      <c r="Q802" s="21" t="str">
        <f t="shared" si="64"/>
        <v/>
      </c>
      <c r="R802" t="str">
        <f t="shared" si="65"/>
        <v/>
      </c>
      <c r="S802" t="str">
        <f>IF(I802="","",_xlfn.XLOOKUP(I802,Lists!$C:$C,Lists!$I:$I))</f>
        <v/>
      </c>
    </row>
    <row r="803" spans="8:8">
      <c r="C803">
        <f>_xlfn.XLOOKUP(B803,Lists!B:B,Lists!A:A,"")</f>
        <v>0.0</v>
      </c>
      <c r="G803" t="str">
        <f t="shared" si="61"/>
        <v/>
      </c>
      <c r="H803" s="20" t="str">
        <f t="shared" si="62"/>
        <v/>
      </c>
      <c r="J803" t="str">
        <f>IF(I803="","",_xlfn.XLOOKUP(I803,Lists!$C:$C,Lists!$D:$D))</f>
        <v/>
      </c>
      <c r="N803" t="str">
        <f t="shared" si="63"/>
        <v/>
      </c>
      <c r="O803" t="str">
        <f>IF(I803="","",_xlfn.XLOOKUP(I803,Lists!$C:$C,Lists!$J:$J))</f>
        <v/>
      </c>
      <c r="P803" t="str">
        <f>IF(I803="","",_xlfn.XLOOKUP(I803,Lists!$C:$C,Lists!$E:$E))</f>
        <v/>
      </c>
      <c r="Q803" s="21" t="str">
        <f t="shared" si="64"/>
        <v/>
      </c>
      <c r="R803" t="str">
        <f t="shared" si="65"/>
        <v/>
      </c>
      <c r="S803" t="str">
        <f>IF(I803="","",_xlfn.XLOOKUP(I803,Lists!$C:$C,Lists!$I:$I))</f>
        <v/>
      </c>
    </row>
    <row r="804" spans="8:8">
      <c r="C804">
        <f>_xlfn.XLOOKUP(B804,Lists!B:B,Lists!A:A,"")</f>
        <v>0.0</v>
      </c>
      <c r="G804" t="str">
        <f t="shared" si="61"/>
        <v/>
      </c>
      <c r="H804" s="20" t="str">
        <f t="shared" si="62"/>
        <v/>
      </c>
      <c r="J804" t="str">
        <f>IF(I804="","",_xlfn.XLOOKUP(I804,Lists!$C:$C,Lists!$D:$D))</f>
        <v/>
      </c>
      <c r="N804" t="str">
        <f t="shared" si="63"/>
        <v/>
      </c>
      <c r="O804" t="str">
        <f>IF(I804="","",_xlfn.XLOOKUP(I804,Lists!$C:$C,Lists!$J:$J))</f>
        <v/>
      </c>
      <c r="P804" t="str">
        <f>IF(I804="","",_xlfn.XLOOKUP(I804,Lists!$C:$C,Lists!$E:$E))</f>
        <v/>
      </c>
      <c r="Q804" s="21" t="str">
        <f t="shared" si="64"/>
        <v/>
      </c>
      <c r="R804" t="str">
        <f t="shared" si="65"/>
        <v/>
      </c>
      <c r="S804" t="str">
        <f>IF(I804="","",_xlfn.XLOOKUP(I804,Lists!$C:$C,Lists!$I:$I))</f>
        <v/>
      </c>
    </row>
    <row r="805" spans="8:8">
      <c r="C805">
        <f>_xlfn.XLOOKUP(B805,Lists!B:B,Lists!A:A,"")</f>
        <v>0.0</v>
      </c>
      <c r="G805" t="str">
        <f t="shared" si="61"/>
        <v/>
      </c>
      <c r="H805" s="20" t="str">
        <f t="shared" si="62"/>
        <v/>
      </c>
      <c r="J805" t="str">
        <f>IF(I805="","",_xlfn.XLOOKUP(I805,Lists!$C:$C,Lists!$D:$D))</f>
        <v/>
      </c>
      <c r="N805" t="str">
        <f t="shared" si="63"/>
        <v/>
      </c>
      <c r="O805" t="str">
        <f>IF(I805="","",_xlfn.XLOOKUP(I805,Lists!$C:$C,Lists!$J:$J))</f>
        <v/>
      </c>
      <c r="P805" t="str">
        <f>IF(I805="","",_xlfn.XLOOKUP(I805,Lists!$C:$C,Lists!$E:$E))</f>
        <v/>
      </c>
      <c r="Q805" s="21" t="str">
        <f t="shared" si="64"/>
        <v/>
      </c>
      <c r="R805" t="str">
        <f t="shared" si="65"/>
        <v/>
      </c>
      <c r="S805" t="str">
        <f>IF(I805="","",_xlfn.XLOOKUP(I805,Lists!$C:$C,Lists!$I:$I))</f>
        <v/>
      </c>
    </row>
    <row r="806" spans="8:8">
      <c r="C806">
        <f>_xlfn.XLOOKUP(B806,Lists!B:B,Lists!A:A,"")</f>
        <v>0.0</v>
      </c>
      <c r="G806" t="str">
        <f t="shared" si="61"/>
        <v/>
      </c>
      <c r="H806" s="20" t="str">
        <f t="shared" si="62"/>
        <v/>
      </c>
      <c r="J806" t="str">
        <f>IF(I806="","",_xlfn.XLOOKUP(I806,Lists!$C:$C,Lists!$D:$D))</f>
        <v/>
      </c>
      <c r="N806" t="str">
        <f t="shared" si="63"/>
        <v/>
      </c>
      <c r="O806" t="str">
        <f>IF(I806="","",_xlfn.XLOOKUP(I806,Lists!$C:$C,Lists!$J:$J))</f>
        <v/>
      </c>
      <c r="P806" t="str">
        <f>IF(I806="","",_xlfn.XLOOKUP(I806,Lists!$C:$C,Lists!$E:$E))</f>
        <v/>
      </c>
      <c r="Q806" s="21" t="str">
        <f t="shared" si="64"/>
        <v/>
      </c>
      <c r="R806" t="str">
        <f t="shared" si="65"/>
        <v/>
      </c>
      <c r="S806" t="str">
        <f>IF(I806="","",_xlfn.XLOOKUP(I806,Lists!$C:$C,Lists!$I:$I))</f>
        <v/>
      </c>
    </row>
    <row r="807" spans="8:8">
      <c r="C807">
        <f>_xlfn.XLOOKUP(B807,Lists!B:B,Lists!A:A,"")</f>
        <v>0.0</v>
      </c>
      <c r="G807" t="str">
        <f t="shared" si="61"/>
        <v/>
      </c>
      <c r="H807" s="20" t="str">
        <f t="shared" si="62"/>
        <v/>
      </c>
      <c r="J807" t="str">
        <f>IF(I807="","",_xlfn.XLOOKUP(I807,Lists!$C:$C,Lists!$D:$D))</f>
        <v/>
      </c>
      <c r="N807" t="str">
        <f t="shared" si="63"/>
        <v/>
      </c>
      <c r="O807" t="str">
        <f>IF(I807="","",_xlfn.XLOOKUP(I807,Lists!$C:$C,Lists!$J:$J))</f>
        <v/>
      </c>
      <c r="P807" t="str">
        <f>IF(I807="","",_xlfn.XLOOKUP(I807,Lists!$C:$C,Lists!$E:$E))</f>
        <v/>
      </c>
      <c r="Q807" s="21" t="str">
        <f t="shared" si="64"/>
        <v/>
      </c>
      <c r="R807" t="str">
        <f t="shared" si="65"/>
        <v/>
      </c>
      <c r="S807" t="str">
        <f>IF(I807="","",_xlfn.XLOOKUP(I807,Lists!$C:$C,Lists!$I:$I))</f>
        <v/>
      </c>
    </row>
    <row r="808" spans="8:8">
      <c r="C808">
        <f>_xlfn.XLOOKUP(B808,Lists!B:B,Lists!A:A,"")</f>
        <v>0.0</v>
      </c>
      <c r="G808" t="str">
        <f t="shared" si="61"/>
        <v/>
      </c>
      <c r="H808" s="20" t="str">
        <f t="shared" si="62"/>
        <v/>
      </c>
      <c r="J808" t="str">
        <f>IF(I808="","",_xlfn.XLOOKUP(I808,Lists!$C:$C,Lists!$D:$D))</f>
        <v/>
      </c>
      <c r="N808" t="str">
        <f t="shared" si="63"/>
        <v/>
      </c>
      <c r="O808" t="str">
        <f>IF(I808="","",_xlfn.XLOOKUP(I808,Lists!$C:$C,Lists!$J:$J))</f>
        <v/>
      </c>
      <c r="P808" t="str">
        <f>IF(I808="","",_xlfn.XLOOKUP(I808,Lists!$C:$C,Lists!$E:$E))</f>
        <v/>
      </c>
      <c r="Q808" s="21" t="str">
        <f t="shared" si="64"/>
        <v/>
      </c>
      <c r="R808" t="str">
        <f t="shared" si="65"/>
        <v/>
      </c>
      <c r="S808" t="str">
        <f>IF(I808="","",_xlfn.XLOOKUP(I808,Lists!$C:$C,Lists!$I:$I))</f>
        <v/>
      </c>
    </row>
    <row r="809" spans="8:8">
      <c r="C809">
        <f>_xlfn.XLOOKUP(B809,Lists!B:B,Lists!A:A,"")</f>
        <v>0.0</v>
      </c>
      <c r="G809" t="str">
        <f t="shared" si="61"/>
        <v/>
      </c>
      <c r="H809" s="20" t="str">
        <f t="shared" si="62"/>
        <v/>
      </c>
      <c r="J809" t="str">
        <f>IF(I809="","",_xlfn.XLOOKUP(I809,Lists!$C:$C,Lists!$D:$D))</f>
        <v/>
      </c>
      <c r="N809" t="str">
        <f t="shared" si="63"/>
        <v/>
      </c>
      <c r="O809" t="str">
        <f>IF(I809="","",_xlfn.XLOOKUP(I809,Lists!$C:$C,Lists!$J:$J))</f>
        <v/>
      </c>
      <c r="P809" t="str">
        <f>IF(I809="","",_xlfn.XLOOKUP(I809,Lists!$C:$C,Lists!$E:$E))</f>
        <v/>
      </c>
      <c r="Q809" s="21" t="str">
        <f t="shared" si="64"/>
        <v/>
      </c>
      <c r="R809" t="str">
        <f t="shared" si="65"/>
        <v/>
      </c>
      <c r="S809" t="str">
        <f>IF(I809="","",_xlfn.XLOOKUP(I809,Lists!$C:$C,Lists!$I:$I))</f>
        <v/>
      </c>
    </row>
    <row r="810" spans="8:8">
      <c r="C810">
        <f>_xlfn.XLOOKUP(B810,Lists!B:B,Lists!A:A,"")</f>
        <v>0.0</v>
      </c>
      <c r="G810" t="str">
        <f t="shared" si="61"/>
        <v/>
      </c>
      <c r="H810" s="20" t="str">
        <f t="shared" si="62"/>
        <v/>
      </c>
      <c r="J810" t="str">
        <f>IF(I810="","",_xlfn.XLOOKUP(I810,Lists!$C:$C,Lists!$D:$D))</f>
        <v/>
      </c>
      <c r="N810" t="str">
        <f t="shared" si="63"/>
        <v/>
      </c>
      <c r="O810" t="str">
        <f>IF(I810="","",_xlfn.XLOOKUP(I810,Lists!$C:$C,Lists!$J:$J))</f>
        <v/>
      </c>
      <c r="P810" t="str">
        <f>IF(I810="","",_xlfn.XLOOKUP(I810,Lists!$C:$C,Lists!$E:$E))</f>
        <v/>
      </c>
      <c r="Q810" s="21" t="str">
        <f t="shared" si="64"/>
        <v/>
      </c>
      <c r="R810" t="str">
        <f t="shared" si="65"/>
        <v/>
      </c>
      <c r="S810" t="str">
        <f>IF(I810="","",_xlfn.XLOOKUP(I810,Lists!$C:$C,Lists!$I:$I))</f>
        <v/>
      </c>
    </row>
    <row r="811" spans="8:8">
      <c r="C811">
        <f>_xlfn.XLOOKUP(B811,Lists!B:B,Lists!A:A,"")</f>
        <v>0.0</v>
      </c>
      <c r="G811" t="str">
        <f t="shared" si="61"/>
        <v/>
      </c>
      <c r="H811" s="20" t="str">
        <f t="shared" si="62"/>
        <v/>
      </c>
      <c r="J811" t="str">
        <f>IF(I811="","",_xlfn.XLOOKUP(I811,Lists!$C:$C,Lists!$D:$D))</f>
        <v/>
      </c>
      <c r="N811" t="str">
        <f t="shared" si="63"/>
        <v/>
      </c>
      <c r="O811" t="str">
        <f>IF(I811="","",_xlfn.XLOOKUP(I811,Lists!$C:$C,Lists!$J:$J))</f>
        <v/>
      </c>
      <c r="P811" t="str">
        <f>IF(I811="","",_xlfn.XLOOKUP(I811,Lists!$C:$C,Lists!$E:$E))</f>
        <v/>
      </c>
      <c r="Q811" s="21" t="str">
        <f t="shared" si="64"/>
        <v/>
      </c>
      <c r="R811" t="str">
        <f t="shared" si="65"/>
        <v/>
      </c>
      <c r="S811" t="str">
        <f>IF(I811="","",_xlfn.XLOOKUP(I811,Lists!$C:$C,Lists!$I:$I))</f>
        <v/>
      </c>
    </row>
    <row r="812" spans="8:8">
      <c r="C812">
        <f>_xlfn.XLOOKUP(B812,Lists!B:B,Lists!A:A,"")</f>
        <v>0.0</v>
      </c>
      <c r="G812" t="str">
        <f t="shared" si="61"/>
        <v/>
      </c>
      <c r="H812" s="20" t="str">
        <f t="shared" si="62"/>
        <v/>
      </c>
      <c r="J812" t="str">
        <f>IF(I812="","",_xlfn.XLOOKUP(I812,Lists!$C:$C,Lists!$D:$D))</f>
        <v/>
      </c>
      <c r="N812" t="str">
        <f t="shared" si="63"/>
        <v/>
      </c>
      <c r="O812" t="str">
        <f>IF(I812="","",_xlfn.XLOOKUP(I812,Lists!$C:$C,Lists!$J:$J))</f>
        <v/>
      </c>
      <c r="P812" t="str">
        <f>IF(I812="","",_xlfn.XLOOKUP(I812,Lists!$C:$C,Lists!$E:$E))</f>
        <v/>
      </c>
      <c r="Q812" s="21" t="str">
        <f t="shared" si="64"/>
        <v/>
      </c>
      <c r="R812" t="str">
        <f t="shared" si="65"/>
        <v/>
      </c>
      <c r="S812" t="str">
        <f>IF(I812="","",_xlfn.XLOOKUP(I812,Lists!$C:$C,Lists!$I:$I))</f>
        <v/>
      </c>
    </row>
    <row r="813" spans="8:8">
      <c r="C813">
        <f>_xlfn.XLOOKUP(B813,Lists!B:B,Lists!A:A,"")</f>
        <v>0.0</v>
      </c>
      <c r="G813" t="str">
        <f t="shared" si="61"/>
        <v/>
      </c>
      <c r="H813" s="20" t="str">
        <f t="shared" si="62"/>
        <v/>
      </c>
      <c r="J813" t="str">
        <f>IF(I813="","",_xlfn.XLOOKUP(I813,Lists!$C:$C,Lists!$D:$D))</f>
        <v/>
      </c>
      <c r="N813" t="str">
        <f t="shared" si="63"/>
        <v/>
      </c>
      <c r="O813" t="str">
        <f>IF(I813="","",_xlfn.XLOOKUP(I813,Lists!$C:$C,Lists!$J:$J))</f>
        <v/>
      </c>
      <c r="P813" t="str">
        <f>IF(I813="","",_xlfn.XLOOKUP(I813,Lists!$C:$C,Lists!$E:$E))</f>
        <v/>
      </c>
      <c r="Q813" s="21" t="str">
        <f t="shared" si="64"/>
        <v/>
      </c>
      <c r="R813" t="str">
        <f t="shared" si="65"/>
        <v/>
      </c>
      <c r="S813" t="str">
        <f>IF(I813="","",_xlfn.XLOOKUP(I813,Lists!$C:$C,Lists!$I:$I))</f>
        <v/>
      </c>
    </row>
    <row r="814" spans="8:8">
      <c r="C814">
        <f>_xlfn.XLOOKUP(B814,Lists!B:B,Lists!A:A,"")</f>
        <v>0.0</v>
      </c>
      <c r="G814" t="str">
        <f t="shared" si="61"/>
        <v/>
      </c>
      <c r="H814" s="20" t="str">
        <f t="shared" si="62"/>
        <v/>
      </c>
      <c r="J814" t="str">
        <f>IF(I814="","",_xlfn.XLOOKUP(I814,Lists!$C:$C,Lists!$D:$D))</f>
        <v/>
      </c>
      <c r="N814" t="str">
        <f t="shared" si="63"/>
        <v/>
      </c>
      <c r="O814" t="str">
        <f>IF(I814="","",_xlfn.XLOOKUP(I814,Lists!$C:$C,Lists!$J:$J))</f>
        <v/>
      </c>
      <c r="P814" t="str">
        <f>IF(I814="","",_xlfn.XLOOKUP(I814,Lists!$C:$C,Lists!$E:$E))</f>
        <v/>
      </c>
      <c r="Q814" s="21" t="str">
        <f t="shared" si="64"/>
        <v/>
      </c>
      <c r="R814" t="str">
        <f t="shared" si="65"/>
        <v/>
      </c>
      <c r="S814" t="str">
        <f>IF(I814="","",_xlfn.XLOOKUP(I814,Lists!$C:$C,Lists!$I:$I))</f>
        <v/>
      </c>
    </row>
    <row r="815" spans="8:8">
      <c r="C815">
        <f>_xlfn.XLOOKUP(B815,Lists!B:B,Lists!A:A,"")</f>
        <v>0.0</v>
      </c>
      <c r="G815" t="str">
        <f t="shared" si="61"/>
        <v/>
      </c>
      <c r="H815" s="20" t="str">
        <f t="shared" si="62"/>
        <v/>
      </c>
      <c r="J815" t="str">
        <f>IF(I815="","",_xlfn.XLOOKUP(I815,Lists!$C:$C,Lists!$D:$D))</f>
        <v/>
      </c>
      <c r="N815" t="str">
        <f t="shared" si="63"/>
        <v/>
      </c>
      <c r="O815" t="str">
        <f>IF(I815="","",_xlfn.XLOOKUP(I815,Lists!$C:$C,Lists!$J:$J))</f>
        <v/>
      </c>
      <c r="P815" t="str">
        <f>IF(I815="","",_xlfn.XLOOKUP(I815,Lists!$C:$C,Lists!$E:$E))</f>
        <v/>
      </c>
      <c r="Q815" s="21" t="str">
        <f t="shared" si="64"/>
        <v/>
      </c>
      <c r="R815" t="str">
        <f t="shared" si="65"/>
        <v/>
      </c>
      <c r="S815" t="str">
        <f>IF(I815="","",_xlfn.XLOOKUP(I815,Lists!$C:$C,Lists!$I:$I))</f>
        <v/>
      </c>
    </row>
    <row r="816" spans="8:8">
      <c r="C816">
        <f>_xlfn.XLOOKUP(B816,Lists!B:B,Lists!A:A,"")</f>
        <v>0.0</v>
      </c>
      <c r="G816" t="str">
        <f t="shared" si="61"/>
        <v/>
      </c>
      <c r="H816" s="20" t="str">
        <f t="shared" si="62"/>
        <v/>
      </c>
      <c r="J816" t="str">
        <f>IF(I816="","",_xlfn.XLOOKUP(I816,Lists!$C:$C,Lists!$D:$D))</f>
        <v/>
      </c>
      <c r="N816" t="str">
        <f t="shared" si="63"/>
        <v/>
      </c>
      <c r="O816" t="str">
        <f>IF(I816="","",_xlfn.XLOOKUP(I816,Lists!$C:$C,Lists!$J:$J))</f>
        <v/>
      </c>
      <c r="P816" t="str">
        <f>IF(I816="","",_xlfn.XLOOKUP(I816,Lists!$C:$C,Lists!$E:$E))</f>
        <v/>
      </c>
      <c r="Q816" s="21" t="str">
        <f t="shared" si="64"/>
        <v/>
      </c>
      <c r="R816" t="str">
        <f t="shared" si="65"/>
        <v/>
      </c>
      <c r="S816" t="str">
        <f>IF(I816="","",_xlfn.XLOOKUP(I816,Lists!$C:$C,Lists!$I:$I))</f>
        <v/>
      </c>
    </row>
    <row r="817" spans="8:8">
      <c r="C817">
        <f>_xlfn.XLOOKUP(B817,Lists!B:B,Lists!A:A,"")</f>
        <v>0.0</v>
      </c>
      <c r="G817" t="str">
        <f t="shared" si="61"/>
        <v/>
      </c>
      <c r="H817" s="20" t="str">
        <f t="shared" si="62"/>
        <v/>
      </c>
      <c r="J817" t="str">
        <f>IF(I817="","",_xlfn.XLOOKUP(I817,Lists!$C:$C,Lists!$D:$D))</f>
        <v/>
      </c>
      <c r="N817" t="str">
        <f t="shared" si="63"/>
        <v/>
      </c>
      <c r="O817" t="str">
        <f>IF(I817="","",_xlfn.XLOOKUP(I817,Lists!$C:$C,Lists!$J:$J))</f>
        <v/>
      </c>
      <c r="P817" t="str">
        <f>IF(I817="","",_xlfn.XLOOKUP(I817,Lists!$C:$C,Lists!$E:$E))</f>
        <v/>
      </c>
      <c r="Q817" s="21" t="str">
        <f t="shared" si="64"/>
        <v/>
      </c>
      <c r="R817" t="str">
        <f t="shared" si="65"/>
        <v/>
      </c>
      <c r="S817" t="str">
        <f>IF(I817="","",_xlfn.XLOOKUP(I817,Lists!$C:$C,Lists!$I:$I))</f>
        <v/>
      </c>
    </row>
    <row r="818" spans="8:8">
      <c r="C818">
        <f>_xlfn.XLOOKUP(B818,Lists!B:B,Lists!A:A,"")</f>
        <v>0.0</v>
      </c>
      <c r="G818" t="str">
        <f t="shared" si="61"/>
        <v/>
      </c>
      <c r="H818" s="20" t="str">
        <f t="shared" si="62"/>
        <v/>
      </c>
      <c r="J818" t="str">
        <f>IF(I818="","",_xlfn.XLOOKUP(I818,Lists!$C:$C,Lists!$D:$D))</f>
        <v/>
      </c>
      <c r="N818" t="str">
        <f t="shared" si="63"/>
        <v/>
      </c>
      <c r="O818" t="str">
        <f>IF(I818="","",_xlfn.XLOOKUP(I818,Lists!$C:$C,Lists!$J:$J))</f>
        <v/>
      </c>
      <c r="P818" t="str">
        <f>IF(I818="","",_xlfn.XLOOKUP(I818,Lists!$C:$C,Lists!$E:$E))</f>
        <v/>
      </c>
      <c r="Q818" s="21" t="str">
        <f t="shared" si="64"/>
        <v/>
      </c>
      <c r="R818" t="str">
        <f t="shared" si="65"/>
        <v/>
      </c>
      <c r="S818" t="str">
        <f>IF(I818="","",_xlfn.XLOOKUP(I818,Lists!$C:$C,Lists!$I:$I))</f>
        <v/>
      </c>
    </row>
    <row r="819" spans="8:8">
      <c r="C819">
        <f>_xlfn.XLOOKUP(B819,Lists!B:B,Lists!A:A,"")</f>
        <v>0.0</v>
      </c>
      <c r="G819" t="str">
        <f t="shared" si="61"/>
        <v/>
      </c>
      <c r="H819" s="20" t="str">
        <f t="shared" si="62"/>
        <v/>
      </c>
      <c r="J819" t="str">
        <f>IF(I819="","",_xlfn.XLOOKUP(I819,Lists!$C:$C,Lists!$D:$D))</f>
        <v/>
      </c>
      <c r="N819" t="str">
        <f t="shared" si="63"/>
        <v/>
      </c>
      <c r="O819" t="str">
        <f>IF(I819="","",_xlfn.XLOOKUP(I819,Lists!$C:$C,Lists!$J:$J))</f>
        <v/>
      </c>
      <c r="P819" t="str">
        <f>IF(I819="","",_xlfn.XLOOKUP(I819,Lists!$C:$C,Lists!$E:$E))</f>
        <v/>
      </c>
      <c r="Q819" s="21" t="str">
        <f t="shared" si="64"/>
        <v/>
      </c>
      <c r="R819" t="str">
        <f t="shared" si="65"/>
        <v/>
      </c>
      <c r="S819" t="str">
        <f>IF(I819="","",_xlfn.XLOOKUP(I819,Lists!$C:$C,Lists!$I:$I))</f>
        <v/>
      </c>
    </row>
    <row r="820" spans="8:8">
      <c r="C820">
        <f>_xlfn.XLOOKUP(B820,Lists!B:B,Lists!A:A,"")</f>
        <v>0.0</v>
      </c>
      <c r="G820" t="str">
        <f t="shared" si="61"/>
        <v/>
      </c>
      <c r="H820" s="20" t="str">
        <f t="shared" si="62"/>
        <v/>
      </c>
      <c r="J820" t="str">
        <f>IF(I820="","",_xlfn.XLOOKUP(I820,Lists!$C:$C,Lists!$D:$D))</f>
        <v/>
      </c>
      <c r="N820" t="str">
        <f t="shared" si="63"/>
        <v/>
      </c>
      <c r="O820" t="str">
        <f>IF(I820="","",_xlfn.XLOOKUP(I820,Lists!$C:$C,Lists!$J:$J))</f>
        <v/>
      </c>
      <c r="P820" t="str">
        <f>IF(I820="","",_xlfn.XLOOKUP(I820,Lists!$C:$C,Lists!$E:$E))</f>
        <v/>
      </c>
      <c r="Q820" s="21" t="str">
        <f t="shared" si="64"/>
        <v/>
      </c>
      <c r="R820" t="str">
        <f t="shared" si="65"/>
        <v/>
      </c>
      <c r="S820" t="str">
        <f>IF(I820="","",_xlfn.XLOOKUP(I820,Lists!$C:$C,Lists!$I:$I))</f>
        <v/>
      </c>
    </row>
    <row r="821" spans="8:8">
      <c r="C821">
        <f>_xlfn.XLOOKUP(B821,Lists!B:B,Lists!A:A,"")</f>
        <v>0.0</v>
      </c>
      <c r="G821" t="str">
        <f t="shared" si="61"/>
        <v/>
      </c>
      <c r="H821" s="20" t="str">
        <f t="shared" si="62"/>
        <v/>
      </c>
      <c r="J821" t="str">
        <f>IF(I821="","",_xlfn.XLOOKUP(I821,Lists!$C:$C,Lists!$D:$D))</f>
        <v/>
      </c>
      <c r="N821" t="str">
        <f t="shared" si="63"/>
        <v/>
      </c>
      <c r="O821" t="str">
        <f>IF(I821="","",_xlfn.XLOOKUP(I821,Lists!$C:$C,Lists!$J:$J))</f>
        <v/>
      </c>
      <c r="P821" t="str">
        <f>IF(I821="","",_xlfn.XLOOKUP(I821,Lists!$C:$C,Lists!$E:$E))</f>
        <v/>
      </c>
      <c r="Q821" s="21" t="str">
        <f t="shared" si="64"/>
        <v/>
      </c>
      <c r="R821" t="str">
        <f t="shared" si="65"/>
        <v/>
      </c>
      <c r="S821" t="str">
        <f>IF(I821="","",_xlfn.XLOOKUP(I821,Lists!$C:$C,Lists!$I:$I))</f>
        <v/>
      </c>
    </row>
    <row r="822" spans="8:8">
      <c r="C822">
        <f>_xlfn.XLOOKUP(B822,Lists!B:B,Lists!A:A,"")</f>
        <v>0.0</v>
      </c>
      <c r="G822" t="str">
        <f t="shared" si="61"/>
        <v/>
      </c>
      <c r="H822" s="20" t="str">
        <f t="shared" si="62"/>
        <v/>
      </c>
      <c r="J822" t="str">
        <f>IF(I822="","",_xlfn.XLOOKUP(I822,Lists!$C:$C,Lists!$D:$D))</f>
        <v/>
      </c>
      <c r="N822" t="str">
        <f t="shared" si="63"/>
        <v/>
      </c>
      <c r="O822" t="str">
        <f>IF(I822="","",_xlfn.XLOOKUP(I822,Lists!$C:$C,Lists!$J:$J))</f>
        <v/>
      </c>
      <c r="P822" t="str">
        <f>IF(I822="","",_xlfn.XLOOKUP(I822,Lists!$C:$C,Lists!$E:$E))</f>
        <v/>
      </c>
      <c r="Q822" s="21" t="str">
        <f t="shared" si="64"/>
        <v/>
      </c>
      <c r="R822" t="str">
        <f t="shared" si="65"/>
        <v/>
      </c>
      <c r="S822" t="str">
        <f>IF(I822="","",_xlfn.XLOOKUP(I822,Lists!$C:$C,Lists!$I:$I))</f>
        <v/>
      </c>
    </row>
    <row r="823" spans="8:8">
      <c r="C823">
        <f>_xlfn.XLOOKUP(B823,Lists!B:B,Lists!A:A,"")</f>
        <v>0.0</v>
      </c>
      <c r="G823" t="str">
        <f t="shared" si="61"/>
        <v/>
      </c>
      <c r="H823" s="20" t="str">
        <f t="shared" si="62"/>
        <v/>
      </c>
      <c r="J823" t="str">
        <f>IF(I823="","",_xlfn.XLOOKUP(I823,Lists!$C:$C,Lists!$D:$D))</f>
        <v/>
      </c>
      <c r="N823" t="str">
        <f t="shared" si="63"/>
        <v/>
      </c>
      <c r="O823" t="str">
        <f>IF(I823="","",_xlfn.XLOOKUP(I823,Lists!$C:$C,Lists!$J:$J))</f>
        <v/>
      </c>
      <c r="P823" t="str">
        <f>IF(I823="","",_xlfn.XLOOKUP(I823,Lists!$C:$C,Lists!$E:$E))</f>
        <v/>
      </c>
      <c r="Q823" s="21" t="str">
        <f t="shared" si="64"/>
        <v/>
      </c>
      <c r="R823" t="str">
        <f t="shared" si="65"/>
        <v/>
      </c>
      <c r="S823" t="str">
        <f>IF(I823="","",_xlfn.XLOOKUP(I823,Lists!$C:$C,Lists!$I:$I))</f>
        <v/>
      </c>
    </row>
    <row r="824" spans="8:8">
      <c r="C824">
        <f>_xlfn.XLOOKUP(B824,Lists!B:B,Lists!A:A,"")</f>
        <v>0.0</v>
      </c>
      <c r="G824" t="str">
        <f t="shared" si="61"/>
        <v/>
      </c>
      <c r="H824" s="20" t="str">
        <f t="shared" si="62"/>
        <v/>
      </c>
      <c r="J824" t="str">
        <f>IF(I824="","",_xlfn.XLOOKUP(I824,Lists!$C:$C,Lists!$D:$D))</f>
        <v/>
      </c>
      <c r="N824" t="str">
        <f t="shared" si="63"/>
        <v/>
      </c>
      <c r="O824" t="str">
        <f>IF(I824="","",_xlfn.XLOOKUP(I824,Lists!$C:$C,Lists!$J:$J))</f>
        <v/>
      </c>
      <c r="P824" t="str">
        <f>IF(I824="","",_xlfn.XLOOKUP(I824,Lists!$C:$C,Lists!$E:$E))</f>
        <v/>
      </c>
      <c r="Q824" s="21" t="str">
        <f t="shared" si="64"/>
        <v/>
      </c>
      <c r="R824" t="str">
        <f t="shared" si="65"/>
        <v/>
      </c>
      <c r="S824" t="str">
        <f>IF(I824="","",_xlfn.XLOOKUP(I824,Lists!$C:$C,Lists!$I:$I))</f>
        <v/>
      </c>
    </row>
    <row r="825" spans="8:8">
      <c r="C825">
        <f>_xlfn.XLOOKUP(B825,Lists!B:B,Lists!A:A,"")</f>
        <v>0.0</v>
      </c>
      <c r="G825" t="str">
        <f t="shared" si="61"/>
        <v/>
      </c>
      <c r="H825" s="20" t="str">
        <f t="shared" si="62"/>
        <v/>
      </c>
      <c r="J825" t="str">
        <f>IF(I825="","",_xlfn.XLOOKUP(I825,Lists!$C:$C,Lists!$D:$D))</f>
        <v/>
      </c>
      <c r="N825" t="str">
        <f t="shared" si="63"/>
        <v/>
      </c>
      <c r="O825" t="str">
        <f>IF(I825="","",_xlfn.XLOOKUP(I825,Lists!$C:$C,Lists!$J:$J))</f>
        <v/>
      </c>
      <c r="P825" t="str">
        <f>IF(I825="","",_xlfn.XLOOKUP(I825,Lists!$C:$C,Lists!$E:$E))</f>
        <v/>
      </c>
      <c r="Q825" s="21" t="str">
        <f t="shared" si="64"/>
        <v/>
      </c>
      <c r="R825" t="str">
        <f t="shared" si="65"/>
        <v/>
      </c>
      <c r="S825" t="str">
        <f>IF(I825="","",_xlfn.XLOOKUP(I825,Lists!$C:$C,Lists!$I:$I))</f>
        <v/>
      </c>
    </row>
    <row r="826" spans="8:8">
      <c r="C826">
        <f>_xlfn.XLOOKUP(B826,Lists!B:B,Lists!A:A,"")</f>
        <v>0.0</v>
      </c>
      <c r="G826" t="str">
        <f t="shared" si="61"/>
        <v/>
      </c>
      <c r="H826" s="20" t="str">
        <f t="shared" si="62"/>
        <v/>
      </c>
      <c r="J826" t="str">
        <f>IF(I826="","",_xlfn.XLOOKUP(I826,Lists!$C:$C,Lists!$D:$D))</f>
        <v/>
      </c>
      <c r="N826" t="str">
        <f t="shared" si="63"/>
        <v/>
      </c>
      <c r="O826" t="str">
        <f>IF(I826="","",_xlfn.XLOOKUP(I826,Lists!$C:$C,Lists!$J:$J))</f>
        <v/>
      </c>
      <c r="P826" t="str">
        <f>IF(I826="","",_xlfn.XLOOKUP(I826,Lists!$C:$C,Lists!$E:$E))</f>
        <v/>
      </c>
      <c r="Q826" s="21" t="str">
        <f t="shared" si="64"/>
        <v/>
      </c>
      <c r="R826" t="str">
        <f t="shared" si="65"/>
        <v/>
      </c>
      <c r="S826" t="str">
        <f>IF(I826="","",_xlfn.XLOOKUP(I826,Lists!$C:$C,Lists!$I:$I))</f>
        <v/>
      </c>
    </row>
    <row r="827" spans="8:8">
      <c r="C827">
        <f>_xlfn.XLOOKUP(B827,Lists!B:B,Lists!A:A,"")</f>
        <v>0.0</v>
      </c>
      <c r="G827" t="str">
        <f t="shared" si="61"/>
        <v/>
      </c>
      <c r="H827" s="20" t="str">
        <f t="shared" si="62"/>
        <v/>
      </c>
      <c r="J827" t="str">
        <f>IF(I827="","",_xlfn.XLOOKUP(I827,Lists!$C:$C,Lists!$D:$D))</f>
        <v/>
      </c>
      <c r="N827" t="str">
        <f t="shared" si="63"/>
        <v/>
      </c>
      <c r="O827" t="str">
        <f>IF(I827="","",_xlfn.XLOOKUP(I827,Lists!$C:$C,Lists!$J:$J))</f>
        <v/>
      </c>
      <c r="P827" t="str">
        <f>IF(I827="","",_xlfn.XLOOKUP(I827,Lists!$C:$C,Lists!$E:$E))</f>
        <v/>
      </c>
      <c r="Q827" s="21" t="str">
        <f t="shared" si="64"/>
        <v/>
      </c>
      <c r="R827" t="str">
        <f t="shared" si="65"/>
        <v/>
      </c>
      <c r="S827" t="str">
        <f>IF(I827="","",_xlfn.XLOOKUP(I827,Lists!$C:$C,Lists!$I:$I))</f>
        <v/>
      </c>
    </row>
    <row r="828" spans="8:8">
      <c r="C828">
        <f>_xlfn.XLOOKUP(B828,Lists!B:B,Lists!A:A,"")</f>
        <v>0.0</v>
      </c>
      <c r="G828" t="str">
        <f t="shared" si="61"/>
        <v/>
      </c>
      <c r="H828" s="20" t="str">
        <f t="shared" si="62"/>
        <v/>
      </c>
      <c r="J828" t="str">
        <f>IF(I828="","",_xlfn.XLOOKUP(I828,Lists!$C:$C,Lists!$D:$D))</f>
        <v/>
      </c>
      <c r="N828" t="str">
        <f t="shared" si="63"/>
        <v/>
      </c>
      <c r="O828" t="str">
        <f>IF(I828="","",_xlfn.XLOOKUP(I828,Lists!$C:$C,Lists!$J:$J))</f>
        <v/>
      </c>
      <c r="P828" t="str">
        <f>IF(I828="","",_xlfn.XLOOKUP(I828,Lists!$C:$C,Lists!$E:$E))</f>
        <v/>
      </c>
      <c r="Q828" s="21" t="str">
        <f t="shared" si="64"/>
        <v/>
      </c>
      <c r="R828" t="str">
        <f t="shared" si="65"/>
        <v/>
      </c>
      <c r="S828" t="str">
        <f>IF(I828="","",_xlfn.XLOOKUP(I828,Lists!$C:$C,Lists!$I:$I))</f>
        <v/>
      </c>
    </row>
    <row r="829" spans="8:8">
      <c r="C829">
        <f>_xlfn.XLOOKUP(B829,Lists!B:B,Lists!A:A,"")</f>
        <v>0.0</v>
      </c>
      <c r="G829" t="str">
        <f t="shared" si="61"/>
        <v/>
      </c>
      <c r="H829" s="20" t="str">
        <f t="shared" si="62"/>
        <v/>
      </c>
      <c r="J829" t="str">
        <f>IF(I829="","",_xlfn.XLOOKUP(I829,Lists!$C:$C,Lists!$D:$D))</f>
        <v/>
      </c>
      <c r="N829" t="str">
        <f t="shared" si="63"/>
        <v/>
      </c>
      <c r="O829" t="str">
        <f>IF(I829="","",_xlfn.XLOOKUP(I829,Lists!$C:$C,Lists!$J:$J))</f>
        <v/>
      </c>
      <c r="P829" t="str">
        <f>IF(I829="","",_xlfn.XLOOKUP(I829,Lists!$C:$C,Lists!$E:$E))</f>
        <v/>
      </c>
      <c r="Q829" s="21" t="str">
        <f t="shared" si="64"/>
        <v/>
      </c>
      <c r="R829" t="str">
        <f t="shared" si="65"/>
        <v/>
      </c>
      <c r="S829" t="str">
        <f>IF(I829="","",_xlfn.XLOOKUP(I829,Lists!$C:$C,Lists!$I:$I))</f>
        <v/>
      </c>
    </row>
    <row r="830" spans="8:8">
      <c r="C830">
        <f>_xlfn.XLOOKUP(B830,Lists!B:B,Lists!A:A,"")</f>
        <v>0.0</v>
      </c>
      <c r="G830" t="str">
        <f t="shared" si="61"/>
        <v/>
      </c>
      <c r="H830" s="20" t="str">
        <f t="shared" si="62"/>
        <v/>
      </c>
      <c r="J830" t="str">
        <f>IF(I830="","",_xlfn.XLOOKUP(I830,Lists!$C:$C,Lists!$D:$D))</f>
        <v/>
      </c>
      <c r="N830" t="str">
        <f t="shared" si="63"/>
        <v/>
      </c>
      <c r="O830" t="str">
        <f>IF(I830="","",_xlfn.XLOOKUP(I830,Lists!$C:$C,Lists!$J:$J))</f>
        <v/>
      </c>
      <c r="P830" t="str">
        <f>IF(I830="","",_xlfn.XLOOKUP(I830,Lists!$C:$C,Lists!$E:$E))</f>
        <v/>
      </c>
      <c r="Q830" s="21" t="str">
        <f t="shared" si="64"/>
        <v/>
      </c>
      <c r="R830" t="str">
        <f t="shared" si="65"/>
        <v/>
      </c>
      <c r="S830" t="str">
        <f>IF(I830="","",_xlfn.XLOOKUP(I830,Lists!$C:$C,Lists!$I:$I))</f>
        <v/>
      </c>
    </row>
    <row r="831" spans="8:8">
      <c r="C831">
        <f>_xlfn.XLOOKUP(B831,Lists!B:B,Lists!A:A,"")</f>
        <v>0.0</v>
      </c>
      <c r="G831" t="str">
        <f t="shared" si="61"/>
        <v/>
      </c>
      <c r="H831" s="20" t="str">
        <f t="shared" si="62"/>
        <v/>
      </c>
      <c r="J831" t="str">
        <f>IF(I831="","",_xlfn.XLOOKUP(I831,Lists!$C:$C,Lists!$D:$D))</f>
        <v/>
      </c>
      <c r="N831" t="str">
        <f t="shared" si="63"/>
        <v/>
      </c>
      <c r="O831" t="str">
        <f>IF(I831="","",_xlfn.XLOOKUP(I831,Lists!$C:$C,Lists!$J:$J))</f>
        <v/>
      </c>
      <c r="P831" t="str">
        <f>IF(I831="","",_xlfn.XLOOKUP(I831,Lists!$C:$C,Lists!$E:$E))</f>
        <v/>
      </c>
      <c r="Q831" s="21" t="str">
        <f t="shared" si="64"/>
        <v/>
      </c>
      <c r="R831" t="str">
        <f t="shared" si="65"/>
        <v/>
      </c>
      <c r="S831" t="str">
        <f>IF(I831="","",_xlfn.XLOOKUP(I831,Lists!$C:$C,Lists!$I:$I))</f>
        <v/>
      </c>
    </row>
    <row r="832" spans="8:8">
      <c r="C832">
        <f>_xlfn.XLOOKUP(B832,Lists!B:B,Lists!A:A,"")</f>
        <v>0.0</v>
      </c>
      <c r="G832" t="str">
        <f t="shared" si="61"/>
        <v/>
      </c>
      <c r="H832" s="20" t="str">
        <f t="shared" si="62"/>
        <v/>
      </c>
      <c r="J832" t="str">
        <f>IF(I832="","",_xlfn.XLOOKUP(I832,Lists!$C:$C,Lists!$D:$D))</f>
        <v/>
      </c>
      <c r="N832" t="str">
        <f t="shared" si="63"/>
        <v/>
      </c>
      <c r="O832" t="str">
        <f>IF(I832="","",_xlfn.XLOOKUP(I832,Lists!$C:$C,Lists!$J:$J))</f>
        <v/>
      </c>
      <c r="P832" t="str">
        <f>IF(I832="","",_xlfn.XLOOKUP(I832,Lists!$C:$C,Lists!$E:$E))</f>
        <v/>
      </c>
      <c r="Q832" s="21" t="str">
        <f t="shared" si="64"/>
        <v/>
      </c>
      <c r="R832" t="str">
        <f t="shared" si="65"/>
        <v/>
      </c>
      <c r="S832" t="str">
        <f>IF(I832="","",_xlfn.XLOOKUP(I832,Lists!$C:$C,Lists!$I:$I))</f>
        <v/>
      </c>
    </row>
    <row r="833" spans="8:8">
      <c r="C833">
        <f>_xlfn.XLOOKUP(B833,Lists!B:B,Lists!A:A,"")</f>
        <v>0.0</v>
      </c>
      <c r="G833" t="str">
        <f t="shared" si="61"/>
        <v/>
      </c>
      <c r="H833" s="20" t="str">
        <f t="shared" si="62"/>
        <v/>
      </c>
      <c r="J833" t="str">
        <f>IF(I833="","",_xlfn.XLOOKUP(I833,Lists!$C:$C,Lists!$D:$D))</f>
        <v/>
      </c>
      <c r="N833" t="str">
        <f t="shared" si="63"/>
        <v/>
      </c>
      <c r="O833" t="str">
        <f>IF(I833="","",_xlfn.XLOOKUP(I833,Lists!$C:$C,Lists!$J:$J))</f>
        <v/>
      </c>
      <c r="P833" t="str">
        <f>IF(I833="","",_xlfn.XLOOKUP(I833,Lists!$C:$C,Lists!$E:$E))</f>
        <v/>
      </c>
      <c r="Q833" s="21" t="str">
        <f t="shared" si="64"/>
        <v/>
      </c>
      <c r="R833" t="str">
        <f t="shared" si="65"/>
        <v/>
      </c>
      <c r="S833" t="str">
        <f>IF(I833="","",_xlfn.XLOOKUP(I833,Lists!$C:$C,Lists!$I:$I))</f>
        <v/>
      </c>
    </row>
    <row r="834" spans="8:8">
      <c r="C834">
        <f>_xlfn.XLOOKUP(B834,Lists!B:B,Lists!A:A,"")</f>
        <v>0.0</v>
      </c>
      <c r="G834" t="str">
        <f t="shared" si="61"/>
        <v/>
      </c>
      <c r="H834" s="20" t="str">
        <f t="shared" si="62"/>
        <v/>
      </c>
      <c r="J834" t="str">
        <f>IF(I834="","",_xlfn.XLOOKUP(I834,Lists!$C:$C,Lists!$D:$D))</f>
        <v/>
      </c>
      <c r="N834" t="str">
        <f t="shared" si="63"/>
        <v/>
      </c>
      <c r="O834" t="str">
        <f>IF(I834="","",_xlfn.XLOOKUP(I834,Lists!$C:$C,Lists!$J:$J))</f>
        <v/>
      </c>
      <c r="P834" t="str">
        <f>IF(I834="","",_xlfn.XLOOKUP(I834,Lists!$C:$C,Lists!$E:$E))</f>
        <v/>
      </c>
      <c r="Q834" s="21" t="str">
        <f t="shared" si="64"/>
        <v/>
      </c>
      <c r="R834" t="str">
        <f t="shared" si="65"/>
        <v/>
      </c>
      <c r="S834" t="str">
        <f>IF(I834="","",_xlfn.XLOOKUP(I834,Lists!$C:$C,Lists!$I:$I))</f>
        <v/>
      </c>
    </row>
    <row r="835" spans="8:8">
      <c r="C835">
        <f>_xlfn.XLOOKUP(B835,Lists!B:B,Lists!A:A,"")</f>
        <v>0.0</v>
      </c>
      <c r="G835" t="str">
        <f t="shared" si="61"/>
        <v/>
      </c>
      <c r="H835" s="20" t="str">
        <f t="shared" si="62"/>
        <v/>
      </c>
      <c r="J835" t="str">
        <f>IF(I835="","",_xlfn.XLOOKUP(I835,Lists!$C:$C,Lists!$D:$D))</f>
        <v/>
      </c>
      <c r="N835" t="str">
        <f t="shared" si="63"/>
        <v/>
      </c>
      <c r="O835" t="str">
        <f>IF(I835="","",_xlfn.XLOOKUP(I835,Lists!$C:$C,Lists!$J:$J))</f>
        <v/>
      </c>
      <c r="P835" t="str">
        <f>IF(I835="","",_xlfn.XLOOKUP(I835,Lists!$C:$C,Lists!$E:$E))</f>
        <v/>
      </c>
      <c r="Q835" s="21" t="str">
        <f t="shared" si="64"/>
        <v/>
      </c>
      <c r="R835" t="str">
        <f t="shared" si="65"/>
        <v/>
      </c>
      <c r="S835" t="str">
        <f>IF(I835="","",_xlfn.XLOOKUP(I835,Lists!$C:$C,Lists!$I:$I))</f>
        <v/>
      </c>
    </row>
    <row r="836" spans="8:8">
      <c r="C836">
        <f>_xlfn.XLOOKUP(B836,Lists!B:B,Lists!A:A,"")</f>
        <v>0.0</v>
      </c>
      <c r="G836" t="str">
        <f t="shared" si="61"/>
        <v/>
      </c>
      <c r="H836" s="20" t="str">
        <f t="shared" si="62"/>
        <v/>
      </c>
      <c r="J836" t="str">
        <f>IF(I836="","",_xlfn.XLOOKUP(I836,Lists!$C:$C,Lists!$D:$D))</f>
        <v/>
      </c>
      <c r="N836" t="str">
        <f t="shared" si="63"/>
        <v/>
      </c>
      <c r="O836" t="str">
        <f>IF(I836="","",_xlfn.XLOOKUP(I836,Lists!$C:$C,Lists!$J:$J))</f>
        <v/>
      </c>
      <c r="P836" t="str">
        <f>IF(I836="","",_xlfn.XLOOKUP(I836,Lists!$C:$C,Lists!$E:$E))</f>
        <v/>
      </c>
      <c r="Q836" s="21" t="str">
        <f t="shared" si="64"/>
        <v/>
      </c>
      <c r="R836" t="str">
        <f t="shared" si="65"/>
        <v/>
      </c>
      <c r="S836" t="str">
        <f>IF(I836="","",_xlfn.XLOOKUP(I836,Lists!$C:$C,Lists!$I:$I))</f>
        <v/>
      </c>
    </row>
    <row r="837" spans="8:8">
      <c r="C837">
        <f>_xlfn.XLOOKUP(B837,Lists!B:B,Lists!A:A,"")</f>
        <v>0.0</v>
      </c>
      <c r="G837" t="str">
        <f t="shared" si="61"/>
        <v/>
      </c>
      <c r="H837" s="20" t="str">
        <f t="shared" si="62"/>
        <v/>
      </c>
      <c r="J837" t="str">
        <f>IF(I837="","",_xlfn.XLOOKUP(I837,Lists!$C:$C,Lists!$D:$D))</f>
        <v/>
      </c>
      <c r="N837" t="str">
        <f t="shared" si="63"/>
        <v/>
      </c>
      <c r="O837" t="str">
        <f>IF(I837="","",_xlfn.XLOOKUP(I837,Lists!$C:$C,Lists!$J:$J))</f>
        <v/>
      </c>
      <c r="P837" t="str">
        <f>IF(I837="","",_xlfn.XLOOKUP(I837,Lists!$C:$C,Lists!$E:$E))</f>
        <v/>
      </c>
      <c r="Q837" s="21" t="str">
        <f t="shared" si="64"/>
        <v/>
      </c>
      <c r="R837" t="str">
        <f t="shared" si="65"/>
        <v/>
      </c>
      <c r="S837" t="str">
        <f>IF(I837="","",_xlfn.XLOOKUP(I837,Lists!$C:$C,Lists!$I:$I))</f>
        <v/>
      </c>
    </row>
    <row r="838" spans="8:8">
      <c r="C838">
        <f>_xlfn.XLOOKUP(B838,Lists!B:B,Lists!A:A,"")</f>
        <v>0.0</v>
      </c>
      <c r="G838" t="str">
        <f t="shared" si="61"/>
        <v/>
      </c>
      <c r="H838" s="20" t="str">
        <f t="shared" si="62"/>
        <v/>
      </c>
      <c r="J838" t="str">
        <f>IF(I838="","",_xlfn.XLOOKUP(I838,Lists!$C:$C,Lists!$D:$D))</f>
        <v/>
      </c>
      <c r="N838" t="str">
        <f t="shared" si="63"/>
        <v/>
      </c>
      <c r="O838" t="str">
        <f>IF(I838="","",_xlfn.XLOOKUP(I838,Lists!$C:$C,Lists!$J:$J))</f>
        <v/>
      </c>
      <c r="P838" t="str">
        <f>IF(I838="","",_xlfn.XLOOKUP(I838,Lists!$C:$C,Lists!$E:$E))</f>
        <v/>
      </c>
      <c r="Q838" s="21" t="str">
        <f t="shared" si="64"/>
        <v/>
      </c>
      <c r="R838" t="str">
        <f t="shared" si="65"/>
        <v/>
      </c>
      <c r="S838" t="str">
        <f>IF(I838="","",_xlfn.XLOOKUP(I838,Lists!$C:$C,Lists!$I:$I))</f>
        <v/>
      </c>
    </row>
    <row r="839" spans="8:8">
      <c r="C839">
        <f>_xlfn.XLOOKUP(B839,Lists!B:B,Lists!A:A,"")</f>
        <v>0.0</v>
      </c>
      <c r="G839" t="str">
        <f t="shared" si="61"/>
        <v/>
      </c>
      <c r="H839" s="20" t="str">
        <f t="shared" si="62"/>
        <v/>
      </c>
      <c r="J839" t="str">
        <f>IF(I839="","",_xlfn.XLOOKUP(I839,Lists!$C:$C,Lists!$D:$D))</f>
        <v/>
      </c>
      <c r="N839" t="str">
        <f t="shared" si="63"/>
        <v/>
      </c>
      <c r="O839" t="str">
        <f>IF(I839="","",_xlfn.XLOOKUP(I839,Lists!$C:$C,Lists!$J:$J))</f>
        <v/>
      </c>
      <c r="P839" t="str">
        <f>IF(I839="","",_xlfn.XLOOKUP(I839,Lists!$C:$C,Lists!$E:$E))</f>
        <v/>
      </c>
      <c r="Q839" s="21" t="str">
        <f t="shared" si="64"/>
        <v/>
      </c>
      <c r="R839" t="str">
        <f t="shared" si="65"/>
        <v/>
      </c>
      <c r="S839" t="str">
        <f>IF(I839="","",_xlfn.XLOOKUP(I839,Lists!$C:$C,Lists!$I:$I))</f>
        <v/>
      </c>
    </row>
    <row r="840" spans="8:8">
      <c r="C840">
        <f>_xlfn.XLOOKUP(B840,Lists!B:B,Lists!A:A,"")</f>
        <v>0.0</v>
      </c>
      <c r="G840" t="str">
        <f t="shared" si="61"/>
        <v/>
      </c>
      <c r="H840" s="20" t="str">
        <f t="shared" si="62"/>
        <v/>
      </c>
      <c r="J840" t="str">
        <f>IF(I840="","",_xlfn.XLOOKUP(I840,Lists!$C:$C,Lists!$D:$D))</f>
        <v/>
      </c>
      <c r="N840" t="str">
        <f t="shared" si="63"/>
        <v/>
      </c>
      <c r="O840" t="str">
        <f>IF(I840="","",_xlfn.XLOOKUP(I840,Lists!$C:$C,Lists!$J:$J))</f>
        <v/>
      </c>
      <c r="P840" t="str">
        <f>IF(I840="","",_xlfn.XLOOKUP(I840,Lists!$C:$C,Lists!$E:$E))</f>
        <v/>
      </c>
      <c r="Q840" s="21" t="str">
        <f t="shared" si="64"/>
        <v/>
      </c>
      <c r="R840" t="str">
        <f t="shared" si="65"/>
        <v/>
      </c>
      <c r="S840" t="str">
        <f>IF(I840="","",_xlfn.XLOOKUP(I840,Lists!$C:$C,Lists!$I:$I))</f>
        <v/>
      </c>
    </row>
    <row r="841" spans="8:8">
      <c r="C841">
        <f>_xlfn.XLOOKUP(B841,Lists!B:B,Lists!A:A,"")</f>
        <v>0.0</v>
      </c>
      <c r="G841" t="str">
        <f t="shared" si="61"/>
        <v/>
      </c>
      <c r="H841" s="20" t="str">
        <f t="shared" si="62"/>
        <v/>
      </c>
      <c r="J841" t="str">
        <f>IF(I841="","",_xlfn.XLOOKUP(I841,Lists!$C:$C,Lists!$D:$D))</f>
        <v/>
      </c>
      <c r="N841" t="str">
        <f t="shared" si="63"/>
        <v/>
      </c>
      <c r="O841" t="str">
        <f>IF(I841="","",_xlfn.XLOOKUP(I841,Lists!$C:$C,Lists!$J:$J))</f>
        <v/>
      </c>
      <c r="P841" t="str">
        <f>IF(I841="","",_xlfn.XLOOKUP(I841,Lists!$C:$C,Lists!$E:$E))</f>
        <v/>
      </c>
      <c r="Q841" s="21" t="str">
        <f t="shared" si="64"/>
        <v/>
      </c>
      <c r="R841" t="str">
        <f t="shared" si="65"/>
        <v/>
      </c>
      <c r="S841" t="str">
        <f>IF(I841="","",_xlfn.XLOOKUP(I841,Lists!$C:$C,Lists!$I:$I))</f>
        <v/>
      </c>
    </row>
    <row r="842" spans="8:8">
      <c r="C842">
        <f>_xlfn.XLOOKUP(B842,Lists!B:B,Lists!A:A,"")</f>
        <v>0.0</v>
      </c>
      <c r="G842" t="str">
        <f t="shared" si="61"/>
        <v/>
      </c>
      <c r="H842" s="20" t="str">
        <f t="shared" si="62"/>
        <v/>
      </c>
      <c r="J842" t="str">
        <f>IF(I842="","",_xlfn.XLOOKUP(I842,Lists!$C:$C,Lists!$D:$D))</f>
        <v/>
      </c>
      <c r="N842" t="str">
        <f t="shared" si="63"/>
        <v/>
      </c>
      <c r="O842" t="str">
        <f>IF(I842="","",_xlfn.XLOOKUP(I842,Lists!$C:$C,Lists!$J:$J))</f>
        <v/>
      </c>
      <c r="P842" t="str">
        <f>IF(I842="","",_xlfn.XLOOKUP(I842,Lists!$C:$C,Lists!$E:$E))</f>
        <v/>
      </c>
      <c r="Q842" s="21" t="str">
        <f t="shared" si="64"/>
        <v/>
      </c>
      <c r="R842" t="str">
        <f t="shared" si="65"/>
        <v/>
      </c>
      <c r="S842" t="str">
        <f>IF(I842="","",_xlfn.XLOOKUP(I842,Lists!$C:$C,Lists!$I:$I))</f>
        <v/>
      </c>
    </row>
    <row r="843" spans="8:8">
      <c r="C843">
        <f>_xlfn.XLOOKUP(B843,Lists!B:B,Lists!A:A,"")</f>
        <v>0.0</v>
      </c>
      <c r="G843" t="str">
        <f t="shared" si="66" ref="G843:G906">IF(OR(E843="",F843=""),"",F843-E843+1)</f>
        <v/>
      </c>
      <c r="H843" s="20" t="str">
        <f t="shared" si="67" ref="H843:H906">IF(D843="","",IF(OR(D843="A",D843="B"),G843/80,IF(D843="A&amp;B",G843/160,"")))</f>
        <v/>
      </c>
      <c r="J843" t="str">
        <f>IF(I843="","",_xlfn.XLOOKUP(I843,Lists!$C:$C,Lists!$D:$D))</f>
        <v/>
      </c>
      <c r="N843" t="str">
        <f t="shared" si="68" ref="N843:N906">IF(OR(M843="",L843=""),"",(M843*L843)/100000)</f>
        <v/>
      </c>
      <c r="O843" t="str">
        <f>IF(I843="","",_xlfn.XLOOKUP(I843,Lists!$C:$C,Lists!$J:$J))</f>
        <v/>
      </c>
      <c r="P843" t="str">
        <f>IF(I843="","",_xlfn.XLOOKUP(I843,Lists!$C:$C,Lists!$E:$E))</f>
        <v/>
      </c>
      <c r="Q843" s="21" t="str">
        <f t="shared" si="69" ref="Q843:Q906">IF(OR(A843="",P843=""),"",A843+P843+1)</f>
        <v/>
      </c>
      <c r="R843" t="str">
        <f t="shared" si="70" ref="R843:R906">IF(Q843="","",IF(Q843&lt;=TODAY(),"Allow","Not Allow"))</f>
        <v/>
      </c>
      <c r="S843" t="str">
        <f>IF(I843="","",_xlfn.XLOOKUP(I843,Lists!$C:$C,Lists!$I:$I))</f>
        <v/>
      </c>
    </row>
    <row r="844" spans="8:8">
      <c r="C844">
        <f>_xlfn.XLOOKUP(B844,Lists!B:B,Lists!A:A,"")</f>
        <v>0.0</v>
      </c>
      <c r="G844" t="str">
        <f t="shared" si="66"/>
        <v/>
      </c>
      <c r="H844" s="20" t="str">
        <f t="shared" si="67"/>
        <v/>
      </c>
      <c r="J844" t="str">
        <f>IF(I844="","",_xlfn.XLOOKUP(I844,Lists!$C:$C,Lists!$D:$D))</f>
        <v/>
      </c>
      <c r="N844" t="str">
        <f t="shared" si="68"/>
        <v/>
      </c>
      <c r="O844" t="str">
        <f>IF(I844="","",_xlfn.XLOOKUP(I844,Lists!$C:$C,Lists!$J:$J))</f>
        <v/>
      </c>
      <c r="P844" t="str">
        <f>IF(I844="","",_xlfn.XLOOKUP(I844,Lists!$C:$C,Lists!$E:$E))</f>
        <v/>
      </c>
      <c r="Q844" s="21" t="str">
        <f t="shared" si="69"/>
        <v/>
      </c>
      <c r="R844" t="str">
        <f t="shared" si="70"/>
        <v/>
      </c>
      <c r="S844" t="str">
        <f>IF(I844="","",_xlfn.XLOOKUP(I844,Lists!$C:$C,Lists!$I:$I))</f>
        <v/>
      </c>
    </row>
    <row r="845" spans="8:8">
      <c r="C845">
        <f>_xlfn.XLOOKUP(B845,Lists!B:B,Lists!A:A,"")</f>
        <v>0.0</v>
      </c>
      <c r="G845" t="str">
        <f t="shared" si="66"/>
        <v/>
      </c>
      <c r="H845" s="20" t="str">
        <f t="shared" si="67"/>
        <v/>
      </c>
      <c r="J845" t="str">
        <f>IF(I845="","",_xlfn.XLOOKUP(I845,Lists!$C:$C,Lists!$D:$D))</f>
        <v/>
      </c>
      <c r="N845" t="str">
        <f t="shared" si="68"/>
        <v/>
      </c>
      <c r="O845" t="str">
        <f>IF(I845="","",_xlfn.XLOOKUP(I845,Lists!$C:$C,Lists!$J:$J))</f>
        <v/>
      </c>
      <c r="P845" t="str">
        <f>IF(I845="","",_xlfn.XLOOKUP(I845,Lists!$C:$C,Lists!$E:$E))</f>
        <v/>
      </c>
      <c r="Q845" s="21" t="str">
        <f t="shared" si="69"/>
        <v/>
      </c>
      <c r="R845" t="str">
        <f t="shared" si="70"/>
        <v/>
      </c>
      <c r="S845" t="str">
        <f>IF(I845="","",_xlfn.XLOOKUP(I845,Lists!$C:$C,Lists!$I:$I))</f>
        <v/>
      </c>
    </row>
    <row r="846" spans="8:8">
      <c r="C846">
        <f>_xlfn.XLOOKUP(B846,Lists!B:B,Lists!A:A,"")</f>
        <v>0.0</v>
      </c>
      <c r="G846" t="str">
        <f t="shared" si="66"/>
        <v/>
      </c>
      <c r="H846" s="20" t="str">
        <f t="shared" si="67"/>
        <v/>
      </c>
      <c r="J846" t="str">
        <f>IF(I846="","",_xlfn.XLOOKUP(I846,Lists!$C:$C,Lists!$D:$D))</f>
        <v/>
      </c>
      <c r="N846" t="str">
        <f t="shared" si="68"/>
        <v/>
      </c>
      <c r="O846" t="str">
        <f>IF(I846="","",_xlfn.XLOOKUP(I846,Lists!$C:$C,Lists!$J:$J))</f>
        <v/>
      </c>
      <c r="P846" t="str">
        <f>IF(I846="","",_xlfn.XLOOKUP(I846,Lists!$C:$C,Lists!$E:$E))</f>
        <v/>
      </c>
      <c r="Q846" s="21" t="str">
        <f t="shared" si="69"/>
        <v/>
      </c>
      <c r="R846" t="str">
        <f t="shared" si="70"/>
        <v/>
      </c>
      <c r="S846" t="str">
        <f>IF(I846="","",_xlfn.XLOOKUP(I846,Lists!$C:$C,Lists!$I:$I))</f>
        <v/>
      </c>
    </row>
    <row r="847" spans="8:8">
      <c r="C847">
        <f>_xlfn.XLOOKUP(B847,Lists!B:B,Lists!A:A,"")</f>
        <v>0.0</v>
      </c>
      <c r="G847" t="str">
        <f t="shared" si="66"/>
        <v/>
      </c>
      <c r="H847" s="20" t="str">
        <f t="shared" si="67"/>
        <v/>
      </c>
      <c r="J847" t="str">
        <f>IF(I847="","",_xlfn.XLOOKUP(I847,Lists!$C:$C,Lists!$D:$D))</f>
        <v/>
      </c>
      <c r="N847" t="str">
        <f t="shared" si="68"/>
        <v/>
      </c>
      <c r="O847" t="str">
        <f>IF(I847="","",_xlfn.XLOOKUP(I847,Lists!$C:$C,Lists!$J:$J))</f>
        <v/>
      </c>
      <c r="P847" t="str">
        <f>IF(I847="","",_xlfn.XLOOKUP(I847,Lists!$C:$C,Lists!$E:$E))</f>
        <v/>
      </c>
      <c r="Q847" s="21" t="str">
        <f t="shared" si="69"/>
        <v/>
      </c>
      <c r="R847" t="str">
        <f t="shared" si="70"/>
        <v/>
      </c>
      <c r="S847" t="str">
        <f>IF(I847="","",_xlfn.XLOOKUP(I847,Lists!$C:$C,Lists!$I:$I))</f>
        <v/>
      </c>
    </row>
    <row r="848" spans="8:8">
      <c r="C848">
        <f>_xlfn.XLOOKUP(B848,Lists!B:B,Lists!A:A,"")</f>
        <v>0.0</v>
      </c>
      <c r="G848" t="str">
        <f t="shared" si="66"/>
        <v/>
      </c>
      <c r="H848" s="20" t="str">
        <f t="shared" si="67"/>
        <v/>
      </c>
      <c r="J848" t="str">
        <f>IF(I848="","",_xlfn.XLOOKUP(I848,Lists!$C:$C,Lists!$D:$D))</f>
        <v/>
      </c>
      <c r="N848" t="str">
        <f t="shared" si="68"/>
        <v/>
      </c>
      <c r="O848" t="str">
        <f>IF(I848="","",_xlfn.XLOOKUP(I848,Lists!$C:$C,Lists!$J:$J))</f>
        <v/>
      </c>
      <c r="P848" t="str">
        <f>IF(I848="","",_xlfn.XLOOKUP(I848,Lists!$C:$C,Lists!$E:$E))</f>
        <v/>
      </c>
      <c r="Q848" s="21" t="str">
        <f t="shared" si="69"/>
        <v/>
      </c>
      <c r="R848" t="str">
        <f t="shared" si="70"/>
        <v/>
      </c>
      <c r="S848" t="str">
        <f>IF(I848="","",_xlfn.XLOOKUP(I848,Lists!$C:$C,Lists!$I:$I))</f>
        <v/>
      </c>
    </row>
    <row r="849" spans="8:8">
      <c r="C849">
        <f>_xlfn.XLOOKUP(B849,Lists!B:B,Lists!A:A,"")</f>
        <v>0.0</v>
      </c>
      <c r="G849" t="str">
        <f t="shared" si="66"/>
        <v/>
      </c>
      <c r="H849" s="20" t="str">
        <f t="shared" si="67"/>
        <v/>
      </c>
      <c r="J849" t="str">
        <f>IF(I849="","",_xlfn.XLOOKUP(I849,Lists!$C:$C,Lists!$D:$D))</f>
        <v/>
      </c>
      <c r="N849" t="str">
        <f t="shared" si="68"/>
        <v/>
      </c>
      <c r="O849" t="str">
        <f>IF(I849="","",_xlfn.XLOOKUP(I849,Lists!$C:$C,Lists!$J:$J))</f>
        <v/>
      </c>
      <c r="P849" t="str">
        <f>IF(I849="","",_xlfn.XLOOKUP(I849,Lists!$C:$C,Lists!$E:$E))</f>
        <v/>
      </c>
      <c r="Q849" s="21" t="str">
        <f t="shared" si="69"/>
        <v/>
      </c>
      <c r="R849" t="str">
        <f t="shared" si="70"/>
        <v/>
      </c>
      <c r="S849" t="str">
        <f>IF(I849="","",_xlfn.XLOOKUP(I849,Lists!$C:$C,Lists!$I:$I))</f>
        <v/>
      </c>
    </row>
    <row r="850" spans="8:8">
      <c r="C850">
        <f>_xlfn.XLOOKUP(B850,Lists!B:B,Lists!A:A,"")</f>
        <v>0.0</v>
      </c>
      <c r="G850" t="str">
        <f t="shared" si="66"/>
        <v/>
      </c>
      <c r="H850" s="20" t="str">
        <f t="shared" si="67"/>
        <v/>
      </c>
      <c r="J850" t="str">
        <f>IF(I850="","",_xlfn.XLOOKUP(I850,Lists!$C:$C,Lists!$D:$D))</f>
        <v/>
      </c>
      <c r="N850" t="str">
        <f t="shared" si="68"/>
        <v/>
      </c>
      <c r="O850" t="str">
        <f>IF(I850="","",_xlfn.XLOOKUP(I850,Lists!$C:$C,Lists!$J:$J))</f>
        <v/>
      </c>
      <c r="P850" t="str">
        <f>IF(I850="","",_xlfn.XLOOKUP(I850,Lists!$C:$C,Lists!$E:$E))</f>
        <v/>
      </c>
      <c r="Q850" s="21" t="str">
        <f t="shared" si="69"/>
        <v/>
      </c>
      <c r="R850" t="str">
        <f t="shared" si="70"/>
        <v/>
      </c>
      <c r="S850" t="str">
        <f>IF(I850="","",_xlfn.XLOOKUP(I850,Lists!$C:$C,Lists!$I:$I))</f>
        <v/>
      </c>
    </row>
    <row r="851" spans="8:8">
      <c r="C851">
        <f>_xlfn.XLOOKUP(B851,Lists!B:B,Lists!A:A,"")</f>
        <v>0.0</v>
      </c>
      <c r="G851" t="str">
        <f t="shared" si="66"/>
        <v/>
      </c>
      <c r="H851" s="20" t="str">
        <f t="shared" si="67"/>
        <v/>
      </c>
      <c r="J851" t="str">
        <f>IF(I851="","",_xlfn.XLOOKUP(I851,Lists!$C:$C,Lists!$D:$D))</f>
        <v/>
      </c>
      <c r="N851" t="str">
        <f t="shared" si="68"/>
        <v/>
      </c>
      <c r="O851" t="str">
        <f>IF(I851="","",_xlfn.XLOOKUP(I851,Lists!$C:$C,Lists!$J:$J))</f>
        <v/>
      </c>
      <c r="P851" t="str">
        <f>IF(I851="","",_xlfn.XLOOKUP(I851,Lists!$C:$C,Lists!$E:$E))</f>
        <v/>
      </c>
      <c r="Q851" s="21" t="str">
        <f t="shared" si="69"/>
        <v/>
      </c>
      <c r="R851" t="str">
        <f t="shared" si="70"/>
        <v/>
      </c>
      <c r="S851" t="str">
        <f>IF(I851="","",_xlfn.XLOOKUP(I851,Lists!$C:$C,Lists!$I:$I))</f>
        <v/>
      </c>
    </row>
    <row r="852" spans="8:8">
      <c r="C852">
        <f>_xlfn.XLOOKUP(B852,Lists!B:B,Lists!A:A,"")</f>
        <v>0.0</v>
      </c>
      <c r="G852" t="str">
        <f t="shared" si="66"/>
        <v/>
      </c>
      <c r="H852" s="20" t="str">
        <f t="shared" si="67"/>
        <v/>
      </c>
      <c r="J852" t="str">
        <f>IF(I852="","",_xlfn.XLOOKUP(I852,Lists!$C:$C,Lists!$D:$D))</f>
        <v/>
      </c>
      <c r="N852" t="str">
        <f t="shared" si="68"/>
        <v/>
      </c>
      <c r="O852" t="str">
        <f>IF(I852="","",_xlfn.XLOOKUP(I852,Lists!$C:$C,Lists!$J:$J))</f>
        <v/>
      </c>
      <c r="P852" t="str">
        <f>IF(I852="","",_xlfn.XLOOKUP(I852,Lists!$C:$C,Lists!$E:$E))</f>
        <v/>
      </c>
      <c r="Q852" s="21" t="str">
        <f t="shared" si="69"/>
        <v/>
      </c>
      <c r="R852" t="str">
        <f t="shared" si="70"/>
        <v/>
      </c>
      <c r="S852" t="str">
        <f>IF(I852="","",_xlfn.XLOOKUP(I852,Lists!$C:$C,Lists!$I:$I))</f>
        <v/>
      </c>
    </row>
    <row r="853" spans="8:8">
      <c r="C853">
        <f>_xlfn.XLOOKUP(B853,Lists!B:B,Lists!A:A,"")</f>
        <v>0.0</v>
      </c>
      <c r="G853" t="str">
        <f t="shared" si="66"/>
        <v/>
      </c>
      <c r="H853" s="20" t="str">
        <f t="shared" si="67"/>
        <v/>
      </c>
      <c r="J853" t="str">
        <f>IF(I853="","",_xlfn.XLOOKUP(I853,Lists!$C:$C,Lists!$D:$D))</f>
        <v/>
      </c>
      <c r="N853" t="str">
        <f t="shared" si="68"/>
        <v/>
      </c>
      <c r="O853" t="str">
        <f>IF(I853="","",_xlfn.XLOOKUP(I853,Lists!$C:$C,Lists!$J:$J))</f>
        <v/>
      </c>
      <c r="P853" t="str">
        <f>IF(I853="","",_xlfn.XLOOKUP(I853,Lists!$C:$C,Lists!$E:$E))</f>
        <v/>
      </c>
      <c r="Q853" s="21" t="str">
        <f t="shared" si="69"/>
        <v/>
      </c>
      <c r="R853" t="str">
        <f t="shared" si="70"/>
        <v/>
      </c>
      <c r="S853" t="str">
        <f>IF(I853="","",_xlfn.XLOOKUP(I853,Lists!$C:$C,Lists!$I:$I))</f>
        <v/>
      </c>
    </row>
    <row r="854" spans="8:8">
      <c r="C854">
        <f>_xlfn.XLOOKUP(B854,Lists!B:B,Lists!A:A,"")</f>
        <v>0.0</v>
      </c>
      <c r="G854" t="str">
        <f t="shared" si="66"/>
        <v/>
      </c>
      <c r="H854" s="20" t="str">
        <f t="shared" si="67"/>
        <v/>
      </c>
      <c r="J854" t="str">
        <f>IF(I854="","",_xlfn.XLOOKUP(I854,Lists!$C:$C,Lists!$D:$D))</f>
        <v/>
      </c>
      <c r="N854" t="str">
        <f t="shared" si="68"/>
        <v/>
      </c>
      <c r="O854" t="str">
        <f>IF(I854="","",_xlfn.XLOOKUP(I854,Lists!$C:$C,Lists!$J:$J))</f>
        <v/>
      </c>
      <c r="P854" t="str">
        <f>IF(I854="","",_xlfn.XLOOKUP(I854,Lists!$C:$C,Lists!$E:$E))</f>
        <v/>
      </c>
      <c r="Q854" s="21" t="str">
        <f t="shared" si="69"/>
        <v/>
      </c>
      <c r="R854" t="str">
        <f t="shared" si="70"/>
        <v/>
      </c>
      <c r="S854" t="str">
        <f>IF(I854="","",_xlfn.XLOOKUP(I854,Lists!$C:$C,Lists!$I:$I))</f>
        <v/>
      </c>
    </row>
    <row r="855" spans="8:8">
      <c r="C855">
        <f>_xlfn.XLOOKUP(B855,Lists!B:B,Lists!A:A,"")</f>
        <v>0.0</v>
      </c>
      <c r="G855" t="str">
        <f t="shared" si="66"/>
        <v/>
      </c>
      <c r="H855" s="20" t="str">
        <f t="shared" si="67"/>
        <v/>
      </c>
      <c r="J855" t="str">
        <f>IF(I855="","",_xlfn.XLOOKUP(I855,Lists!$C:$C,Lists!$D:$D))</f>
        <v/>
      </c>
      <c r="N855" t="str">
        <f t="shared" si="68"/>
        <v/>
      </c>
      <c r="O855" t="str">
        <f>IF(I855="","",_xlfn.XLOOKUP(I855,Lists!$C:$C,Lists!$J:$J))</f>
        <v/>
      </c>
      <c r="P855" t="str">
        <f>IF(I855="","",_xlfn.XLOOKUP(I855,Lists!$C:$C,Lists!$E:$E))</f>
        <v/>
      </c>
      <c r="Q855" s="21" t="str">
        <f t="shared" si="69"/>
        <v/>
      </c>
      <c r="R855" t="str">
        <f t="shared" si="70"/>
        <v/>
      </c>
      <c r="S855" t="str">
        <f>IF(I855="","",_xlfn.XLOOKUP(I855,Lists!$C:$C,Lists!$I:$I))</f>
        <v/>
      </c>
    </row>
    <row r="856" spans="8:8">
      <c r="C856">
        <f>_xlfn.XLOOKUP(B856,Lists!B:B,Lists!A:A,"")</f>
        <v>0.0</v>
      </c>
      <c r="G856" t="str">
        <f t="shared" si="66"/>
        <v/>
      </c>
      <c r="H856" s="20" t="str">
        <f t="shared" si="67"/>
        <v/>
      </c>
      <c r="J856" t="str">
        <f>IF(I856="","",_xlfn.XLOOKUP(I856,Lists!$C:$C,Lists!$D:$D))</f>
        <v/>
      </c>
      <c r="N856" t="str">
        <f t="shared" si="68"/>
        <v/>
      </c>
      <c r="O856" t="str">
        <f>IF(I856="","",_xlfn.XLOOKUP(I856,Lists!$C:$C,Lists!$J:$J))</f>
        <v/>
      </c>
      <c r="P856" t="str">
        <f>IF(I856="","",_xlfn.XLOOKUP(I856,Lists!$C:$C,Lists!$E:$E))</f>
        <v/>
      </c>
      <c r="Q856" s="21" t="str">
        <f t="shared" si="69"/>
        <v/>
      </c>
      <c r="R856" t="str">
        <f t="shared" si="70"/>
        <v/>
      </c>
      <c r="S856" t="str">
        <f>IF(I856="","",_xlfn.XLOOKUP(I856,Lists!$C:$C,Lists!$I:$I))</f>
        <v/>
      </c>
    </row>
    <row r="857" spans="8:8">
      <c r="C857">
        <f>_xlfn.XLOOKUP(B857,Lists!B:B,Lists!A:A,"")</f>
        <v>0.0</v>
      </c>
      <c r="G857" t="str">
        <f t="shared" si="66"/>
        <v/>
      </c>
      <c r="H857" s="20" t="str">
        <f t="shared" si="67"/>
        <v/>
      </c>
      <c r="J857" t="str">
        <f>IF(I857="","",_xlfn.XLOOKUP(I857,Lists!$C:$C,Lists!$D:$D))</f>
        <v/>
      </c>
      <c r="N857" t="str">
        <f t="shared" si="68"/>
        <v/>
      </c>
      <c r="O857" t="str">
        <f>IF(I857="","",_xlfn.XLOOKUP(I857,Lists!$C:$C,Lists!$J:$J))</f>
        <v/>
      </c>
      <c r="P857" t="str">
        <f>IF(I857="","",_xlfn.XLOOKUP(I857,Lists!$C:$C,Lists!$E:$E))</f>
        <v/>
      </c>
      <c r="Q857" s="21" t="str">
        <f t="shared" si="69"/>
        <v/>
      </c>
      <c r="R857" t="str">
        <f t="shared" si="70"/>
        <v/>
      </c>
      <c r="S857" t="str">
        <f>IF(I857="","",_xlfn.XLOOKUP(I857,Lists!$C:$C,Lists!$I:$I))</f>
        <v/>
      </c>
    </row>
    <row r="858" spans="8:8">
      <c r="C858">
        <f>_xlfn.XLOOKUP(B858,Lists!B:B,Lists!A:A,"")</f>
        <v>0.0</v>
      </c>
      <c r="G858" t="str">
        <f t="shared" si="66"/>
        <v/>
      </c>
      <c r="H858" s="20" t="str">
        <f t="shared" si="67"/>
        <v/>
      </c>
      <c r="J858" t="str">
        <f>IF(I858="","",_xlfn.XLOOKUP(I858,Lists!$C:$C,Lists!$D:$D))</f>
        <v/>
      </c>
      <c r="N858" t="str">
        <f t="shared" si="68"/>
        <v/>
      </c>
      <c r="O858" t="str">
        <f>IF(I858="","",_xlfn.XLOOKUP(I858,Lists!$C:$C,Lists!$J:$J))</f>
        <v/>
      </c>
      <c r="P858" t="str">
        <f>IF(I858="","",_xlfn.XLOOKUP(I858,Lists!$C:$C,Lists!$E:$E))</f>
        <v/>
      </c>
      <c r="Q858" s="21" t="str">
        <f t="shared" si="69"/>
        <v/>
      </c>
      <c r="R858" t="str">
        <f t="shared" si="70"/>
        <v/>
      </c>
      <c r="S858" t="str">
        <f>IF(I858="","",_xlfn.XLOOKUP(I858,Lists!$C:$C,Lists!$I:$I))</f>
        <v/>
      </c>
    </row>
    <row r="859" spans="8:8">
      <c r="C859">
        <f>_xlfn.XLOOKUP(B859,Lists!B:B,Lists!A:A,"")</f>
        <v>0.0</v>
      </c>
      <c r="G859" t="str">
        <f t="shared" si="66"/>
        <v/>
      </c>
      <c r="H859" s="20" t="str">
        <f t="shared" si="67"/>
        <v/>
      </c>
      <c r="J859" t="str">
        <f>IF(I859="","",_xlfn.XLOOKUP(I859,Lists!$C:$C,Lists!$D:$D))</f>
        <v/>
      </c>
      <c r="N859" t="str">
        <f t="shared" si="68"/>
        <v/>
      </c>
      <c r="O859" t="str">
        <f>IF(I859="","",_xlfn.XLOOKUP(I859,Lists!$C:$C,Lists!$J:$J))</f>
        <v/>
      </c>
      <c r="P859" t="str">
        <f>IF(I859="","",_xlfn.XLOOKUP(I859,Lists!$C:$C,Lists!$E:$E))</f>
        <v/>
      </c>
      <c r="Q859" s="21" t="str">
        <f t="shared" si="69"/>
        <v/>
      </c>
      <c r="R859" t="str">
        <f t="shared" si="70"/>
        <v/>
      </c>
      <c r="S859" t="str">
        <f>IF(I859="","",_xlfn.XLOOKUP(I859,Lists!$C:$C,Lists!$I:$I))</f>
        <v/>
      </c>
    </row>
    <row r="860" spans="8:8">
      <c r="C860">
        <f>_xlfn.XLOOKUP(B860,Lists!B:B,Lists!A:A,"")</f>
        <v>0.0</v>
      </c>
      <c r="G860" t="str">
        <f t="shared" si="66"/>
        <v/>
      </c>
      <c r="H860" s="20" t="str">
        <f t="shared" si="67"/>
        <v/>
      </c>
      <c r="J860" t="str">
        <f>IF(I860="","",_xlfn.XLOOKUP(I860,Lists!$C:$C,Lists!$D:$D))</f>
        <v/>
      </c>
      <c r="N860" t="str">
        <f t="shared" si="68"/>
        <v/>
      </c>
      <c r="O860" t="str">
        <f>IF(I860="","",_xlfn.XLOOKUP(I860,Lists!$C:$C,Lists!$J:$J))</f>
        <v/>
      </c>
      <c r="P860" t="str">
        <f>IF(I860="","",_xlfn.XLOOKUP(I860,Lists!$C:$C,Lists!$E:$E))</f>
        <v/>
      </c>
      <c r="Q860" s="21" t="str">
        <f t="shared" si="69"/>
        <v/>
      </c>
      <c r="R860" t="str">
        <f t="shared" si="70"/>
        <v/>
      </c>
      <c r="S860" t="str">
        <f>IF(I860="","",_xlfn.XLOOKUP(I860,Lists!$C:$C,Lists!$I:$I))</f>
        <v/>
      </c>
    </row>
    <row r="861" spans="8:8">
      <c r="C861">
        <f>_xlfn.XLOOKUP(B861,Lists!B:B,Lists!A:A,"")</f>
        <v>0.0</v>
      </c>
      <c r="G861" t="str">
        <f t="shared" si="66"/>
        <v/>
      </c>
      <c r="H861" s="20" t="str">
        <f t="shared" si="67"/>
        <v/>
      </c>
      <c r="J861" t="str">
        <f>IF(I861="","",_xlfn.XLOOKUP(I861,Lists!$C:$C,Lists!$D:$D))</f>
        <v/>
      </c>
      <c r="N861" t="str">
        <f t="shared" si="68"/>
        <v/>
      </c>
      <c r="O861" t="str">
        <f>IF(I861="","",_xlfn.XLOOKUP(I861,Lists!$C:$C,Lists!$J:$J))</f>
        <v/>
      </c>
      <c r="P861" t="str">
        <f>IF(I861="","",_xlfn.XLOOKUP(I861,Lists!$C:$C,Lists!$E:$E))</f>
        <v/>
      </c>
      <c r="Q861" s="21" t="str">
        <f t="shared" si="69"/>
        <v/>
      </c>
      <c r="R861" t="str">
        <f t="shared" si="70"/>
        <v/>
      </c>
      <c r="S861" t="str">
        <f>IF(I861="","",_xlfn.XLOOKUP(I861,Lists!$C:$C,Lists!$I:$I))</f>
        <v/>
      </c>
    </row>
    <row r="862" spans="8:8">
      <c r="C862">
        <f>_xlfn.XLOOKUP(B862,Lists!B:B,Lists!A:A,"")</f>
        <v>0.0</v>
      </c>
      <c r="G862" t="str">
        <f t="shared" si="66"/>
        <v/>
      </c>
      <c r="H862" s="20" t="str">
        <f t="shared" si="67"/>
        <v/>
      </c>
      <c r="J862" t="str">
        <f>IF(I862="","",_xlfn.XLOOKUP(I862,Lists!$C:$C,Lists!$D:$D))</f>
        <v/>
      </c>
      <c r="N862" t="str">
        <f t="shared" si="68"/>
        <v/>
      </c>
      <c r="O862" t="str">
        <f>IF(I862="","",_xlfn.XLOOKUP(I862,Lists!$C:$C,Lists!$J:$J))</f>
        <v/>
      </c>
      <c r="P862" t="str">
        <f>IF(I862="","",_xlfn.XLOOKUP(I862,Lists!$C:$C,Lists!$E:$E))</f>
        <v/>
      </c>
      <c r="Q862" s="21" t="str">
        <f t="shared" si="69"/>
        <v/>
      </c>
      <c r="R862" t="str">
        <f t="shared" si="70"/>
        <v/>
      </c>
      <c r="S862" t="str">
        <f>IF(I862="","",_xlfn.XLOOKUP(I862,Lists!$C:$C,Lists!$I:$I))</f>
        <v/>
      </c>
    </row>
    <row r="863" spans="8:8">
      <c r="C863">
        <f>_xlfn.XLOOKUP(B863,Lists!B:B,Lists!A:A,"")</f>
        <v>0.0</v>
      </c>
      <c r="G863" t="str">
        <f t="shared" si="66"/>
        <v/>
      </c>
      <c r="H863" s="20" t="str">
        <f t="shared" si="67"/>
        <v/>
      </c>
      <c r="J863" t="str">
        <f>IF(I863="","",_xlfn.XLOOKUP(I863,Lists!$C:$C,Lists!$D:$D))</f>
        <v/>
      </c>
      <c r="N863" t="str">
        <f t="shared" si="68"/>
        <v/>
      </c>
      <c r="O863" t="str">
        <f>IF(I863="","",_xlfn.XLOOKUP(I863,Lists!$C:$C,Lists!$J:$J))</f>
        <v/>
      </c>
      <c r="P863" t="str">
        <f>IF(I863="","",_xlfn.XLOOKUP(I863,Lists!$C:$C,Lists!$E:$E))</f>
        <v/>
      </c>
      <c r="Q863" s="21" t="str">
        <f t="shared" si="69"/>
        <v/>
      </c>
      <c r="R863" t="str">
        <f t="shared" si="70"/>
        <v/>
      </c>
      <c r="S863" t="str">
        <f>IF(I863="","",_xlfn.XLOOKUP(I863,Lists!$C:$C,Lists!$I:$I))</f>
        <v/>
      </c>
    </row>
    <row r="864" spans="8:8">
      <c r="C864">
        <f>_xlfn.XLOOKUP(B864,Lists!B:B,Lists!A:A,"")</f>
        <v>0.0</v>
      </c>
      <c r="G864" t="str">
        <f t="shared" si="66"/>
        <v/>
      </c>
      <c r="H864" s="20" t="str">
        <f t="shared" si="67"/>
        <v/>
      </c>
      <c r="J864" t="str">
        <f>IF(I864="","",_xlfn.XLOOKUP(I864,Lists!$C:$C,Lists!$D:$D))</f>
        <v/>
      </c>
      <c r="N864" t="str">
        <f t="shared" si="68"/>
        <v/>
      </c>
      <c r="O864" t="str">
        <f>IF(I864="","",_xlfn.XLOOKUP(I864,Lists!$C:$C,Lists!$J:$J))</f>
        <v/>
      </c>
      <c r="P864" t="str">
        <f>IF(I864="","",_xlfn.XLOOKUP(I864,Lists!$C:$C,Lists!$E:$E))</f>
        <v/>
      </c>
      <c r="Q864" s="21" t="str">
        <f t="shared" si="69"/>
        <v/>
      </c>
      <c r="R864" t="str">
        <f t="shared" si="70"/>
        <v/>
      </c>
      <c r="S864" t="str">
        <f>IF(I864="","",_xlfn.XLOOKUP(I864,Lists!$C:$C,Lists!$I:$I))</f>
        <v/>
      </c>
    </row>
    <row r="865" spans="8:8">
      <c r="C865">
        <f>_xlfn.XLOOKUP(B865,Lists!B:B,Lists!A:A,"")</f>
        <v>0.0</v>
      </c>
      <c r="G865" t="str">
        <f t="shared" si="66"/>
        <v/>
      </c>
      <c r="H865" s="20" t="str">
        <f t="shared" si="67"/>
        <v/>
      </c>
      <c r="J865" t="str">
        <f>IF(I865="","",_xlfn.XLOOKUP(I865,Lists!$C:$C,Lists!$D:$D))</f>
        <v/>
      </c>
      <c r="N865" t="str">
        <f t="shared" si="68"/>
        <v/>
      </c>
      <c r="O865" t="str">
        <f>IF(I865="","",_xlfn.XLOOKUP(I865,Lists!$C:$C,Lists!$J:$J))</f>
        <v/>
      </c>
      <c r="P865" t="str">
        <f>IF(I865="","",_xlfn.XLOOKUP(I865,Lists!$C:$C,Lists!$E:$E))</f>
        <v/>
      </c>
      <c r="Q865" s="21" t="str">
        <f t="shared" si="69"/>
        <v/>
      </c>
      <c r="R865" t="str">
        <f t="shared" si="70"/>
        <v/>
      </c>
      <c r="S865" t="str">
        <f>IF(I865="","",_xlfn.XLOOKUP(I865,Lists!$C:$C,Lists!$I:$I))</f>
        <v/>
      </c>
    </row>
    <row r="866" spans="8:8">
      <c r="C866">
        <f>_xlfn.XLOOKUP(B866,Lists!B:B,Lists!A:A,"")</f>
        <v>0.0</v>
      </c>
      <c r="G866" t="str">
        <f t="shared" si="66"/>
        <v/>
      </c>
      <c r="H866" s="20" t="str">
        <f t="shared" si="67"/>
        <v/>
      </c>
      <c r="J866" t="str">
        <f>IF(I866="","",_xlfn.XLOOKUP(I866,Lists!$C:$C,Lists!$D:$D))</f>
        <v/>
      </c>
      <c r="N866" t="str">
        <f t="shared" si="68"/>
        <v/>
      </c>
      <c r="O866" t="str">
        <f>IF(I866="","",_xlfn.XLOOKUP(I866,Lists!$C:$C,Lists!$J:$J))</f>
        <v/>
      </c>
      <c r="P866" t="str">
        <f>IF(I866="","",_xlfn.XLOOKUP(I866,Lists!$C:$C,Lists!$E:$E))</f>
        <v/>
      </c>
      <c r="Q866" s="21" t="str">
        <f t="shared" si="69"/>
        <v/>
      </c>
      <c r="R866" t="str">
        <f t="shared" si="70"/>
        <v/>
      </c>
      <c r="S866" t="str">
        <f>IF(I866="","",_xlfn.XLOOKUP(I866,Lists!$C:$C,Lists!$I:$I))</f>
        <v/>
      </c>
    </row>
    <row r="867" spans="8:8">
      <c r="C867">
        <f>_xlfn.XLOOKUP(B867,Lists!B:B,Lists!A:A,"")</f>
        <v>0.0</v>
      </c>
      <c r="G867" t="str">
        <f t="shared" si="66"/>
        <v/>
      </c>
      <c r="H867" s="20" t="str">
        <f t="shared" si="67"/>
        <v/>
      </c>
      <c r="J867" t="str">
        <f>IF(I867="","",_xlfn.XLOOKUP(I867,Lists!$C:$C,Lists!$D:$D))</f>
        <v/>
      </c>
      <c r="N867" t="str">
        <f t="shared" si="68"/>
        <v/>
      </c>
      <c r="O867" t="str">
        <f>IF(I867="","",_xlfn.XLOOKUP(I867,Lists!$C:$C,Lists!$J:$J))</f>
        <v/>
      </c>
      <c r="P867" t="str">
        <f>IF(I867="","",_xlfn.XLOOKUP(I867,Lists!$C:$C,Lists!$E:$E))</f>
        <v/>
      </c>
      <c r="Q867" s="21" t="str">
        <f t="shared" si="69"/>
        <v/>
      </c>
      <c r="R867" t="str">
        <f t="shared" si="70"/>
        <v/>
      </c>
      <c r="S867" t="str">
        <f>IF(I867="","",_xlfn.XLOOKUP(I867,Lists!$C:$C,Lists!$I:$I))</f>
        <v/>
      </c>
    </row>
    <row r="868" spans="8:8">
      <c r="C868">
        <f>_xlfn.XLOOKUP(B868,Lists!B:B,Lists!A:A,"")</f>
        <v>0.0</v>
      </c>
      <c r="G868" t="str">
        <f t="shared" si="66"/>
        <v/>
      </c>
      <c r="H868" s="20" t="str">
        <f t="shared" si="67"/>
        <v/>
      </c>
      <c r="J868" t="str">
        <f>IF(I868="","",_xlfn.XLOOKUP(I868,Lists!$C:$C,Lists!$D:$D))</f>
        <v/>
      </c>
      <c r="N868" t="str">
        <f t="shared" si="68"/>
        <v/>
      </c>
      <c r="O868" t="str">
        <f>IF(I868="","",_xlfn.XLOOKUP(I868,Lists!$C:$C,Lists!$J:$J))</f>
        <v/>
      </c>
      <c r="P868" t="str">
        <f>IF(I868="","",_xlfn.XLOOKUP(I868,Lists!$C:$C,Lists!$E:$E))</f>
        <v/>
      </c>
      <c r="Q868" s="21" t="str">
        <f t="shared" si="69"/>
        <v/>
      </c>
      <c r="R868" t="str">
        <f t="shared" si="70"/>
        <v/>
      </c>
      <c r="S868" t="str">
        <f>IF(I868="","",_xlfn.XLOOKUP(I868,Lists!$C:$C,Lists!$I:$I))</f>
        <v/>
      </c>
    </row>
    <row r="869" spans="8:8">
      <c r="C869">
        <f>_xlfn.XLOOKUP(B869,Lists!B:B,Lists!A:A,"")</f>
        <v>0.0</v>
      </c>
      <c r="G869" t="str">
        <f t="shared" si="66"/>
        <v/>
      </c>
      <c r="H869" s="20" t="str">
        <f t="shared" si="67"/>
        <v/>
      </c>
      <c r="J869" t="str">
        <f>IF(I869="","",_xlfn.XLOOKUP(I869,Lists!$C:$C,Lists!$D:$D))</f>
        <v/>
      </c>
      <c r="N869" t="str">
        <f t="shared" si="68"/>
        <v/>
      </c>
      <c r="O869" t="str">
        <f>IF(I869="","",_xlfn.XLOOKUP(I869,Lists!$C:$C,Lists!$J:$J))</f>
        <v/>
      </c>
      <c r="P869" t="str">
        <f>IF(I869="","",_xlfn.XLOOKUP(I869,Lists!$C:$C,Lists!$E:$E))</f>
        <v/>
      </c>
      <c r="Q869" s="21" t="str">
        <f t="shared" si="69"/>
        <v/>
      </c>
      <c r="R869" t="str">
        <f t="shared" si="70"/>
        <v/>
      </c>
      <c r="S869" t="str">
        <f>IF(I869="","",_xlfn.XLOOKUP(I869,Lists!$C:$C,Lists!$I:$I))</f>
        <v/>
      </c>
    </row>
    <row r="870" spans="8:8">
      <c r="C870">
        <f>_xlfn.XLOOKUP(B870,Lists!B:B,Lists!A:A,"")</f>
        <v>0.0</v>
      </c>
      <c r="G870" t="str">
        <f t="shared" si="66"/>
        <v/>
      </c>
      <c r="H870" s="20" t="str">
        <f t="shared" si="67"/>
        <v/>
      </c>
      <c r="J870" t="str">
        <f>IF(I870="","",_xlfn.XLOOKUP(I870,Lists!$C:$C,Lists!$D:$D))</f>
        <v/>
      </c>
      <c r="N870" t="str">
        <f t="shared" si="68"/>
        <v/>
      </c>
      <c r="O870" t="str">
        <f>IF(I870="","",_xlfn.XLOOKUP(I870,Lists!$C:$C,Lists!$J:$J))</f>
        <v/>
      </c>
      <c r="P870" t="str">
        <f>IF(I870="","",_xlfn.XLOOKUP(I870,Lists!$C:$C,Lists!$E:$E))</f>
        <v/>
      </c>
      <c r="Q870" s="21" t="str">
        <f t="shared" si="69"/>
        <v/>
      </c>
      <c r="R870" t="str">
        <f t="shared" si="70"/>
        <v/>
      </c>
      <c r="S870" t="str">
        <f>IF(I870="","",_xlfn.XLOOKUP(I870,Lists!$C:$C,Lists!$I:$I))</f>
        <v/>
      </c>
    </row>
    <row r="871" spans="8:8">
      <c r="C871">
        <f>_xlfn.XLOOKUP(B871,Lists!B:B,Lists!A:A,"")</f>
        <v>0.0</v>
      </c>
      <c r="G871" t="str">
        <f t="shared" si="66"/>
        <v/>
      </c>
      <c r="H871" s="20" t="str">
        <f t="shared" si="67"/>
        <v/>
      </c>
      <c r="J871" t="str">
        <f>IF(I871="","",_xlfn.XLOOKUP(I871,Lists!$C:$C,Lists!$D:$D))</f>
        <v/>
      </c>
      <c r="N871" t="str">
        <f t="shared" si="68"/>
        <v/>
      </c>
      <c r="O871" t="str">
        <f>IF(I871="","",_xlfn.XLOOKUP(I871,Lists!$C:$C,Lists!$J:$J))</f>
        <v/>
      </c>
      <c r="P871" t="str">
        <f>IF(I871="","",_xlfn.XLOOKUP(I871,Lists!$C:$C,Lists!$E:$E))</f>
        <v/>
      </c>
      <c r="Q871" s="21" t="str">
        <f t="shared" si="69"/>
        <v/>
      </c>
      <c r="R871" t="str">
        <f t="shared" si="70"/>
        <v/>
      </c>
      <c r="S871" t="str">
        <f>IF(I871="","",_xlfn.XLOOKUP(I871,Lists!$C:$C,Lists!$I:$I))</f>
        <v/>
      </c>
    </row>
    <row r="872" spans="8:8">
      <c r="C872">
        <f>_xlfn.XLOOKUP(B872,Lists!B:B,Lists!A:A,"")</f>
        <v>0.0</v>
      </c>
      <c r="G872" t="str">
        <f t="shared" si="66"/>
        <v/>
      </c>
      <c r="H872" s="20" t="str">
        <f t="shared" si="67"/>
        <v/>
      </c>
      <c r="J872" t="str">
        <f>IF(I872="","",_xlfn.XLOOKUP(I872,Lists!$C:$C,Lists!$D:$D))</f>
        <v/>
      </c>
      <c r="N872" t="str">
        <f t="shared" si="68"/>
        <v/>
      </c>
      <c r="O872" t="str">
        <f>IF(I872="","",_xlfn.XLOOKUP(I872,Lists!$C:$C,Lists!$J:$J))</f>
        <v/>
      </c>
      <c r="P872" t="str">
        <f>IF(I872="","",_xlfn.XLOOKUP(I872,Lists!$C:$C,Lists!$E:$E))</f>
        <v/>
      </c>
      <c r="Q872" s="21" t="str">
        <f t="shared" si="69"/>
        <v/>
      </c>
      <c r="R872" t="str">
        <f t="shared" si="70"/>
        <v/>
      </c>
      <c r="S872" t="str">
        <f>IF(I872="","",_xlfn.XLOOKUP(I872,Lists!$C:$C,Lists!$I:$I))</f>
        <v/>
      </c>
    </row>
    <row r="873" spans="8:8">
      <c r="C873">
        <f>_xlfn.XLOOKUP(B873,Lists!B:B,Lists!A:A,"")</f>
        <v>0.0</v>
      </c>
      <c r="G873" t="str">
        <f t="shared" si="66"/>
        <v/>
      </c>
      <c r="H873" s="20" t="str">
        <f t="shared" si="67"/>
        <v/>
      </c>
      <c r="J873" t="str">
        <f>IF(I873="","",_xlfn.XLOOKUP(I873,Lists!$C:$C,Lists!$D:$D))</f>
        <v/>
      </c>
      <c r="N873" t="str">
        <f t="shared" si="68"/>
        <v/>
      </c>
      <c r="O873" t="str">
        <f>IF(I873="","",_xlfn.XLOOKUP(I873,Lists!$C:$C,Lists!$J:$J))</f>
        <v/>
      </c>
      <c r="P873" t="str">
        <f>IF(I873="","",_xlfn.XLOOKUP(I873,Lists!$C:$C,Lists!$E:$E))</f>
        <v/>
      </c>
      <c r="Q873" s="21" t="str">
        <f t="shared" si="69"/>
        <v/>
      </c>
      <c r="R873" t="str">
        <f t="shared" si="70"/>
        <v/>
      </c>
      <c r="S873" t="str">
        <f>IF(I873="","",_xlfn.XLOOKUP(I873,Lists!$C:$C,Lists!$I:$I))</f>
        <v/>
      </c>
    </row>
    <row r="874" spans="8:8">
      <c r="C874">
        <f>_xlfn.XLOOKUP(B874,Lists!B:B,Lists!A:A,"")</f>
        <v>0.0</v>
      </c>
      <c r="G874" t="str">
        <f t="shared" si="66"/>
        <v/>
      </c>
      <c r="H874" s="20" t="str">
        <f t="shared" si="67"/>
        <v/>
      </c>
      <c r="J874" t="str">
        <f>IF(I874="","",_xlfn.XLOOKUP(I874,Lists!$C:$C,Lists!$D:$D))</f>
        <v/>
      </c>
      <c r="N874" t="str">
        <f t="shared" si="68"/>
        <v/>
      </c>
      <c r="O874" t="str">
        <f>IF(I874="","",_xlfn.XLOOKUP(I874,Lists!$C:$C,Lists!$J:$J))</f>
        <v/>
      </c>
      <c r="P874" t="str">
        <f>IF(I874="","",_xlfn.XLOOKUP(I874,Lists!$C:$C,Lists!$E:$E))</f>
        <v/>
      </c>
      <c r="Q874" s="21" t="str">
        <f t="shared" si="69"/>
        <v/>
      </c>
      <c r="R874" t="str">
        <f t="shared" si="70"/>
        <v/>
      </c>
      <c r="S874" t="str">
        <f>IF(I874="","",_xlfn.XLOOKUP(I874,Lists!$C:$C,Lists!$I:$I))</f>
        <v/>
      </c>
    </row>
    <row r="875" spans="8:8">
      <c r="C875">
        <f>_xlfn.XLOOKUP(B875,Lists!B:B,Lists!A:A,"")</f>
        <v>0.0</v>
      </c>
      <c r="G875" t="str">
        <f t="shared" si="66"/>
        <v/>
      </c>
      <c r="H875" s="20" t="str">
        <f t="shared" si="67"/>
        <v/>
      </c>
      <c r="J875" t="str">
        <f>IF(I875="","",_xlfn.XLOOKUP(I875,Lists!$C:$C,Lists!$D:$D))</f>
        <v/>
      </c>
      <c r="N875" t="str">
        <f t="shared" si="68"/>
        <v/>
      </c>
      <c r="O875" t="str">
        <f>IF(I875="","",_xlfn.XLOOKUP(I875,Lists!$C:$C,Lists!$J:$J))</f>
        <v/>
      </c>
      <c r="P875" t="str">
        <f>IF(I875="","",_xlfn.XLOOKUP(I875,Lists!$C:$C,Lists!$E:$E))</f>
        <v/>
      </c>
      <c r="Q875" s="21" t="str">
        <f t="shared" si="69"/>
        <v/>
      </c>
      <c r="R875" t="str">
        <f t="shared" si="70"/>
        <v/>
      </c>
      <c r="S875" t="str">
        <f>IF(I875="","",_xlfn.XLOOKUP(I875,Lists!$C:$C,Lists!$I:$I))</f>
        <v/>
      </c>
    </row>
    <row r="876" spans="8:8">
      <c r="C876">
        <f>_xlfn.XLOOKUP(B876,Lists!B:B,Lists!A:A,"")</f>
        <v>0.0</v>
      </c>
      <c r="G876" t="str">
        <f t="shared" si="66"/>
        <v/>
      </c>
      <c r="H876" s="20" t="str">
        <f t="shared" si="67"/>
        <v/>
      </c>
      <c r="J876" t="str">
        <f>IF(I876="","",_xlfn.XLOOKUP(I876,Lists!$C:$C,Lists!$D:$D))</f>
        <v/>
      </c>
      <c r="N876" t="str">
        <f t="shared" si="68"/>
        <v/>
      </c>
      <c r="O876" t="str">
        <f>IF(I876="","",_xlfn.XLOOKUP(I876,Lists!$C:$C,Lists!$J:$J))</f>
        <v/>
      </c>
      <c r="P876" t="str">
        <f>IF(I876="","",_xlfn.XLOOKUP(I876,Lists!$C:$C,Lists!$E:$E))</f>
        <v/>
      </c>
      <c r="Q876" s="21" t="str">
        <f t="shared" si="69"/>
        <v/>
      </c>
      <c r="R876" t="str">
        <f t="shared" si="70"/>
        <v/>
      </c>
      <c r="S876" t="str">
        <f>IF(I876="","",_xlfn.XLOOKUP(I876,Lists!$C:$C,Lists!$I:$I))</f>
        <v/>
      </c>
    </row>
    <row r="877" spans="8:8">
      <c r="C877">
        <f>_xlfn.XLOOKUP(B877,Lists!B:B,Lists!A:A,"")</f>
        <v>0.0</v>
      </c>
      <c r="G877" t="str">
        <f t="shared" si="66"/>
        <v/>
      </c>
      <c r="H877" s="20" t="str">
        <f t="shared" si="67"/>
        <v/>
      </c>
      <c r="J877" t="str">
        <f>IF(I877="","",_xlfn.XLOOKUP(I877,Lists!$C:$C,Lists!$D:$D))</f>
        <v/>
      </c>
      <c r="N877" t="str">
        <f t="shared" si="68"/>
        <v/>
      </c>
      <c r="O877" t="str">
        <f>IF(I877="","",_xlfn.XLOOKUP(I877,Lists!$C:$C,Lists!$J:$J))</f>
        <v/>
      </c>
      <c r="P877" t="str">
        <f>IF(I877="","",_xlfn.XLOOKUP(I877,Lists!$C:$C,Lists!$E:$E))</f>
        <v/>
      </c>
      <c r="Q877" s="21" t="str">
        <f t="shared" si="69"/>
        <v/>
      </c>
      <c r="R877" t="str">
        <f t="shared" si="70"/>
        <v/>
      </c>
      <c r="S877" t="str">
        <f>IF(I877="","",_xlfn.XLOOKUP(I877,Lists!$C:$C,Lists!$I:$I))</f>
        <v/>
      </c>
    </row>
    <row r="878" spans="8:8">
      <c r="C878">
        <f>_xlfn.XLOOKUP(B878,Lists!B:B,Lists!A:A,"")</f>
        <v>0.0</v>
      </c>
      <c r="G878" t="str">
        <f t="shared" si="66"/>
        <v/>
      </c>
      <c r="H878" s="20" t="str">
        <f t="shared" si="67"/>
        <v/>
      </c>
      <c r="J878" t="str">
        <f>IF(I878="","",_xlfn.XLOOKUP(I878,Lists!$C:$C,Lists!$D:$D))</f>
        <v/>
      </c>
      <c r="N878" t="str">
        <f t="shared" si="68"/>
        <v/>
      </c>
      <c r="O878" t="str">
        <f>IF(I878="","",_xlfn.XLOOKUP(I878,Lists!$C:$C,Lists!$J:$J))</f>
        <v/>
      </c>
      <c r="P878" t="str">
        <f>IF(I878="","",_xlfn.XLOOKUP(I878,Lists!$C:$C,Lists!$E:$E))</f>
        <v/>
      </c>
      <c r="Q878" s="21" t="str">
        <f t="shared" si="69"/>
        <v/>
      </c>
      <c r="R878" t="str">
        <f t="shared" si="70"/>
        <v/>
      </c>
      <c r="S878" t="str">
        <f>IF(I878="","",_xlfn.XLOOKUP(I878,Lists!$C:$C,Lists!$I:$I))</f>
        <v/>
      </c>
    </row>
    <row r="879" spans="8:8">
      <c r="C879">
        <f>_xlfn.XLOOKUP(B879,Lists!B:B,Lists!A:A,"")</f>
        <v>0.0</v>
      </c>
      <c r="G879" t="str">
        <f t="shared" si="66"/>
        <v/>
      </c>
      <c r="H879" s="20" t="str">
        <f t="shared" si="67"/>
        <v/>
      </c>
      <c r="J879" t="str">
        <f>IF(I879="","",_xlfn.XLOOKUP(I879,Lists!$C:$C,Lists!$D:$D))</f>
        <v/>
      </c>
      <c r="N879" t="str">
        <f t="shared" si="68"/>
        <v/>
      </c>
      <c r="O879" t="str">
        <f>IF(I879="","",_xlfn.XLOOKUP(I879,Lists!$C:$C,Lists!$J:$J))</f>
        <v/>
      </c>
      <c r="P879" t="str">
        <f>IF(I879="","",_xlfn.XLOOKUP(I879,Lists!$C:$C,Lists!$E:$E))</f>
        <v/>
      </c>
      <c r="Q879" s="21" t="str">
        <f t="shared" si="69"/>
        <v/>
      </c>
      <c r="R879" t="str">
        <f t="shared" si="70"/>
        <v/>
      </c>
      <c r="S879" t="str">
        <f>IF(I879="","",_xlfn.XLOOKUP(I879,Lists!$C:$C,Lists!$I:$I))</f>
        <v/>
      </c>
    </row>
    <row r="880" spans="8:8">
      <c r="C880">
        <f>_xlfn.XLOOKUP(B880,Lists!B:B,Lists!A:A,"")</f>
        <v>0.0</v>
      </c>
      <c r="G880" t="str">
        <f t="shared" si="66"/>
        <v/>
      </c>
      <c r="H880" s="20" t="str">
        <f t="shared" si="67"/>
        <v/>
      </c>
      <c r="J880" t="str">
        <f>IF(I880="","",_xlfn.XLOOKUP(I880,Lists!$C:$C,Lists!$D:$D))</f>
        <v/>
      </c>
      <c r="N880" t="str">
        <f t="shared" si="68"/>
        <v/>
      </c>
      <c r="O880" t="str">
        <f>IF(I880="","",_xlfn.XLOOKUP(I880,Lists!$C:$C,Lists!$J:$J))</f>
        <v/>
      </c>
      <c r="P880" t="str">
        <f>IF(I880="","",_xlfn.XLOOKUP(I880,Lists!$C:$C,Lists!$E:$E))</f>
        <v/>
      </c>
      <c r="Q880" s="21" t="str">
        <f t="shared" si="69"/>
        <v/>
      </c>
      <c r="R880" t="str">
        <f t="shared" si="70"/>
        <v/>
      </c>
      <c r="S880" t="str">
        <f>IF(I880="","",_xlfn.XLOOKUP(I880,Lists!$C:$C,Lists!$I:$I))</f>
        <v/>
      </c>
    </row>
    <row r="881" spans="8:8">
      <c r="C881">
        <f>_xlfn.XLOOKUP(B881,Lists!B:B,Lists!A:A,"")</f>
        <v>0.0</v>
      </c>
      <c r="G881" t="str">
        <f t="shared" si="66"/>
        <v/>
      </c>
      <c r="H881" s="20" t="str">
        <f t="shared" si="67"/>
        <v/>
      </c>
      <c r="J881" t="str">
        <f>IF(I881="","",_xlfn.XLOOKUP(I881,Lists!$C:$C,Lists!$D:$D))</f>
        <v/>
      </c>
      <c r="N881" t="str">
        <f t="shared" si="68"/>
        <v/>
      </c>
      <c r="O881" t="str">
        <f>IF(I881="","",_xlfn.XLOOKUP(I881,Lists!$C:$C,Lists!$J:$J))</f>
        <v/>
      </c>
      <c r="P881" t="str">
        <f>IF(I881="","",_xlfn.XLOOKUP(I881,Lists!$C:$C,Lists!$E:$E))</f>
        <v/>
      </c>
      <c r="Q881" s="21" t="str">
        <f t="shared" si="69"/>
        <v/>
      </c>
      <c r="R881" t="str">
        <f t="shared" si="70"/>
        <v/>
      </c>
      <c r="S881" t="str">
        <f>IF(I881="","",_xlfn.XLOOKUP(I881,Lists!$C:$C,Lists!$I:$I))</f>
        <v/>
      </c>
    </row>
    <row r="882" spans="8:8">
      <c r="C882">
        <f>_xlfn.XLOOKUP(B882,Lists!B:B,Lists!A:A,"")</f>
        <v>0.0</v>
      </c>
      <c r="G882" t="str">
        <f t="shared" si="66"/>
        <v/>
      </c>
      <c r="H882" s="20" t="str">
        <f t="shared" si="67"/>
        <v/>
      </c>
      <c r="J882" t="str">
        <f>IF(I882="","",_xlfn.XLOOKUP(I882,Lists!$C:$C,Lists!$D:$D))</f>
        <v/>
      </c>
      <c r="N882" t="str">
        <f t="shared" si="68"/>
        <v/>
      </c>
      <c r="O882" t="str">
        <f>IF(I882="","",_xlfn.XLOOKUP(I882,Lists!$C:$C,Lists!$J:$J))</f>
        <v/>
      </c>
      <c r="P882" t="str">
        <f>IF(I882="","",_xlfn.XLOOKUP(I882,Lists!$C:$C,Lists!$E:$E))</f>
        <v/>
      </c>
      <c r="Q882" s="21" t="str">
        <f t="shared" si="69"/>
        <v/>
      </c>
      <c r="R882" t="str">
        <f t="shared" si="70"/>
        <v/>
      </c>
      <c r="S882" t="str">
        <f>IF(I882="","",_xlfn.XLOOKUP(I882,Lists!$C:$C,Lists!$I:$I))</f>
        <v/>
      </c>
    </row>
    <row r="883" spans="8:8">
      <c r="C883">
        <f>_xlfn.XLOOKUP(B883,Lists!B:B,Lists!A:A,"")</f>
        <v>0.0</v>
      </c>
      <c r="G883" t="str">
        <f t="shared" si="66"/>
        <v/>
      </c>
      <c r="H883" s="20" t="str">
        <f t="shared" si="67"/>
        <v/>
      </c>
      <c r="J883" t="str">
        <f>IF(I883="","",_xlfn.XLOOKUP(I883,Lists!$C:$C,Lists!$D:$D))</f>
        <v/>
      </c>
      <c r="N883" t="str">
        <f t="shared" si="68"/>
        <v/>
      </c>
      <c r="O883" t="str">
        <f>IF(I883="","",_xlfn.XLOOKUP(I883,Lists!$C:$C,Lists!$J:$J))</f>
        <v/>
      </c>
      <c r="P883" t="str">
        <f>IF(I883="","",_xlfn.XLOOKUP(I883,Lists!$C:$C,Lists!$E:$E))</f>
        <v/>
      </c>
      <c r="Q883" s="21" t="str">
        <f t="shared" si="69"/>
        <v/>
      </c>
      <c r="R883" t="str">
        <f t="shared" si="70"/>
        <v/>
      </c>
      <c r="S883" t="str">
        <f>IF(I883="","",_xlfn.XLOOKUP(I883,Lists!$C:$C,Lists!$I:$I))</f>
        <v/>
      </c>
    </row>
    <row r="884" spans="8:8">
      <c r="C884">
        <f>_xlfn.XLOOKUP(B884,Lists!B:B,Lists!A:A,"")</f>
        <v>0.0</v>
      </c>
      <c r="G884" t="str">
        <f t="shared" si="66"/>
        <v/>
      </c>
      <c r="H884" s="20" t="str">
        <f t="shared" si="67"/>
        <v/>
      </c>
      <c r="J884" t="str">
        <f>IF(I884="","",_xlfn.XLOOKUP(I884,Lists!$C:$C,Lists!$D:$D))</f>
        <v/>
      </c>
      <c r="N884" t="str">
        <f t="shared" si="68"/>
        <v/>
      </c>
      <c r="O884" t="str">
        <f>IF(I884="","",_xlfn.XLOOKUP(I884,Lists!$C:$C,Lists!$J:$J))</f>
        <v/>
      </c>
      <c r="P884" t="str">
        <f>IF(I884="","",_xlfn.XLOOKUP(I884,Lists!$C:$C,Lists!$E:$E))</f>
        <v/>
      </c>
      <c r="Q884" s="21" t="str">
        <f t="shared" si="69"/>
        <v/>
      </c>
      <c r="R884" t="str">
        <f t="shared" si="70"/>
        <v/>
      </c>
      <c r="S884" t="str">
        <f>IF(I884="","",_xlfn.XLOOKUP(I884,Lists!$C:$C,Lists!$I:$I))</f>
        <v/>
      </c>
    </row>
    <row r="885" spans="8:8">
      <c r="C885">
        <f>_xlfn.XLOOKUP(B885,Lists!B:B,Lists!A:A,"")</f>
        <v>0.0</v>
      </c>
      <c r="G885" t="str">
        <f t="shared" si="66"/>
        <v/>
      </c>
      <c r="H885" s="20" t="str">
        <f t="shared" si="67"/>
        <v/>
      </c>
      <c r="J885" t="str">
        <f>IF(I885="","",_xlfn.XLOOKUP(I885,Lists!$C:$C,Lists!$D:$D))</f>
        <v/>
      </c>
      <c r="N885" t="str">
        <f t="shared" si="68"/>
        <v/>
      </c>
      <c r="O885" t="str">
        <f>IF(I885="","",_xlfn.XLOOKUP(I885,Lists!$C:$C,Lists!$J:$J))</f>
        <v/>
      </c>
      <c r="P885" t="str">
        <f>IF(I885="","",_xlfn.XLOOKUP(I885,Lists!$C:$C,Lists!$E:$E))</f>
        <v/>
      </c>
      <c r="Q885" s="21" t="str">
        <f t="shared" si="69"/>
        <v/>
      </c>
      <c r="R885" t="str">
        <f t="shared" si="70"/>
        <v/>
      </c>
      <c r="S885" t="str">
        <f>IF(I885="","",_xlfn.XLOOKUP(I885,Lists!$C:$C,Lists!$I:$I))</f>
        <v/>
      </c>
    </row>
    <row r="886" spans="8:8">
      <c r="C886">
        <f>_xlfn.XLOOKUP(B886,Lists!B:B,Lists!A:A,"")</f>
        <v>0.0</v>
      </c>
      <c r="G886" t="str">
        <f t="shared" si="66"/>
        <v/>
      </c>
      <c r="H886" s="20" t="str">
        <f t="shared" si="67"/>
        <v/>
      </c>
      <c r="J886" t="str">
        <f>IF(I886="","",_xlfn.XLOOKUP(I886,Lists!$C:$C,Lists!$D:$D))</f>
        <v/>
      </c>
      <c r="N886" t="str">
        <f t="shared" si="68"/>
        <v/>
      </c>
      <c r="O886" t="str">
        <f>IF(I886="","",_xlfn.XLOOKUP(I886,Lists!$C:$C,Lists!$J:$J))</f>
        <v/>
      </c>
      <c r="P886" t="str">
        <f>IF(I886="","",_xlfn.XLOOKUP(I886,Lists!$C:$C,Lists!$E:$E))</f>
        <v/>
      </c>
      <c r="Q886" s="21" t="str">
        <f t="shared" si="69"/>
        <v/>
      </c>
      <c r="R886" t="str">
        <f t="shared" si="70"/>
        <v/>
      </c>
      <c r="S886" t="str">
        <f>IF(I886="","",_xlfn.XLOOKUP(I886,Lists!$C:$C,Lists!$I:$I))</f>
        <v/>
      </c>
    </row>
    <row r="887" spans="8:8">
      <c r="C887">
        <f>_xlfn.XLOOKUP(B887,Lists!B:B,Lists!A:A,"")</f>
        <v>0.0</v>
      </c>
      <c r="G887" t="str">
        <f t="shared" si="66"/>
        <v/>
      </c>
      <c r="H887" s="20" t="str">
        <f t="shared" si="67"/>
        <v/>
      </c>
      <c r="J887" t="str">
        <f>IF(I887="","",_xlfn.XLOOKUP(I887,Lists!$C:$C,Lists!$D:$D))</f>
        <v/>
      </c>
      <c r="N887" t="str">
        <f t="shared" si="68"/>
        <v/>
      </c>
      <c r="O887" t="str">
        <f>IF(I887="","",_xlfn.XLOOKUP(I887,Lists!$C:$C,Lists!$J:$J))</f>
        <v/>
      </c>
      <c r="P887" t="str">
        <f>IF(I887="","",_xlfn.XLOOKUP(I887,Lists!$C:$C,Lists!$E:$E))</f>
        <v/>
      </c>
      <c r="Q887" s="21" t="str">
        <f t="shared" si="69"/>
        <v/>
      </c>
      <c r="R887" t="str">
        <f t="shared" si="70"/>
        <v/>
      </c>
      <c r="S887" t="str">
        <f>IF(I887="","",_xlfn.XLOOKUP(I887,Lists!$C:$C,Lists!$I:$I))</f>
        <v/>
      </c>
    </row>
    <row r="888" spans="8:8">
      <c r="C888">
        <f>_xlfn.XLOOKUP(B888,Lists!B:B,Lists!A:A,"")</f>
        <v>0.0</v>
      </c>
      <c r="G888" t="str">
        <f t="shared" si="66"/>
        <v/>
      </c>
      <c r="H888" s="20" t="str">
        <f t="shared" si="67"/>
        <v/>
      </c>
      <c r="J888" t="str">
        <f>IF(I888="","",_xlfn.XLOOKUP(I888,Lists!$C:$C,Lists!$D:$D))</f>
        <v/>
      </c>
      <c r="N888" t="str">
        <f t="shared" si="68"/>
        <v/>
      </c>
      <c r="O888" t="str">
        <f>IF(I888="","",_xlfn.XLOOKUP(I888,Lists!$C:$C,Lists!$J:$J))</f>
        <v/>
      </c>
      <c r="P888" t="str">
        <f>IF(I888="","",_xlfn.XLOOKUP(I888,Lists!$C:$C,Lists!$E:$E))</f>
        <v/>
      </c>
      <c r="Q888" s="21" t="str">
        <f t="shared" si="69"/>
        <v/>
      </c>
      <c r="R888" t="str">
        <f t="shared" si="70"/>
        <v/>
      </c>
      <c r="S888" t="str">
        <f>IF(I888="","",_xlfn.XLOOKUP(I888,Lists!$C:$C,Lists!$I:$I))</f>
        <v/>
      </c>
    </row>
    <row r="889" spans="8:8">
      <c r="C889">
        <f>_xlfn.XLOOKUP(B889,Lists!B:B,Lists!A:A,"")</f>
        <v>0.0</v>
      </c>
      <c r="G889" t="str">
        <f t="shared" si="66"/>
        <v/>
      </c>
      <c r="H889" s="20" t="str">
        <f t="shared" si="67"/>
        <v/>
      </c>
      <c r="J889" t="str">
        <f>IF(I889="","",_xlfn.XLOOKUP(I889,Lists!$C:$C,Lists!$D:$D))</f>
        <v/>
      </c>
      <c r="N889" t="str">
        <f t="shared" si="68"/>
        <v/>
      </c>
      <c r="O889" t="str">
        <f>IF(I889="","",_xlfn.XLOOKUP(I889,Lists!$C:$C,Lists!$J:$J))</f>
        <v/>
      </c>
      <c r="P889" t="str">
        <f>IF(I889="","",_xlfn.XLOOKUP(I889,Lists!$C:$C,Lists!$E:$E))</f>
        <v/>
      </c>
      <c r="Q889" s="21" t="str">
        <f t="shared" si="69"/>
        <v/>
      </c>
      <c r="R889" t="str">
        <f t="shared" si="70"/>
        <v/>
      </c>
      <c r="S889" t="str">
        <f>IF(I889="","",_xlfn.XLOOKUP(I889,Lists!$C:$C,Lists!$I:$I))</f>
        <v/>
      </c>
    </row>
    <row r="890" spans="8:8">
      <c r="C890">
        <f>_xlfn.XLOOKUP(B890,Lists!B:B,Lists!A:A,"")</f>
        <v>0.0</v>
      </c>
      <c r="G890" t="str">
        <f t="shared" si="66"/>
        <v/>
      </c>
      <c r="H890" s="20" t="str">
        <f t="shared" si="67"/>
        <v/>
      </c>
      <c r="J890" t="str">
        <f>IF(I890="","",_xlfn.XLOOKUP(I890,Lists!$C:$C,Lists!$D:$D))</f>
        <v/>
      </c>
      <c r="N890" t="str">
        <f t="shared" si="68"/>
        <v/>
      </c>
      <c r="O890" t="str">
        <f>IF(I890="","",_xlfn.XLOOKUP(I890,Lists!$C:$C,Lists!$J:$J))</f>
        <v/>
      </c>
      <c r="P890" t="str">
        <f>IF(I890="","",_xlfn.XLOOKUP(I890,Lists!$C:$C,Lists!$E:$E))</f>
        <v/>
      </c>
      <c r="Q890" s="21" t="str">
        <f t="shared" si="69"/>
        <v/>
      </c>
      <c r="R890" t="str">
        <f t="shared" si="70"/>
        <v/>
      </c>
      <c r="S890" t="str">
        <f>IF(I890="","",_xlfn.XLOOKUP(I890,Lists!$C:$C,Lists!$I:$I))</f>
        <v/>
      </c>
    </row>
    <row r="891" spans="8:8">
      <c r="C891">
        <f>_xlfn.XLOOKUP(B891,Lists!B:B,Lists!A:A,"")</f>
        <v>0.0</v>
      </c>
      <c r="G891" t="str">
        <f t="shared" si="66"/>
        <v/>
      </c>
      <c r="H891" s="20" t="str">
        <f t="shared" si="67"/>
        <v/>
      </c>
      <c r="J891" t="str">
        <f>IF(I891="","",_xlfn.XLOOKUP(I891,Lists!$C:$C,Lists!$D:$D))</f>
        <v/>
      </c>
      <c r="N891" t="str">
        <f t="shared" si="68"/>
        <v/>
      </c>
      <c r="O891" t="str">
        <f>IF(I891="","",_xlfn.XLOOKUP(I891,Lists!$C:$C,Lists!$J:$J))</f>
        <v/>
      </c>
      <c r="P891" t="str">
        <f>IF(I891="","",_xlfn.XLOOKUP(I891,Lists!$C:$C,Lists!$E:$E))</f>
        <v/>
      </c>
      <c r="Q891" s="21" t="str">
        <f t="shared" si="69"/>
        <v/>
      </c>
      <c r="R891" t="str">
        <f t="shared" si="70"/>
        <v/>
      </c>
      <c r="S891" t="str">
        <f>IF(I891="","",_xlfn.XLOOKUP(I891,Lists!$C:$C,Lists!$I:$I))</f>
        <v/>
      </c>
    </row>
    <row r="892" spans="8:8">
      <c r="C892">
        <f>_xlfn.XLOOKUP(B892,Lists!B:B,Lists!A:A,"")</f>
        <v>0.0</v>
      </c>
      <c r="G892" t="str">
        <f t="shared" si="66"/>
        <v/>
      </c>
      <c r="H892" s="20" t="str">
        <f t="shared" si="67"/>
        <v/>
      </c>
      <c r="J892" t="str">
        <f>IF(I892="","",_xlfn.XLOOKUP(I892,Lists!$C:$C,Lists!$D:$D))</f>
        <v/>
      </c>
      <c r="N892" t="str">
        <f t="shared" si="68"/>
        <v/>
      </c>
      <c r="O892" t="str">
        <f>IF(I892="","",_xlfn.XLOOKUP(I892,Lists!$C:$C,Lists!$J:$J))</f>
        <v/>
      </c>
      <c r="P892" t="str">
        <f>IF(I892="","",_xlfn.XLOOKUP(I892,Lists!$C:$C,Lists!$E:$E))</f>
        <v/>
      </c>
      <c r="Q892" s="21" t="str">
        <f t="shared" si="69"/>
        <v/>
      </c>
      <c r="R892" t="str">
        <f t="shared" si="70"/>
        <v/>
      </c>
      <c r="S892" t="str">
        <f>IF(I892="","",_xlfn.XLOOKUP(I892,Lists!$C:$C,Lists!$I:$I))</f>
        <v/>
      </c>
    </row>
    <row r="893" spans="8:8">
      <c r="C893">
        <f>_xlfn.XLOOKUP(B893,Lists!B:B,Lists!A:A,"")</f>
        <v>0.0</v>
      </c>
      <c r="G893" t="str">
        <f t="shared" si="66"/>
        <v/>
      </c>
      <c r="H893" s="20" t="str">
        <f t="shared" si="67"/>
        <v/>
      </c>
      <c r="J893" t="str">
        <f>IF(I893="","",_xlfn.XLOOKUP(I893,Lists!$C:$C,Lists!$D:$D))</f>
        <v/>
      </c>
      <c r="N893" t="str">
        <f t="shared" si="68"/>
        <v/>
      </c>
      <c r="O893" t="str">
        <f>IF(I893="","",_xlfn.XLOOKUP(I893,Lists!$C:$C,Lists!$J:$J))</f>
        <v/>
      </c>
      <c r="P893" t="str">
        <f>IF(I893="","",_xlfn.XLOOKUP(I893,Lists!$C:$C,Lists!$E:$E))</f>
        <v/>
      </c>
      <c r="Q893" s="21" t="str">
        <f t="shared" si="69"/>
        <v/>
      </c>
      <c r="R893" t="str">
        <f t="shared" si="70"/>
        <v/>
      </c>
      <c r="S893" t="str">
        <f>IF(I893="","",_xlfn.XLOOKUP(I893,Lists!$C:$C,Lists!$I:$I))</f>
        <v/>
      </c>
    </row>
    <row r="894" spans="8:8">
      <c r="C894">
        <f>_xlfn.XLOOKUP(B894,Lists!B:B,Lists!A:A,"")</f>
        <v>0.0</v>
      </c>
      <c r="G894" t="str">
        <f t="shared" si="66"/>
        <v/>
      </c>
      <c r="H894" s="20" t="str">
        <f t="shared" si="67"/>
        <v/>
      </c>
      <c r="J894" t="str">
        <f>IF(I894="","",_xlfn.XLOOKUP(I894,Lists!$C:$C,Lists!$D:$D))</f>
        <v/>
      </c>
      <c r="N894" t="str">
        <f t="shared" si="68"/>
        <v/>
      </c>
      <c r="O894" t="str">
        <f>IF(I894="","",_xlfn.XLOOKUP(I894,Lists!$C:$C,Lists!$J:$J))</f>
        <v/>
      </c>
      <c r="P894" t="str">
        <f>IF(I894="","",_xlfn.XLOOKUP(I894,Lists!$C:$C,Lists!$E:$E))</f>
        <v/>
      </c>
      <c r="Q894" s="21" t="str">
        <f t="shared" si="69"/>
        <v/>
      </c>
      <c r="R894" t="str">
        <f t="shared" si="70"/>
        <v/>
      </c>
      <c r="S894" t="str">
        <f>IF(I894="","",_xlfn.XLOOKUP(I894,Lists!$C:$C,Lists!$I:$I))</f>
        <v/>
      </c>
    </row>
    <row r="895" spans="8:8">
      <c r="C895">
        <f>_xlfn.XLOOKUP(B895,Lists!B:B,Lists!A:A,"")</f>
        <v>0.0</v>
      </c>
      <c r="G895" t="str">
        <f t="shared" si="66"/>
        <v/>
      </c>
      <c r="H895" s="20" t="str">
        <f t="shared" si="67"/>
        <v/>
      </c>
      <c r="J895" t="str">
        <f>IF(I895="","",_xlfn.XLOOKUP(I895,Lists!$C:$C,Lists!$D:$D))</f>
        <v/>
      </c>
      <c r="N895" t="str">
        <f t="shared" si="68"/>
        <v/>
      </c>
      <c r="O895" t="str">
        <f>IF(I895="","",_xlfn.XLOOKUP(I895,Lists!$C:$C,Lists!$J:$J))</f>
        <v/>
      </c>
      <c r="P895" t="str">
        <f>IF(I895="","",_xlfn.XLOOKUP(I895,Lists!$C:$C,Lists!$E:$E))</f>
        <v/>
      </c>
      <c r="Q895" s="21" t="str">
        <f t="shared" si="69"/>
        <v/>
      </c>
      <c r="R895" t="str">
        <f t="shared" si="70"/>
        <v/>
      </c>
      <c r="S895" t="str">
        <f>IF(I895="","",_xlfn.XLOOKUP(I895,Lists!$C:$C,Lists!$I:$I))</f>
        <v/>
      </c>
    </row>
    <row r="896" spans="8:8">
      <c r="C896">
        <f>_xlfn.XLOOKUP(B896,Lists!B:B,Lists!A:A,"")</f>
        <v>0.0</v>
      </c>
      <c r="G896" t="str">
        <f t="shared" si="66"/>
        <v/>
      </c>
      <c r="H896" s="20" t="str">
        <f t="shared" si="67"/>
        <v/>
      </c>
      <c r="J896" t="str">
        <f>IF(I896="","",_xlfn.XLOOKUP(I896,Lists!$C:$C,Lists!$D:$D))</f>
        <v/>
      </c>
      <c r="N896" t="str">
        <f t="shared" si="68"/>
        <v/>
      </c>
      <c r="O896" t="str">
        <f>IF(I896="","",_xlfn.XLOOKUP(I896,Lists!$C:$C,Lists!$J:$J))</f>
        <v/>
      </c>
      <c r="P896" t="str">
        <f>IF(I896="","",_xlfn.XLOOKUP(I896,Lists!$C:$C,Lists!$E:$E))</f>
        <v/>
      </c>
      <c r="Q896" s="21" t="str">
        <f t="shared" si="69"/>
        <v/>
      </c>
      <c r="R896" t="str">
        <f t="shared" si="70"/>
        <v/>
      </c>
      <c r="S896" t="str">
        <f>IF(I896="","",_xlfn.XLOOKUP(I896,Lists!$C:$C,Lists!$I:$I))</f>
        <v/>
      </c>
    </row>
    <row r="897" spans="8:8">
      <c r="C897">
        <f>_xlfn.XLOOKUP(B897,Lists!B:B,Lists!A:A,"")</f>
        <v>0.0</v>
      </c>
      <c r="G897" t="str">
        <f t="shared" si="66"/>
        <v/>
      </c>
      <c r="H897" s="20" t="str">
        <f t="shared" si="67"/>
        <v/>
      </c>
      <c r="J897" t="str">
        <f>IF(I897="","",_xlfn.XLOOKUP(I897,Lists!$C:$C,Lists!$D:$D))</f>
        <v/>
      </c>
      <c r="N897" t="str">
        <f t="shared" si="68"/>
        <v/>
      </c>
      <c r="O897" t="str">
        <f>IF(I897="","",_xlfn.XLOOKUP(I897,Lists!$C:$C,Lists!$J:$J))</f>
        <v/>
      </c>
      <c r="P897" t="str">
        <f>IF(I897="","",_xlfn.XLOOKUP(I897,Lists!$C:$C,Lists!$E:$E))</f>
        <v/>
      </c>
      <c r="Q897" s="21" t="str">
        <f t="shared" si="69"/>
        <v/>
      </c>
      <c r="R897" t="str">
        <f t="shared" si="70"/>
        <v/>
      </c>
      <c r="S897" t="str">
        <f>IF(I897="","",_xlfn.XLOOKUP(I897,Lists!$C:$C,Lists!$I:$I))</f>
        <v/>
      </c>
    </row>
    <row r="898" spans="8:8">
      <c r="C898">
        <f>_xlfn.XLOOKUP(B898,Lists!B:B,Lists!A:A,"")</f>
        <v>0.0</v>
      </c>
      <c r="G898" t="str">
        <f t="shared" si="66"/>
        <v/>
      </c>
      <c r="H898" s="20" t="str">
        <f t="shared" si="67"/>
        <v/>
      </c>
      <c r="J898" t="str">
        <f>IF(I898="","",_xlfn.XLOOKUP(I898,Lists!$C:$C,Lists!$D:$D))</f>
        <v/>
      </c>
      <c r="N898" t="str">
        <f t="shared" si="68"/>
        <v/>
      </c>
      <c r="O898" t="str">
        <f>IF(I898="","",_xlfn.XLOOKUP(I898,Lists!$C:$C,Lists!$J:$J))</f>
        <v/>
      </c>
      <c r="P898" t="str">
        <f>IF(I898="","",_xlfn.XLOOKUP(I898,Lists!$C:$C,Lists!$E:$E))</f>
        <v/>
      </c>
      <c r="Q898" s="21" t="str">
        <f t="shared" si="69"/>
        <v/>
      </c>
      <c r="R898" t="str">
        <f t="shared" si="70"/>
        <v/>
      </c>
      <c r="S898" t="str">
        <f>IF(I898="","",_xlfn.XLOOKUP(I898,Lists!$C:$C,Lists!$I:$I))</f>
        <v/>
      </c>
    </row>
    <row r="899" spans="8:8">
      <c r="C899">
        <f>_xlfn.XLOOKUP(B899,Lists!B:B,Lists!A:A,"")</f>
        <v>0.0</v>
      </c>
      <c r="G899" t="str">
        <f t="shared" si="66"/>
        <v/>
      </c>
      <c r="H899" s="20" t="str">
        <f t="shared" si="67"/>
        <v/>
      </c>
      <c r="J899" t="str">
        <f>IF(I899="","",_xlfn.XLOOKUP(I899,Lists!$C:$C,Lists!$D:$D))</f>
        <v/>
      </c>
      <c r="N899" t="str">
        <f t="shared" si="68"/>
        <v/>
      </c>
      <c r="O899" t="str">
        <f>IF(I899="","",_xlfn.XLOOKUP(I899,Lists!$C:$C,Lists!$J:$J))</f>
        <v/>
      </c>
      <c r="P899" t="str">
        <f>IF(I899="","",_xlfn.XLOOKUP(I899,Lists!$C:$C,Lists!$E:$E))</f>
        <v/>
      </c>
      <c r="Q899" s="21" t="str">
        <f t="shared" si="69"/>
        <v/>
      </c>
      <c r="R899" t="str">
        <f t="shared" si="70"/>
        <v/>
      </c>
      <c r="S899" t="str">
        <f>IF(I899="","",_xlfn.XLOOKUP(I899,Lists!$C:$C,Lists!$I:$I))</f>
        <v/>
      </c>
    </row>
    <row r="900" spans="8:8">
      <c r="C900">
        <f>_xlfn.XLOOKUP(B900,Lists!B:B,Lists!A:A,"")</f>
        <v>0.0</v>
      </c>
      <c r="G900" t="str">
        <f t="shared" si="66"/>
        <v/>
      </c>
      <c r="H900" s="20" t="str">
        <f t="shared" si="67"/>
        <v/>
      </c>
      <c r="J900" t="str">
        <f>IF(I900="","",_xlfn.XLOOKUP(I900,Lists!$C:$C,Lists!$D:$D))</f>
        <v/>
      </c>
      <c r="N900" t="str">
        <f t="shared" si="68"/>
        <v/>
      </c>
      <c r="O900" t="str">
        <f>IF(I900="","",_xlfn.XLOOKUP(I900,Lists!$C:$C,Lists!$J:$J))</f>
        <v/>
      </c>
      <c r="P900" t="str">
        <f>IF(I900="","",_xlfn.XLOOKUP(I900,Lists!$C:$C,Lists!$E:$E))</f>
        <v/>
      </c>
      <c r="Q900" s="21" t="str">
        <f t="shared" si="69"/>
        <v/>
      </c>
      <c r="R900" t="str">
        <f t="shared" si="70"/>
        <v/>
      </c>
      <c r="S900" t="str">
        <f>IF(I900="","",_xlfn.XLOOKUP(I900,Lists!$C:$C,Lists!$I:$I))</f>
        <v/>
      </c>
    </row>
    <row r="901" spans="8:8">
      <c r="C901">
        <f>_xlfn.XLOOKUP(B901,Lists!B:B,Lists!A:A,"")</f>
        <v>0.0</v>
      </c>
      <c r="G901" t="str">
        <f t="shared" si="66"/>
        <v/>
      </c>
      <c r="H901" s="20" t="str">
        <f t="shared" si="67"/>
        <v/>
      </c>
      <c r="J901" t="str">
        <f>IF(I901="","",_xlfn.XLOOKUP(I901,Lists!$C:$C,Lists!$D:$D))</f>
        <v/>
      </c>
      <c r="N901" t="str">
        <f t="shared" si="68"/>
        <v/>
      </c>
      <c r="O901" t="str">
        <f>IF(I901="","",_xlfn.XLOOKUP(I901,Lists!$C:$C,Lists!$J:$J))</f>
        <v/>
      </c>
      <c r="P901" t="str">
        <f>IF(I901="","",_xlfn.XLOOKUP(I901,Lists!$C:$C,Lists!$E:$E))</f>
        <v/>
      </c>
      <c r="Q901" s="21" t="str">
        <f t="shared" si="69"/>
        <v/>
      </c>
      <c r="R901" t="str">
        <f t="shared" si="70"/>
        <v/>
      </c>
      <c r="S901" t="str">
        <f>IF(I901="","",_xlfn.XLOOKUP(I901,Lists!$C:$C,Lists!$I:$I))</f>
        <v/>
      </c>
    </row>
    <row r="902" spans="8:8">
      <c r="C902">
        <f>_xlfn.XLOOKUP(B902,Lists!B:B,Lists!A:A,"")</f>
        <v>0.0</v>
      </c>
      <c r="G902" t="str">
        <f t="shared" si="66"/>
        <v/>
      </c>
      <c r="H902" s="20" t="str">
        <f t="shared" si="67"/>
        <v/>
      </c>
      <c r="J902" t="str">
        <f>IF(I902="","",_xlfn.XLOOKUP(I902,Lists!$C:$C,Lists!$D:$D))</f>
        <v/>
      </c>
      <c r="N902" t="str">
        <f t="shared" si="68"/>
        <v/>
      </c>
      <c r="O902" t="str">
        <f>IF(I902="","",_xlfn.XLOOKUP(I902,Lists!$C:$C,Lists!$J:$J))</f>
        <v/>
      </c>
      <c r="P902" t="str">
        <f>IF(I902="","",_xlfn.XLOOKUP(I902,Lists!$C:$C,Lists!$E:$E))</f>
        <v/>
      </c>
      <c r="Q902" s="21" t="str">
        <f t="shared" si="69"/>
        <v/>
      </c>
      <c r="R902" t="str">
        <f t="shared" si="70"/>
        <v/>
      </c>
      <c r="S902" t="str">
        <f>IF(I902="","",_xlfn.XLOOKUP(I902,Lists!$C:$C,Lists!$I:$I))</f>
        <v/>
      </c>
    </row>
    <row r="903" spans="8:8">
      <c r="C903">
        <f>_xlfn.XLOOKUP(B903,Lists!B:B,Lists!A:A,"")</f>
        <v>0.0</v>
      </c>
      <c r="G903" t="str">
        <f t="shared" si="66"/>
        <v/>
      </c>
      <c r="H903" s="20" t="str">
        <f t="shared" si="67"/>
        <v/>
      </c>
      <c r="J903" t="str">
        <f>IF(I903="","",_xlfn.XLOOKUP(I903,Lists!$C:$C,Lists!$D:$D))</f>
        <v/>
      </c>
      <c r="N903" t="str">
        <f t="shared" si="68"/>
        <v/>
      </c>
      <c r="O903" t="str">
        <f>IF(I903="","",_xlfn.XLOOKUP(I903,Lists!$C:$C,Lists!$J:$J))</f>
        <v/>
      </c>
      <c r="P903" t="str">
        <f>IF(I903="","",_xlfn.XLOOKUP(I903,Lists!$C:$C,Lists!$E:$E))</f>
        <v/>
      </c>
      <c r="Q903" s="21" t="str">
        <f t="shared" si="69"/>
        <v/>
      </c>
      <c r="R903" t="str">
        <f t="shared" si="70"/>
        <v/>
      </c>
      <c r="S903" t="str">
        <f>IF(I903="","",_xlfn.XLOOKUP(I903,Lists!$C:$C,Lists!$I:$I))</f>
        <v/>
      </c>
    </row>
    <row r="904" spans="8:8">
      <c r="C904">
        <f>_xlfn.XLOOKUP(B904,Lists!B:B,Lists!A:A,"")</f>
        <v>0.0</v>
      </c>
      <c r="G904" t="str">
        <f t="shared" si="66"/>
        <v/>
      </c>
      <c r="H904" s="20" t="str">
        <f t="shared" si="67"/>
        <v/>
      </c>
      <c r="J904" t="str">
        <f>IF(I904="","",_xlfn.XLOOKUP(I904,Lists!$C:$C,Lists!$D:$D))</f>
        <v/>
      </c>
      <c r="N904" t="str">
        <f t="shared" si="68"/>
        <v/>
      </c>
      <c r="O904" t="str">
        <f>IF(I904="","",_xlfn.XLOOKUP(I904,Lists!$C:$C,Lists!$J:$J))</f>
        <v/>
      </c>
      <c r="P904" t="str">
        <f>IF(I904="","",_xlfn.XLOOKUP(I904,Lists!$C:$C,Lists!$E:$E))</f>
        <v/>
      </c>
      <c r="Q904" s="21" t="str">
        <f t="shared" si="69"/>
        <v/>
      </c>
      <c r="R904" t="str">
        <f t="shared" si="70"/>
        <v/>
      </c>
      <c r="S904" t="str">
        <f>IF(I904="","",_xlfn.XLOOKUP(I904,Lists!$C:$C,Lists!$I:$I))</f>
        <v/>
      </c>
    </row>
    <row r="905" spans="8:8">
      <c r="C905">
        <f>_xlfn.XLOOKUP(B905,Lists!B:B,Lists!A:A,"")</f>
        <v>0.0</v>
      </c>
      <c r="G905" t="str">
        <f t="shared" si="66"/>
        <v/>
      </c>
      <c r="H905" s="20" t="str">
        <f t="shared" si="67"/>
        <v/>
      </c>
      <c r="J905" t="str">
        <f>IF(I905="","",_xlfn.XLOOKUP(I905,Lists!$C:$C,Lists!$D:$D))</f>
        <v/>
      </c>
      <c r="N905" t="str">
        <f t="shared" si="68"/>
        <v/>
      </c>
      <c r="O905" t="str">
        <f>IF(I905="","",_xlfn.XLOOKUP(I905,Lists!$C:$C,Lists!$J:$J))</f>
        <v/>
      </c>
      <c r="P905" t="str">
        <f>IF(I905="","",_xlfn.XLOOKUP(I905,Lists!$C:$C,Lists!$E:$E))</f>
        <v/>
      </c>
      <c r="Q905" s="21" t="str">
        <f t="shared" si="69"/>
        <v/>
      </c>
      <c r="R905" t="str">
        <f t="shared" si="70"/>
        <v/>
      </c>
      <c r="S905" t="str">
        <f>IF(I905="","",_xlfn.XLOOKUP(I905,Lists!$C:$C,Lists!$I:$I))</f>
        <v/>
      </c>
    </row>
    <row r="906" spans="8:8">
      <c r="C906">
        <f>_xlfn.XLOOKUP(B906,Lists!B:B,Lists!A:A,"")</f>
        <v>0.0</v>
      </c>
      <c r="G906" t="str">
        <f t="shared" si="66"/>
        <v/>
      </c>
      <c r="H906" s="20" t="str">
        <f t="shared" si="67"/>
        <v/>
      </c>
      <c r="J906" t="str">
        <f>IF(I906="","",_xlfn.XLOOKUP(I906,Lists!$C:$C,Lists!$D:$D))</f>
        <v/>
      </c>
      <c r="N906" t="str">
        <f t="shared" si="68"/>
        <v/>
      </c>
      <c r="O906" t="str">
        <f>IF(I906="","",_xlfn.XLOOKUP(I906,Lists!$C:$C,Lists!$J:$J))</f>
        <v/>
      </c>
      <c r="P906" t="str">
        <f>IF(I906="","",_xlfn.XLOOKUP(I906,Lists!$C:$C,Lists!$E:$E))</f>
        <v/>
      </c>
      <c r="Q906" s="21" t="str">
        <f t="shared" si="69"/>
        <v/>
      </c>
      <c r="R906" t="str">
        <f t="shared" si="70"/>
        <v/>
      </c>
      <c r="S906" t="str">
        <f>IF(I906="","",_xlfn.XLOOKUP(I906,Lists!$C:$C,Lists!$I:$I))</f>
        <v/>
      </c>
    </row>
    <row r="907" spans="8:8">
      <c r="C907">
        <f>_xlfn.XLOOKUP(B907,Lists!B:B,Lists!A:A,"")</f>
        <v>0.0</v>
      </c>
      <c r="G907" t="str">
        <f t="shared" si="71" ref="G907:G970">IF(OR(E907="",F907=""),"",F907-E907+1)</f>
        <v/>
      </c>
      <c r="H907" s="20" t="str">
        <f t="shared" si="72" ref="H907:H970">IF(D907="","",IF(OR(D907="A",D907="B"),G907/80,IF(D907="A&amp;B",G907/160,"")))</f>
        <v/>
      </c>
      <c r="J907" t="str">
        <f>IF(I907="","",_xlfn.XLOOKUP(I907,Lists!$C:$C,Lists!$D:$D))</f>
        <v/>
      </c>
      <c r="N907" t="str">
        <f t="shared" si="73" ref="N907:N970">IF(OR(M907="",L907=""),"",(M907*L907)/100000)</f>
        <v/>
      </c>
      <c r="O907" t="str">
        <f>IF(I907="","",_xlfn.XLOOKUP(I907,Lists!$C:$C,Lists!$J:$J))</f>
        <v/>
      </c>
      <c r="P907" t="str">
        <f>IF(I907="","",_xlfn.XLOOKUP(I907,Lists!$C:$C,Lists!$E:$E))</f>
        <v/>
      </c>
      <c r="Q907" s="21" t="str">
        <f t="shared" si="74" ref="Q907:Q970">IF(OR(A907="",P907=""),"",A907+P907+1)</f>
        <v/>
      </c>
      <c r="R907" t="str">
        <f t="shared" si="75" ref="R907:R970">IF(Q907="","",IF(Q907&lt;=TODAY(),"Allow","Not Allow"))</f>
        <v/>
      </c>
      <c r="S907" t="str">
        <f>IF(I907="","",_xlfn.XLOOKUP(I907,Lists!$C:$C,Lists!$I:$I))</f>
        <v/>
      </c>
    </row>
    <row r="908" spans="8:8">
      <c r="C908">
        <f>_xlfn.XLOOKUP(B908,Lists!B:B,Lists!A:A,"")</f>
        <v>0.0</v>
      </c>
      <c r="G908" t="str">
        <f t="shared" si="71"/>
        <v/>
      </c>
      <c r="H908" s="20" t="str">
        <f t="shared" si="72"/>
        <v/>
      </c>
      <c r="J908" t="str">
        <f>IF(I908="","",_xlfn.XLOOKUP(I908,Lists!$C:$C,Lists!$D:$D))</f>
        <v/>
      </c>
      <c r="N908" t="str">
        <f t="shared" si="73"/>
        <v/>
      </c>
      <c r="O908" t="str">
        <f>IF(I908="","",_xlfn.XLOOKUP(I908,Lists!$C:$C,Lists!$J:$J))</f>
        <v/>
      </c>
      <c r="P908" t="str">
        <f>IF(I908="","",_xlfn.XLOOKUP(I908,Lists!$C:$C,Lists!$E:$E))</f>
        <v/>
      </c>
      <c r="Q908" s="21" t="str">
        <f t="shared" si="74"/>
        <v/>
      </c>
      <c r="R908" t="str">
        <f t="shared" si="75"/>
        <v/>
      </c>
      <c r="S908" t="str">
        <f>IF(I908="","",_xlfn.XLOOKUP(I908,Lists!$C:$C,Lists!$I:$I))</f>
        <v/>
      </c>
    </row>
    <row r="909" spans="8:8">
      <c r="C909">
        <f>_xlfn.XLOOKUP(B909,Lists!B:B,Lists!A:A,"")</f>
        <v>0.0</v>
      </c>
      <c r="G909" t="str">
        <f t="shared" si="71"/>
        <v/>
      </c>
      <c r="H909" s="20" t="str">
        <f t="shared" si="72"/>
        <v/>
      </c>
      <c r="J909" t="str">
        <f>IF(I909="","",_xlfn.XLOOKUP(I909,Lists!$C:$C,Lists!$D:$D))</f>
        <v/>
      </c>
      <c r="N909" t="str">
        <f t="shared" si="73"/>
        <v/>
      </c>
      <c r="O909" t="str">
        <f>IF(I909="","",_xlfn.XLOOKUP(I909,Lists!$C:$C,Lists!$J:$J))</f>
        <v/>
      </c>
      <c r="P909" t="str">
        <f>IF(I909="","",_xlfn.XLOOKUP(I909,Lists!$C:$C,Lists!$E:$E))</f>
        <v/>
      </c>
      <c r="Q909" s="21" t="str">
        <f t="shared" si="74"/>
        <v/>
      </c>
      <c r="R909" t="str">
        <f t="shared" si="75"/>
        <v/>
      </c>
      <c r="S909" t="str">
        <f>IF(I909="","",_xlfn.XLOOKUP(I909,Lists!$C:$C,Lists!$I:$I))</f>
        <v/>
      </c>
    </row>
    <row r="910" spans="8:8">
      <c r="C910">
        <f>_xlfn.XLOOKUP(B910,Lists!B:B,Lists!A:A,"")</f>
        <v>0.0</v>
      </c>
      <c r="G910" t="str">
        <f t="shared" si="71"/>
        <v/>
      </c>
      <c r="H910" s="20" t="str">
        <f t="shared" si="72"/>
        <v/>
      </c>
      <c r="J910" t="str">
        <f>IF(I910="","",_xlfn.XLOOKUP(I910,Lists!$C:$C,Lists!$D:$D))</f>
        <v/>
      </c>
      <c r="N910" t="str">
        <f t="shared" si="73"/>
        <v/>
      </c>
      <c r="O910" t="str">
        <f>IF(I910="","",_xlfn.XLOOKUP(I910,Lists!$C:$C,Lists!$J:$J))</f>
        <v/>
      </c>
      <c r="P910" t="str">
        <f>IF(I910="","",_xlfn.XLOOKUP(I910,Lists!$C:$C,Lists!$E:$E))</f>
        <v/>
      </c>
      <c r="Q910" s="21" t="str">
        <f t="shared" si="74"/>
        <v/>
      </c>
      <c r="R910" t="str">
        <f t="shared" si="75"/>
        <v/>
      </c>
      <c r="S910" t="str">
        <f>IF(I910="","",_xlfn.XLOOKUP(I910,Lists!$C:$C,Lists!$I:$I))</f>
        <v/>
      </c>
    </row>
    <row r="911" spans="8:8">
      <c r="C911">
        <f>_xlfn.XLOOKUP(B911,Lists!B:B,Lists!A:A,"")</f>
        <v>0.0</v>
      </c>
      <c r="G911" t="str">
        <f t="shared" si="71"/>
        <v/>
      </c>
      <c r="H911" s="20" t="str">
        <f t="shared" si="72"/>
        <v/>
      </c>
      <c r="J911" t="str">
        <f>IF(I911="","",_xlfn.XLOOKUP(I911,Lists!$C:$C,Lists!$D:$D))</f>
        <v/>
      </c>
      <c r="N911" t="str">
        <f t="shared" si="73"/>
        <v/>
      </c>
      <c r="O911" t="str">
        <f>IF(I911="","",_xlfn.XLOOKUP(I911,Lists!$C:$C,Lists!$J:$J))</f>
        <v/>
      </c>
      <c r="P911" t="str">
        <f>IF(I911="","",_xlfn.XLOOKUP(I911,Lists!$C:$C,Lists!$E:$E))</f>
        <v/>
      </c>
      <c r="Q911" s="21" t="str">
        <f t="shared" si="74"/>
        <v/>
      </c>
      <c r="R911" t="str">
        <f t="shared" si="75"/>
        <v/>
      </c>
      <c r="S911" t="str">
        <f>IF(I911="","",_xlfn.XLOOKUP(I911,Lists!$C:$C,Lists!$I:$I))</f>
        <v/>
      </c>
    </row>
    <row r="912" spans="8:8">
      <c r="C912">
        <f>_xlfn.XLOOKUP(B912,Lists!B:B,Lists!A:A,"")</f>
        <v>0.0</v>
      </c>
      <c r="G912" t="str">
        <f t="shared" si="71"/>
        <v/>
      </c>
      <c r="H912" s="20" t="str">
        <f t="shared" si="72"/>
        <v/>
      </c>
      <c r="J912" t="str">
        <f>IF(I912="","",_xlfn.XLOOKUP(I912,Lists!$C:$C,Lists!$D:$D))</f>
        <v/>
      </c>
      <c r="N912" t="str">
        <f t="shared" si="73"/>
        <v/>
      </c>
      <c r="O912" t="str">
        <f>IF(I912="","",_xlfn.XLOOKUP(I912,Lists!$C:$C,Lists!$J:$J))</f>
        <v/>
      </c>
      <c r="P912" t="str">
        <f>IF(I912="","",_xlfn.XLOOKUP(I912,Lists!$C:$C,Lists!$E:$E))</f>
        <v/>
      </c>
      <c r="Q912" s="21" t="str">
        <f t="shared" si="74"/>
        <v/>
      </c>
      <c r="R912" t="str">
        <f t="shared" si="75"/>
        <v/>
      </c>
      <c r="S912" t="str">
        <f>IF(I912="","",_xlfn.XLOOKUP(I912,Lists!$C:$C,Lists!$I:$I))</f>
        <v/>
      </c>
    </row>
    <row r="913" spans="8:8">
      <c r="C913">
        <f>_xlfn.XLOOKUP(B913,Lists!B:B,Lists!A:A,"")</f>
        <v>0.0</v>
      </c>
      <c r="G913" t="str">
        <f t="shared" si="71"/>
        <v/>
      </c>
      <c r="H913" s="20" t="str">
        <f t="shared" si="72"/>
        <v/>
      </c>
      <c r="J913" t="str">
        <f>IF(I913="","",_xlfn.XLOOKUP(I913,Lists!$C:$C,Lists!$D:$D))</f>
        <v/>
      </c>
      <c r="N913" t="str">
        <f t="shared" si="73"/>
        <v/>
      </c>
      <c r="O913" t="str">
        <f>IF(I913="","",_xlfn.XLOOKUP(I913,Lists!$C:$C,Lists!$J:$J))</f>
        <v/>
      </c>
      <c r="P913" t="str">
        <f>IF(I913="","",_xlfn.XLOOKUP(I913,Lists!$C:$C,Lists!$E:$E))</f>
        <v/>
      </c>
      <c r="Q913" s="21" t="str">
        <f t="shared" si="74"/>
        <v/>
      </c>
      <c r="R913" t="str">
        <f t="shared" si="75"/>
        <v/>
      </c>
      <c r="S913" t="str">
        <f>IF(I913="","",_xlfn.XLOOKUP(I913,Lists!$C:$C,Lists!$I:$I))</f>
        <v/>
      </c>
    </row>
    <row r="914" spans="8:8">
      <c r="C914">
        <f>_xlfn.XLOOKUP(B914,Lists!B:B,Lists!A:A,"")</f>
        <v>0.0</v>
      </c>
      <c r="G914" t="str">
        <f t="shared" si="71"/>
        <v/>
      </c>
      <c r="H914" s="20" t="str">
        <f t="shared" si="72"/>
        <v/>
      </c>
      <c r="J914" t="str">
        <f>IF(I914="","",_xlfn.XLOOKUP(I914,Lists!$C:$C,Lists!$D:$D))</f>
        <v/>
      </c>
      <c r="N914" t="str">
        <f t="shared" si="73"/>
        <v/>
      </c>
      <c r="O914" t="str">
        <f>IF(I914="","",_xlfn.XLOOKUP(I914,Lists!$C:$C,Lists!$J:$J))</f>
        <v/>
      </c>
      <c r="P914" t="str">
        <f>IF(I914="","",_xlfn.XLOOKUP(I914,Lists!$C:$C,Lists!$E:$E))</f>
        <v/>
      </c>
      <c r="Q914" s="21" t="str">
        <f t="shared" si="74"/>
        <v/>
      </c>
      <c r="R914" t="str">
        <f t="shared" si="75"/>
        <v/>
      </c>
      <c r="S914" t="str">
        <f>IF(I914="","",_xlfn.XLOOKUP(I914,Lists!$C:$C,Lists!$I:$I))</f>
        <v/>
      </c>
    </row>
    <row r="915" spans="8:8">
      <c r="C915">
        <f>_xlfn.XLOOKUP(B915,Lists!B:B,Lists!A:A,"")</f>
        <v>0.0</v>
      </c>
      <c r="G915" t="str">
        <f t="shared" si="71"/>
        <v/>
      </c>
      <c r="H915" s="20" t="str">
        <f t="shared" si="72"/>
        <v/>
      </c>
      <c r="J915" t="str">
        <f>IF(I915="","",_xlfn.XLOOKUP(I915,Lists!$C:$C,Lists!$D:$D))</f>
        <v/>
      </c>
      <c r="N915" t="str">
        <f t="shared" si="73"/>
        <v/>
      </c>
      <c r="O915" t="str">
        <f>IF(I915="","",_xlfn.XLOOKUP(I915,Lists!$C:$C,Lists!$J:$J))</f>
        <v/>
      </c>
      <c r="P915" t="str">
        <f>IF(I915="","",_xlfn.XLOOKUP(I915,Lists!$C:$C,Lists!$E:$E))</f>
        <v/>
      </c>
      <c r="Q915" s="21" t="str">
        <f t="shared" si="74"/>
        <v/>
      </c>
      <c r="R915" t="str">
        <f t="shared" si="75"/>
        <v/>
      </c>
      <c r="S915" t="str">
        <f>IF(I915="","",_xlfn.XLOOKUP(I915,Lists!$C:$C,Lists!$I:$I))</f>
        <v/>
      </c>
    </row>
    <row r="916" spans="8:8">
      <c r="C916">
        <f>_xlfn.XLOOKUP(B916,Lists!B:B,Lists!A:A,"")</f>
        <v>0.0</v>
      </c>
      <c r="G916" t="str">
        <f t="shared" si="71"/>
        <v/>
      </c>
      <c r="H916" s="20" t="str">
        <f t="shared" si="72"/>
        <v/>
      </c>
      <c r="J916" t="str">
        <f>IF(I916="","",_xlfn.XLOOKUP(I916,Lists!$C:$C,Lists!$D:$D))</f>
        <v/>
      </c>
      <c r="N916" t="str">
        <f t="shared" si="73"/>
        <v/>
      </c>
      <c r="O916" t="str">
        <f>IF(I916="","",_xlfn.XLOOKUP(I916,Lists!$C:$C,Lists!$J:$J))</f>
        <v/>
      </c>
      <c r="P916" t="str">
        <f>IF(I916="","",_xlfn.XLOOKUP(I916,Lists!$C:$C,Lists!$E:$E))</f>
        <v/>
      </c>
      <c r="Q916" s="21" t="str">
        <f t="shared" si="74"/>
        <v/>
      </c>
      <c r="R916" t="str">
        <f t="shared" si="75"/>
        <v/>
      </c>
      <c r="S916" t="str">
        <f>IF(I916="","",_xlfn.XLOOKUP(I916,Lists!$C:$C,Lists!$I:$I))</f>
        <v/>
      </c>
    </row>
    <row r="917" spans="8:8">
      <c r="C917">
        <f>_xlfn.XLOOKUP(B917,Lists!B:B,Lists!A:A,"")</f>
        <v>0.0</v>
      </c>
      <c r="G917" t="str">
        <f t="shared" si="71"/>
        <v/>
      </c>
      <c r="H917" s="20" t="str">
        <f t="shared" si="72"/>
        <v/>
      </c>
      <c r="J917" t="str">
        <f>IF(I917="","",_xlfn.XLOOKUP(I917,Lists!$C:$C,Lists!$D:$D))</f>
        <v/>
      </c>
      <c r="N917" t="str">
        <f t="shared" si="73"/>
        <v/>
      </c>
      <c r="O917" t="str">
        <f>IF(I917="","",_xlfn.XLOOKUP(I917,Lists!$C:$C,Lists!$J:$J))</f>
        <v/>
      </c>
      <c r="P917" t="str">
        <f>IF(I917="","",_xlfn.XLOOKUP(I917,Lists!$C:$C,Lists!$E:$E))</f>
        <v/>
      </c>
      <c r="Q917" s="21" t="str">
        <f t="shared" si="74"/>
        <v/>
      </c>
      <c r="R917" t="str">
        <f t="shared" si="75"/>
        <v/>
      </c>
      <c r="S917" t="str">
        <f>IF(I917="","",_xlfn.XLOOKUP(I917,Lists!$C:$C,Lists!$I:$I))</f>
        <v/>
      </c>
    </row>
    <row r="918" spans="8:8">
      <c r="C918">
        <f>_xlfn.XLOOKUP(B918,Lists!B:B,Lists!A:A,"")</f>
        <v>0.0</v>
      </c>
      <c r="G918" t="str">
        <f t="shared" si="71"/>
        <v/>
      </c>
      <c r="H918" s="20" t="str">
        <f t="shared" si="72"/>
        <v/>
      </c>
      <c r="J918" t="str">
        <f>IF(I918="","",_xlfn.XLOOKUP(I918,Lists!$C:$C,Lists!$D:$D))</f>
        <v/>
      </c>
      <c r="N918" t="str">
        <f t="shared" si="73"/>
        <v/>
      </c>
      <c r="O918" t="str">
        <f>IF(I918="","",_xlfn.XLOOKUP(I918,Lists!$C:$C,Lists!$J:$J))</f>
        <v/>
      </c>
      <c r="P918" t="str">
        <f>IF(I918="","",_xlfn.XLOOKUP(I918,Lists!$C:$C,Lists!$E:$E))</f>
        <v/>
      </c>
      <c r="Q918" s="21" t="str">
        <f t="shared" si="74"/>
        <v/>
      </c>
      <c r="R918" t="str">
        <f t="shared" si="75"/>
        <v/>
      </c>
      <c r="S918" t="str">
        <f>IF(I918="","",_xlfn.XLOOKUP(I918,Lists!$C:$C,Lists!$I:$I))</f>
        <v/>
      </c>
    </row>
    <row r="919" spans="8:8">
      <c r="C919">
        <f>_xlfn.XLOOKUP(B919,Lists!B:B,Lists!A:A,"")</f>
        <v>0.0</v>
      </c>
      <c r="G919" t="str">
        <f t="shared" si="71"/>
        <v/>
      </c>
      <c r="H919" s="20" t="str">
        <f t="shared" si="72"/>
        <v/>
      </c>
      <c r="J919" t="str">
        <f>IF(I919="","",_xlfn.XLOOKUP(I919,Lists!$C:$C,Lists!$D:$D))</f>
        <v/>
      </c>
      <c r="N919" t="str">
        <f t="shared" si="73"/>
        <v/>
      </c>
      <c r="O919" t="str">
        <f>IF(I919="","",_xlfn.XLOOKUP(I919,Lists!$C:$C,Lists!$J:$J))</f>
        <v/>
      </c>
      <c r="P919" t="str">
        <f>IF(I919="","",_xlfn.XLOOKUP(I919,Lists!$C:$C,Lists!$E:$E))</f>
        <v/>
      </c>
      <c r="Q919" s="21" t="str">
        <f t="shared" si="74"/>
        <v/>
      </c>
      <c r="R919" t="str">
        <f t="shared" si="75"/>
        <v/>
      </c>
      <c r="S919" t="str">
        <f>IF(I919="","",_xlfn.XLOOKUP(I919,Lists!$C:$C,Lists!$I:$I))</f>
        <v/>
      </c>
    </row>
    <row r="920" spans="8:8">
      <c r="C920">
        <f>_xlfn.XLOOKUP(B920,Lists!B:B,Lists!A:A,"")</f>
        <v>0.0</v>
      </c>
      <c r="G920" t="str">
        <f t="shared" si="71"/>
        <v/>
      </c>
      <c r="H920" s="20" t="str">
        <f t="shared" si="72"/>
        <v/>
      </c>
      <c r="J920" t="str">
        <f>IF(I920="","",_xlfn.XLOOKUP(I920,Lists!$C:$C,Lists!$D:$D))</f>
        <v/>
      </c>
      <c r="N920" t="str">
        <f t="shared" si="73"/>
        <v/>
      </c>
      <c r="O920" t="str">
        <f>IF(I920="","",_xlfn.XLOOKUP(I920,Lists!$C:$C,Lists!$J:$J))</f>
        <v/>
      </c>
      <c r="P920" t="str">
        <f>IF(I920="","",_xlfn.XLOOKUP(I920,Lists!$C:$C,Lists!$E:$E))</f>
        <v/>
      </c>
      <c r="Q920" s="21" t="str">
        <f t="shared" si="74"/>
        <v/>
      </c>
      <c r="R920" t="str">
        <f t="shared" si="75"/>
        <v/>
      </c>
      <c r="S920" t="str">
        <f>IF(I920="","",_xlfn.XLOOKUP(I920,Lists!$C:$C,Lists!$I:$I))</f>
        <v/>
      </c>
    </row>
    <row r="921" spans="8:8">
      <c r="C921">
        <f>_xlfn.XLOOKUP(B921,Lists!B:B,Lists!A:A,"")</f>
        <v>0.0</v>
      </c>
      <c r="G921" t="str">
        <f t="shared" si="71"/>
        <v/>
      </c>
      <c r="H921" s="20" t="str">
        <f t="shared" si="72"/>
        <v/>
      </c>
      <c r="J921" t="str">
        <f>IF(I921="","",_xlfn.XLOOKUP(I921,Lists!$C:$C,Lists!$D:$D))</f>
        <v/>
      </c>
      <c r="N921" t="str">
        <f t="shared" si="73"/>
        <v/>
      </c>
      <c r="O921" t="str">
        <f>IF(I921="","",_xlfn.XLOOKUP(I921,Lists!$C:$C,Lists!$J:$J))</f>
        <v/>
      </c>
      <c r="P921" t="str">
        <f>IF(I921="","",_xlfn.XLOOKUP(I921,Lists!$C:$C,Lists!$E:$E))</f>
        <v/>
      </c>
      <c r="Q921" s="21" t="str">
        <f t="shared" si="74"/>
        <v/>
      </c>
      <c r="R921" t="str">
        <f t="shared" si="75"/>
        <v/>
      </c>
      <c r="S921" t="str">
        <f>IF(I921="","",_xlfn.XLOOKUP(I921,Lists!$C:$C,Lists!$I:$I))</f>
        <v/>
      </c>
    </row>
    <row r="922" spans="8:8">
      <c r="C922">
        <f>_xlfn.XLOOKUP(B922,Lists!B:B,Lists!A:A,"")</f>
        <v>0.0</v>
      </c>
      <c r="G922" t="str">
        <f t="shared" si="71"/>
        <v/>
      </c>
      <c r="H922" s="20" t="str">
        <f t="shared" si="72"/>
        <v/>
      </c>
      <c r="J922" t="str">
        <f>IF(I922="","",_xlfn.XLOOKUP(I922,Lists!$C:$C,Lists!$D:$D))</f>
        <v/>
      </c>
      <c r="N922" t="str">
        <f t="shared" si="73"/>
        <v/>
      </c>
      <c r="O922" t="str">
        <f>IF(I922="","",_xlfn.XLOOKUP(I922,Lists!$C:$C,Lists!$J:$J))</f>
        <v/>
      </c>
      <c r="P922" t="str">
        <f>IF(I922="","",_xlfn.XLOOKUP(I922,Lists!$C:$C,Lists!$E:$E))</f>
        <v/>
      </c>
      <c r="Q922" s="21" t="str">
        <f t="shared" si="74"/>
        <v/>
      </c>
      <c r="R922" t="str">
        <f t="shared" si="75"/>
        <v/>
      </c>
      <c r="S922" t="str">
        <f>IF(I922="","",_xlfn.XLOOKUP(I922,Lists!$C:$C,Lists!$I:$I))</f>
        <v/>
      </c>
    </row>
    <row r="923" spans="8:8">
      <c r="C923">
        <f>_xlfn.XLOOKUP(B923,Lists!B:B,Lists!A:A,"")</f>
        <v>0.0</v>
      </c>
      <c r="G923" t="str">
        <f t="shared" si="71"/>
        <v/>
      </c>
      <c r="H923" s="20" t="str">
        <f t="shared" si="72"/>
        <v/>
      </c>
      <c r="J923" t="str">
        <f>IF(I923="","",_xlfn.XLOOKUP(I923,Lists!$C:$C,Lists!$D:$D))</f>
        <v/>
      </c>
      <c r="N923" t="str">
        <f t="shared" si="73"/>
        <v/>
      </c>
      <c r="O923" t="str">
        <f>IF(I923="","",_xlfn.XLOOKUP(I923,Lists!$C:$C,Lists!$J:$J))</f>
        <v/>
      </c>
      <c r="P923" t="str">
        <f>IF(I923="","",_xlfn.XLOOKUP(I923,Lists!$C:$C,Lists!$E:$E))</f>
        <v/>
      </c>
      <c r="Q923" s="21" t="str">
        <f t="shared" si="74"/>
        <v/>
      </c>
      <c r="R923" t="str">
        <f t="shared" si="75"/>
        <v/>
      </c>
      <c r="S923" t="str">
        <f>IF(I923="","",_xlfn.XLOOKUP(I923,Lists!$C:$C,Lists!$I:$I))</f>
        <v/>
      </c>
    </row>
    <row r="924" spans="8:8">
      <c r="C924">
        <f>_xlfn.XLOOKUP(B924,Lists!B:B,Lists!A:A,"")</f>
        <v>0.0</v>
      </c>
      <c r="G924" t="str">
        <f t="shared" si="71"/>
        <v/>
      </c>
      <c r="H924" s="20" t="str">
        <f t="shared" si="72"/>
        <v/>
      </c>
      <c r="J924" t="str">
        <f>IF(I924="","",_xlfn.XLOOKUP(I924,Lists!$C:$C,Lists!$D:$D))</f>
        <v/>
      </c>
      <c r="N924" t="str">
        <f t="shared" si="73"/>
        <v/>
      </c>
      <c r="O924" t="str">
        <f>IF(I924="","",_xlfn.XLOOKUP(I924,Lists!$C:$C,Lists!$J:$J))</f>
        <v/>
      </c>
      <c r="P924" t="str">
        <f>IF(I924="","",_xlfn.XLOOKUP(I924,Lists!$C:$C,Lists!$E:$E))</f>
        <v/>
      </c>
      <c r="Q924" s="21" t="str">
        <f t="shared" si="74"/>
        <v/>
      </c>
      <c r="R924" t="str">
        <f t="shared" si="75"/>
        <v/>
      </c>
      <c r="S924" t="str">
        <f>IF(I924="","",_xlfn.XLOOKUP(I924,Lists!$C:$C,Lists!$I:$I))</f>
        <v/>
      </c>
    </row>
    <row r="925" spans="8:8">
      <c r="C925">
        <f>_xlfn.XLOOKUP(B925,Lists!B:B,Lists!A:A,"")</f>
        <v>0.0</v>
      </c>
      <c r="G925" t="str">
        <f t="shared" si="71"/>
        <v/>
      </c>
      <c r="H925" s="20" t="str">
        <f t="shared" si="72"/>
        <v/>
      </c>
      <c r="J925" t="str">
        <f>IF(I925="","",_xlfn.XLOOKUP(I925,Lists!$C:$C,Lists!$D:$D))</f>
        <v/>
      </c>
      <c r="N925" t="str">
        <f t="shared" si="73"/>
        <v/>
      </c>
      <c r="O925" t="str">
        <f>IF(I925="","",_xlfn.XLOOKUP(I925,Lists!$C:$C,Lists!$J:$J))</f>
        <v/>
      </c>
      <c r="P925" t="str">
        <f>IF(I925="","",_xlfn.XLOOKUP(I925,Lists!$C:$C,Lists!$E:$E))</f>
        <v/>
      </c>
      <c r="Q925" s="21" t="str">
        <f t="shared" si="74"/>
        <v/>
      </c>
      <c r="R925" t="str">
        <f t="shared" si="75"/>
        <v/>
      </c>
      <c r="S925" t="str">
        <f>IF(I925="","",_xlfn.XLOOKUP(I925,Lists!$C:$C,Lists!$I:$I))</f>
        <v/>
      </c>
    </row>
    <row r="926" spans="8:8">
      <c r="C926">
        <f>_xlfn.XLOOKUP(B926,Lists!B:B,Lists!A:A,"")</f>
        <v>0.0</v>
      </c>
      <c r="G926" t="str">
        <f t="shared" si="71"/>
        <v/>
      </c>
      <c r="H926" s="20" t="str">
        <f t="shared" si="72"/>
        <v/>
      </c>
      <c r="J926" t="str">
        <f>IF(I926="","",_xlfn.XLOOKUP(I926,Lists!$C:$C,Lists!$D:$D))</f>
        <v/>
      </c>
      <c r="N926" t="str">
        <f t="shared" si="73"/>
        <v/>
      </c>
      <c r="O926" t="str">
        <f>IF(I926="","",_xlfn.XLOOKUP(I926,Lists!$C:$C,Lists!$J:$J))</f>
        <v/>
      </c>
      <c r="P926" t="str">
        <f>IF(I926="","",_xlfn.XLOOKUP(I926,Lists!$C:$C,Lists!$E:$E))</f>
        <v/>
      </c>
      <c r="Q926" s="21" t="str">
        <f t="shared" si="74"/>
        <v/>
      </c>
      <c r="R926" t="str">
        <f t="shared" si="75"/>
        <v/>
      </c>
      <c r="S926" t="str">
        <f>IF(I926="","",_xlfn.XLOOKUP(I926,Lists!$C:$C,Lists!$I:$I))</f>
        <v/>
      </c>
    </row>
    <row r="927" spans="8:8">
      <c r="C927">
        <f>_xlfn.XLOOKUP(B927,Lists!B:B,Lists!A:A,"")</f>
        <v>0.0</v>
      </c>
      <c r="G927" t="str">
        <f t="shared" si="71"/>
        <v/>
      </c>
      <c r="H927" s="20" t="str">
        <f t="shared" si="72"/>
        <v/>
      </c>
      <c r="J927" t="str">
        <f>IF(I927="","",_xlfn.XLOOKUP(I927,Lists!$C:$C,Lists!$D:$D))</f>
        <v/>
      </c>
      <c r="N927" t="str">
        <f t="shared" si="73"/>
        <v/>
      </c>
      <c r="O927" t="str">
        <f>IF(I927="","",_xlfn.XLOOKUP(I927,Lists!$C:$C,Lists!$J:$J))</f>
        <v/>
      </c>
      <c r="P927" t="str">
        <f>IF(I927="","",_xlfn.XLOOKUP(I927,Lists!$C:$C,Lists!$E:$E))</f>
        <v/>
      </c>
      <c r="Q927" s="21" t="str">
        <f t="shared" si="74"/>
        <v/>
      </c>
      <c r="R927" t="str">
        <f t="shared" si="75"/>
        <v/>
      </c>
      <c r="S927" t="str">
        <f>IF(I927="","",_xlfn.XLOOKUP(I927,Lists!$C:$C,Lists!$I:$I))</f>
        <v/>
      </c>
    </row>
    <row r="928" spans="8:8">
      <c r="C928">
        <f>_xlfn.XLOOKUP(B928,Lists!B:B,Lists!A:A,"")</f>
        <v>0.0</v>
      </c>
      <c r="G928" t="str">
        <f t="shared" si="71"/>
        <v/>
      </c>
      <c r="H928" s="20" t="str">
        <f t="shared" si="72"/>
        <v/>
      </c>
      <c r="J928" t="str">
        <f>IF(I928="","",_xlfn.XLOOKUP(I928,Lists!$C:$C,Lists!$D:$D))</f>
        <v/>
      </c>
      <c r="N928" t="str">
        <f t="shared" si="73"/>
        <v/>
      </c>
      <c r="O928" t="str">
        <f>IF(I928="","",_xlfn.XLOOKUP(I928,Lists!$C:$C,Lists!$J:$J))</f>
        <v/>
      </c>
      <c r="P928" t="str">
        <f>IF(I928="","",_xlfn.XLOOKUP(I928,Lists!$C:$C,Lists!$E:$E))</f>
        <v/>
      </c>
      <c r="Q928" s="21" t="str">
        <f t="shared" si="74"/>
        <v/>
      </c>
      <c r="R928" t="str">
        <f t="shared" si="75"/>
        <v/>
      </c>
      <c r="S928" t="str">
        <f>IF(I928="","",_xlfn.XLOOKUP(I928,Lists!$C:$C,Lists!$I:$I))</f>
        <v/>
      </c>
    </row>
    <row r="929" spans="8:8">
      <c r="C929">
        <f>_xlfn.XLOOKUP(B929,Lists!B:B,Lists!A:A,"")</f>
        <v>0.0</v>
      </c>
      <c r="G929" t="str">
        <f t="shared" si="71"/>
        <v/>
      </c>
      <c r="H929" s="20" t="str">
        <f t="shared" si="72"/>
        <v/>
      </c>
      <c r="J929" t="str">
        <f>IF(I929="","",_xlfn.XLOOKUP(I929,Lists!$C:$C,Lists!$D:$D))</f>
        <v/>
      </c>
      <c r="N929" t="str">
        <f t="shared" si="73"/>
        <v/>
      </c>
      <c r="O929" t="str">
        <f>IF(I929="","",_xlfn.XLOOKUP(I929,Lists!$C:$C,Lists!$J:$J))</f>
        <v/>
      </c>
      <c r="P929" t="str">
        <f>IF(I929="","",_xlfn.XLOOKUP(I929,Lists!$C:$C,Lists!$E:$E))</f>
        <v/>
      </c>
      <c r="Q929" s="21" t="str">
        <f t="shared" si="74"/>
        <v/>
      </c>
      <c r="R929" t="str">
        <f t="shared" si="75"/>
        <v/>
      </c>
      <c r="S929" t="str">
        <f>IF(I929="","",_xlfn.XLOOKUP(I929,Lists!$C:$C,Lists!$I:$I))</f>
        <v/>
      </c>
    </row>
    <row r="930" spans="8:8">
      <c r="C930">
        <f>_xlfn.XLOOKUP(B930,Lists!B:B,Lists!A:A,"")</f>
        <v>0.0</v>
      </c>
      <c r="G930" t="str">
        <f t="shared" si="71"/>
        <v/>
      </c>
      <c r="H930" s="20" t="str">
        <f t="shared" si="72"/>
        <v/>
      </c>
      <c r="J930" t="str">
        <f>IF(I930="","",_xlfn.XLOOKUP(I930,Lists!$C:$C,Lists!$D:$D))</f>
        <v/>
      </c>
      <c r="N930" t="str">
        <f t="shared" si="73"/>
        <v/>
      </c>
      <c r="O930" t="str">
        <f>IF(I930="","",_xlfn.XLOOKUP(I930,Lists!$C:$C,Lists!$J:$J))</f>
        <v/>
      </c>
      <c r="P930" t="str">
        <f>IF(I930="","",_xlfn.XLOOKUP(I930,Lists!$C:$C,Lists!$E:$E))</f>
        <v/>
      </c>
      <c r="Q930" s="21" t="str">
        <f t="shared" si="74"/>
        <v/>
      </c>
      <c r="R930" t="str">
        <f t="shared" si="75"/>
        <v/>
      </c>
      <c r="S930" t="str">
        <f>IF(I930="","",_xlfn.XLOOKUP(I930,Lists!$C:$C,Lists!$I:$I))</f>
        <v/>
      </c>
    </row>
    <row r="931" spans="8:8">
      <c r="C931">
        <f>_xlfn.XLOOKUP(B931,Lists!B:B,Lists!A:A,"")</f>
        <v>0.0</v>
      </c>
      <c r="G931" t="str">
        <f t="shared" si="71"/>
        <v/>
      </c>
      <c r="H931" s="20" t="str">
        <f t="shared" si="72"/>
        <v/>
      </c>
      <c r="J931" t="str">
        <f>IF(I931="","",_xlfn.XLOOKUP(I931,Lists!$C:$C,Lists!$D:$D))</f>
        <v/>
      </c>
      <c r="N931" t="str">
        <f t="shared" si="73"/>
        <v/>
      </c>
      <c r="O931" t="str">
        <f>IF(I931="","",_xlfn.XLOOKUP(I931,Lists!$C:$C,Lists!$J:$J))</f>
        <v/>
      </c>
      <c r="P931" t="str">
        <f>IF(I931="","",_xlfn.XLOOKUP(I931,Lists!$C:$C,Lists!$E:$E))</f>
        <v/>
      </c>
      <c r="Q931" s="21" t="str">
        <f t="shared" si="74"/>
        <v/>
      </c>
      <c r="R931" t="str">
        <f t="shared" si="75"/>
        <v/>
      </c>
      <c r="S931" t="str">
        <f>IF(I931="","",_xlfn.XLOOKUP(I931,Lists!$C:$C,Lists!$I:$I))</f>
        <v/>
      </c>
    </row>
    <row r="932" spans="8:8">
      <c r="C932">
        <f>_xlfn.XLOOKUP(B932,Lists!B:B,Lists!A:A,"")</f>
        <v>0.0</v>
      </c>
      <c r="G932" t="str">
        <f t="shared" si="71"/>
        <v/>
      </c>
      <c r="H932" s="20" t="str">
        <f t="shared" si="72"/>
        <v/>
      </c>
      <c r="J932" t="str">
        <f>IF(I932="","",_xlfn.XLOOKUP(I932,Lists!$C:$C,Lists!$D:$D))</f>
        <v/>
      </c>
      <c r="N932" t="str">
        <f t="shared" si="73"/>
        <v/>
      </c>
      <c r="O932" t="str">
        <f>IF(I932="","",_xlfn.XLOOKUP(I932,Lists!$C:$C,Lists!$J:$J))</f>
        <v/>
      </c>
      <c r="P932" t="str">
        <f>IF(I932="","",_xlfn.XLOOKUP(I932,Lists!$C:$C,Lists!$E:$E))</f>
        <v/>
      </c>
      <c r="Q932" s="21" t="str">
        <f t="shared" si="74"/>
        <v/>
      </c>
      <c r="R932" t="str">
        <f t="shared" si="75"/>
        <v/>
      </c>
      <c r="S932" t="str">
        <f>IF(I932="","",_xlfn.XLOOKUP(I932,Lists!$C:$C,Lists!$I:$I))</f>
        <v/>
      </c>
    </row>
    <row r="933" spans="8:8">
      <c r="C933">
        <f>_xlfn.XLOOKUP(B933,Lists!B:B,Lists!A:A,"")</f>
        <v>0.0</v>
      </c>
      <c r="G933" t="str">
        <f t="shared" si="71"/>
        <v/>
      </c>
      <c r="H933" s="20" t="str">
        <f t="shared" si="72"/>
        <v/>
      </c>
      <c r="J933" t="str">
        <f>IF(I933="","",_xlfn.XLOOKUP(I933,Lists!$C:$C,Lists!$D:$D))</f>
        <v/>
      </c>
      <c r="N933" t="str">
        <f t="shared" si="73"/>
        <v/>
      </c>
      <c r="O933" t="str">
        <f>IF(I933="","",_xlfn.XLOOKUP(I933,Lists!$C:$C,Lists!$J:$J))</f>
        <v/>
      </c>
      <c r="P933" t="str">
        <f>IF(I933="","",_xlfn.XLOOKUP(I933,Lists!$C:$C,Lists!$E:$E))</f>
        <v/>
      </c>
      <c r="Q933" s="21" t="str">
        <f t="shared" si="74"/>
        <v/>
      </c>
      <c r="R933" t="str">
        <f t="shared" si="75"/>
        <v/>
      </c>
      <c r="S933" t="str">
        <f>IF(I933="","",_xlfn.XLOOKUP(I933,Lists!$C:$C,Lists!$I:$I))</f>
        <v/>
      </c>
    </row>
    <row r="934" spans="8:8">
      <c r="C934">
        <f>_xlfn.XLOOKUP(B934,Lists!B:B,Lists!A:A,"")</f>
        <v>0.0</v>
      </c>
      <c r="G934" t="str">
        <f t="shared" si="71"/>
        <v/>
      </c>
      <c r="H934" s="20" t="str">
        <f t="shared" si="72"/>
        <v/>
      </c>
      <c r="J934" t="str">
        <f>IF(I934="","",_xlfn.XLOOKUP(I934,Lists!$C:$C,Lists!$D:$D))</f>
        <v/>
      </c>
      <c r="N934" t="str">
        <f t="shared" si="73"/>
        <v/>
      </c>
      <c r="O934" t="str">
        <f>IF(I934="","",_xlfn.XLOOKUP(I934,Lists!$C:$C,Lists!$J:$J))</f>
        <v/>
      </c>
      <c r="P934" t="str">
        <f>IF(I934="","",_xlfn.XLOOKUP(I934,Lists!$C:$C,Lists!$E:$E))</f>
        <v/>
      </c>
      <c r="Q934" s="21" t="str">
        <f t="shared" si="74"/>
        <v/>
      </c>
      <c r="R934" t="str">
        <f t="shared" si="75"/>
        <v/>
      </c>
      <c r="S934" t="str">
        <f>IF(I934="","",_xlfn.XLOOKUP(I934,Lists!$C:$C,Lists!$I:$I))</f>
        <v/>
      </c>
    </row>
    <row r="935" spans="8:8">
      <c r="C935">
        <f>_xlfn.XLOOKUP(B935,Lists!B:B,Lists!A:A,"")</f>
        <v>0.0</v>
      </c>
      <c r="G935" t="str">
        <f t="shared" si="71"/>
        <v/>
      </c>
      <c r="H935" s="20" t="str">
        <f t="shared" si="72"/>
        <v/>
      </c>
      <c r="J935" t="str">
        <f>IF(I935="","",_xlfn.XLOOKUP(I935,Lists!$C:$C,Lists!$D:$D))</f>
        <v/>
      </c>
      <c r="N935" t="str">
        <f t="shared" si="73"/>
        <v/>
      </c>
      <c r="O935" t="str">
        <f>IF(I935="","",_xlfn.XLOOKUP(I935,Lists!$C:$C,Lists!$J:$J))</f>
        <v/>
      </c>
      <c r="P935" t="str">
        <f>IF(I935="","",_xlfn.XLOOKUP(I935,Lists!$C:$C,Lists!$E:$E))</f>
        <v/>
      </c>
      <c r="Q935" s="21" t="str">
        <f t="shared" si="74"/>
        <v/>
      </c>
      <c r="R935" t="str">
        <f t="shared" si="75"/>
        <v/>
      </c>
      <c r="S935" t="str">
        <f>IF(I935="","",_xlfn.XLOOKUP(I935,Lists!$C:$C,Lists!$I:$I))</f>
        <v/>
      </c>
    </row>
    <row r="936" spans="8:8">
      <c r="C936">
        <f>_xlfn.XLOOKUP(B936,Lists!B:B,Lists!A:A,"")</f>
        <v>0.0</v>
      </c>
      <c r="G936" t="str">
        <f t="shared" si="71"/>
        <v/>
      </c>
      <c r="H936" s="20" t="str">
        <f t="shared" si="72"/>
        <v/>
      </c>
      <c r="J936" t="str">
        <f>IF(I936="","",_xlfn.XLOOKUP(I936,Lists!$C:$C,Lists!$D:$D))</f>
        <v/>
      </c>
      <c r="N936" t="str">
        <f t="shared" si="73"/>
        <v/>
      </c>
      <c r="O936" t="str">
        <f>IF(I936="","",_xlfn.XLOOKUP(I936,Lists!$C:$C,Lists!$J:$J))</f>
        <v/>
      </c>
      <c r="P936" t="str">
        <f>IF(I936="","",_xlfn.XLOOKUP(I936,Lists!$C:$C,Lists!$E:$E))</f>
        <v/>
      </c>
      <c r="Q936" s="21" t="str">
        <f t="shared" si="74"/>
        <v/>
      </c>
      <c r="R936" t="str">
        <f t="shared" si="75"/>
        <v/>
      </c>
      <c r="S936" t="str">
        <f>IF(I936="","",_xlfn.XLOOKUP(I936,Lists!$C:$C,Lists!$I:$I))</f>
        <v/>
      </c>
    </row>
    <row r="937" spans="8:8">
      <c r="C937">
        <f>_xlfn.XLOOKUP(B937,Lists!B:B,Lists!A:A,"")</f>
        <v>0.0</v>
      </c>
      <c r="G937" t="str">
        <f t="shared" si="71"/>
        <v/>
      </c>
      <c r="H937" s="20" t="str">
        <f t="shared" si="72"/>
        <v/>
      </c>
      <c r="J937" t="str">
        <f>IF(I937="","",_xlfn.XLOOKUP(I937,Lists!$C:$C,Lists!$D:$D))</f>
        <v/>
      </c>
      <c r="N937" t="str">
        <f t="shared" si="73"/>
        <v/>
      </c>
      <c r="O937" t="str">
        <f>IF(I937="","",_xlfn.XLOOKUP(I937,Lists!$C:$C,Lists!$J:$J))</f>
        <v/>
      </c>
      <c r="P937" t="str">
        <f>IF(I937="","",_xlfn.XLOOKUP(I937,Lists!$C:$C,Lists!$E:$E))</f>
        <v/>
      </c>
      <c r="Q937" s="21" t="str">
        <f t="shared" si="74"/>
        <v/>
      </c>
      <c r="R937" t="str">
        <f t="shared" si="75"/>
        <v/>
      </c>
      <c r="S937" t="str">
        <f>IF(I937="","",_xlfn.XLOOKUP(I937,Lists!$C:$C,Lists!$I:$I))</f>
        <v/>
      </c>
    </row>
    <row r="938" spans="8:8">
      <c r="C938">
        <f>_xlfn.XLOOKUP(B938,Lists!B:B,Lists!A:A,"")</f>
        <v>0.0</v>
      </c>
      <c r="G938" t="str">
        <f t="shared" si="71"/>
        <v/>
      </c>
      <c r="H938" s="20" t="str">
        <f t="shared" si="72"/>
        <v/>
      </c>
      <c r="J938" t="str">
        <f>IF(I938="","",_xlfn.XLOOKUP(I938,Lists!$C:$C,Lists!$D:$D))</f>
        <v/>
      </c>
      <c r="N938" t="str">
        <f t="shared" si="73"/>
        <v/>
      </c>
      <c r="O938" t="str">
        <f>IF(I938="","",_xlfn.XLOOKUP(I938,Lists!$C:$C,Lists!$J:$J))</f>
        <v/>
      </c>
      <c r="P938" t="str">
        <f>IF(I938="","",_xlfn.XLOOKUP(I938,Lists!$C:$C,Lists!$E:$E))</f>
        <v/>
      </c>
      <c r="Q938" s="21" t="str">
        <f t="shared" si="74"/>
        <v/>
      </c>
      <c r="R938" t="str">
        <f t="shared" si="75"/>
        <v/>
      </c>
      <c r="S938" t="str">
        <f>IF(I938="","",_xlfn.XLOOKUP(I938,Lists!$C:$C,Lists!$I:$I))</f>
        <v/>
      </c>
    </row>
    <row r="939" spans="8:8">
      <c r="C939">
        <f>_xlfn.XLOOKUP(B939,Lists!B:B,Lists!A:A,"")</f>
        <v>0.0</v>
      </c>
      <c r="G939" t="str">
        <f t="shared" si="71"/>
        <v/>
      </c>
      <c r="H939" s="20" t="str">
        <f t="shared" si="72"/>
        <v/>
      </c>
      <c r="J939" t="str">
        <f>IF(I939="","",_xlfn.XLOOKUP(I939,Lists!$C:$C,Lists!$D:$D))</f>
        <v/>
      </c>
      <c r="N939" t="str">
        <f t="shared" si="73"/>
        <v/>
      </c>
      <c r="O939" t="str">
        <f>IF(I939="","",_xlfn.XLOOKUP(I939,Lists!$C:$C,Lists!$J:$J))</f>
        <v/>
      </c>
      <c r="P939" t="str">
        <f>IF(I939="","",_xlfn.XLOOKUP(I939,Lists!$C:$C,Lists!$E:$E))</f>
        <v/>
      </c>
      <c r="Q939" s="21" t="str">
        <f t="shared" si="74"/>
        <v/>
      </c>
      <c r="R939" t="str">
        <f t="shared" si="75"/>
        <v/>
      </c>
      <c r="S939" t="str">
        <f>IF(I939="","",_xlfn.XLOOKUP(I939,Lists!$C:$C,Lists!$I:$I))</f>
        <v/>
      </c>
    </row>
    <row r="940" spans="8:8">
      <c r="C940">
        <f>_xlfn.XLOOKUP(B940,Lists!B:B,Lists!A:A,"")</f>
        <v>0.0</v>
      </c>
      <c r="G940" t="str">
        <f t="shared" si="71"/>
        <v/>
      </c>
      <c r="H940" s="20" t="str">
        <f t="shared" si="72"/>
        <v/>
      </c>
      <c r="J940" t="str">
        <f>IF(I940="","",_xlfn.XLOOKUP(I940,Lists!$C:$C,Lists!$D:$D))</f>
        <v/>
      </c>
      <c r="N940" t="str">
        <f t="shared" si="73"/>
        <v/>
      </c>
      <c r="O940" t="str">
        <f>IF(I940="","",_xlfn.XLOOKUP(I940,Lists!$C:$C,Lists!$J:$J))</f>
        <v/>
      </c>
      <c r="P940" t="str">
        <f>IF(I940="","",_xlfn.XLOOKUP(I940,Lists!$C:$C,Lists!$E:$E))</f>
        <v/>
      </c>
      <c r="Q940" s="21" t="str">
        <f t="shared" si="74"/>
        <v/>
      </c>
      <c r="R940" t="str">
        <f t="shared" si="75"/>
        <v/>
      </c>
      <c r="S940" t="str">
        <f>IF(I940="","",_xlfn.XLOOKUP(I940,Lists!$C:$C,Lists!$I:$I))</f>
        <v/>
      </c>
    </row>
    <row r="941" spans="8:8">
      <c r="C941">
        <f>_xlfn.XLOOKUP(B941,Lists!B:B,Lists!A:A,"")</f>
        <v>0.0</v>
      </c>
      <c r="G941" t="str">
        <f t="shared" si="71"/>
        <v/>
      </c>
      <c r="H941" s="20" t="str">
        <f t="shared" si="72"/>
        <v/>
      </c>
      <c r="J941" t="str">
        <f>IF(I941="","",_xlfn.XLOOKUP(I941,Lists!$C:$C,Lists!$D:$D))</f>
        <v/>
      </c>
      <c r="N941" t="str">
        <f t="shared" si="73"/>
        <v/>
      </c>
      <c r="O941" t="str">
        <f>IF(I941="","",_xlfn.XLOOKUP(I941,Lists!$C:$C,Lists!$J:$J))</f>
        <v/>
      </c>
      <c r="P941" t="str">
        <f>IF(I941="","",_xlfn.XLOOKUP(I941,Lists!$C:$C,Lists!$E:$E))</f>
        <v/>
      </c>
      <c r="Q941" s="21" t="str">
        <f t="shared" si="74"/>
        <v/>
      </c>
      <c r="R941" t="str">
        <f t="shared" si="75"/>
        <v/>
      </c>
      <c r="S941" t="str">
        <f>IF(I941="","",_xlfn.XLOOKUP(I941,Lists!$C:$C,Lists!$I:$I))</f>
        <v/>
      </c>
    </row>
    <row r="942" spans="8:8">
      <c r="C942">
        <f>_xlfn.XLOOKUP(B942,Lists!B:B,Lists!A:A,"")</f>
        <v>0.0</v>
      </c>
      <c r="G942" t="str">
        <f t="shared" si="71"/>
        <v/>
      </c>
      <c r="H942" s="20" t="str">
        <f t="shared" si="72"/>
        <v/>
      </c>
      <c r="J942" t="str">
        <f>IF(I942="","",_xlfn.XLOOKUP(I942,Lists!$C:$C,Lists!$D:$D))</f>
        <v/>
      </c>
      <c r="N942" t="str">
        <f t="shared" si="73"/>
        <v/>
      </c>
      <c r="O942" t="str">
        <f>IF(I942="","",_xlfn.XLOOKUP(I942,Lists!$C:$C,Lists!$J:$J))</f>
        <v/>
      </c>
      <c r="P942" t="str">
        <f>IF(I942="","",_xlfn.XLOOKUP(I942,Lists!$C:$C,Lists!$E:$E))</f>
        <v/>
      </c>
      <c r="Q942" s="21" t="str">
        <f t="shared" si="74"/>
        <v/>
      </c>
      <c r="R942" t="str">
        <f t="shared" si="75"/>
        <v/>
      </c>
      <c r="S942" t="str">
        <f>IF(I942="","",_xlfn.XLOOKUP(I942,Lists!$C:$C,Lists!$I:$I))</f>
        <v/>
      </c>
    </row>
    <row r="943" spans="8:8">
      <c r="C943">
        <f>_xlfn.XLOOKUP(B943,Lists!B:B,Lists!A:A,"")</f>
        <v>0.0</v>
      </c>
      <c r="G943" t="str">
        <f t="shared" si="71"/>
        <v/>
      </c>
      <c r="H943" s="20" t="str">
        <f t="shared" si="72"/>
        <v/>
      </c>
      <c r="J943" t="str">
        <f>IF(I943="","",_xlfn.XLOOKUP(I943,Lists!$C:$C,Lists!$D:$D))</f>
        <v/>
      </c>
      <c r="N943" t="str">
        <f t="shared" si="73"/>
        <v/>
      </c>
      <c r="O943" t="str">
        <f>IF(I943="","",_xlfn.XLOOKUP(I943,Lists!$C:$C,Lists!$J:$J))</f>
        <v/>
      </c>
      <c r="P943" t="str">
        <f>IF(I943="","",_xlfn.XLOOKUP(I943,Lists!$C:$C,Lists!$E:$E))</f>
        <v/>
      </c>
      <c r="Q943" s="21" t="str">
        <f t="shared" si="74"/>
        <v/>
      </c>
      <c r="R943" t="str">
        <f t="shared" si="75"/>
        <v/>
      </c>
      <c r="S943" t="str">
        <f>IF(I943="","",_xlfn.XLOOKUP(I943,Lists!$C:$C,Lists!$I:$I))</f>
        <v/>
      </c>
    </row>
    <row r="944" spans="8:8">
      <c r="C944">
        <f>_xlfn.XLOOKUP(B944,Lists!B:B,Lists!A:A,"")</f>
        <v>0.0</v>
      </c>
      <c r="G944" t="str">
        <f t="shared" si="71"/>
        <v/>
      </c>
      <c r="H944" s="20" t="str">
        <f t="shared" si="72"/>
        <v/>
      </c>
      <c r="J944" t="str">
        <f>IF(I944="","",_xlfn.XLOOKUP(I944,Lists!$C:$C,Lists!$D:$D))</f>
        <v/>
      </c>
      <c r="N944" t="str">
        <f t="shared" si="73"/>
        <v/>
      </c>
      <c r="O944" t="str">
        <f>IF(I944="","",_xlfn.XLOOKUP(I944,Lists!$C:$C,Lists!$J:$J))</f>
        <v/>
      </c>
      <c r="P944" t="str">
        <f>IF(I944="","",_xlfn.XLOOKUP(I944,Lists!$C:$C,Lists!$E:$E))</f>
        <v/>
      </c>
      <c r="Q944" s="21" t="str">
        <f t="shared" si="74"/>
        <v/>
      </c>
      <c r="R944" t="str">
        <f t="shared" si="75"/>
        <v/>
      </c>
      <c r="S944" t="str">
        <f>IF(I944="","",_xlfn.XLOOKUP(I944,Lists!$C:$C,Lists!$I:$I))</f>
        <v/>
      </c>
    </row>
    <row r="945" spans="8:8">
      <c r="C945">
        <f>_xlfn.XLOOKUP(B945,Lists!B:B,Lists!A:A,"")</f>
        <v>0.0</v>
      </c>
      <c r="G945" t="str">
        <f t="shared" si="71"/>
        <v/>
      </c>
      <c r="H945" s="20" t="str">
        <f t="shared" si="72"/>
        <v/>
      </c>
      <c r="J945" t="str">
        <f>IF(I945="","",_xlfn.XLOOKUP(I945,Lists!$C:$C,Lists!$D:$D))</f>
        <v/>
      </c>
      <c r="N945" t="str">
        <f t="shared" si="73"/>
        <v/>
      </c>
      <c r="O945" t="str">
        <f>IF(I945="","",_xlfn.XLOOKUP(I945,Lists!$C:$C,Lists!$J:$J))</f>
        <v/>
      </c>
      <c r="P945" t="str">
        <f>IF(I945="","",_xlfn.XLOOKUP(I945,Lists!$C:$C,Lists!$E:$E))</f>
        <v/>
      </c>
      <c r="Q945" s="21" t="str">
        <f t="shared" si="74"/>
        <v/>
      </c>
      <c r="R945" t="str">
        <f t="shared" si="75"/>
        <v/>
      </c>
      <c r="S945" t="str">
        <f>IF(I945="","",_xlfn.XLOOKUP(I945,Lists!$C:$C,Lists!$I:$I))</f>
        <v/>
      </c>
    </row>
    <row r="946" spans="8:8">
      <c r="C946">
        <f>_xlfn.XLOOKUP(B946,Lists!B:B,Lists!A:A,"")</f>
        <v>0.0</v>
      </c>
      <c r="G946" t="str">
        <f t="shared" si="71"/>
        <v/>
      </c>
      <c r="H946" s="20" t="str">
        <f t="shared" si="72"/>
        <v/>
      </c>
      <c r="J946" t="str">
        <f>IF(I946="","",_xlfn.XLOOKUP(I946,Lists!$C:$C,Lists!$D:$D))</f>
        <v/>
      </c>
      <c r="N946" t="str">
        <f t="shared" si="73"/>
        <v/>
      </c>
      <c r="O946" t="str">
        <f>IF(I946="","",_xlfn.XLOOKUP(I946,Lists!$C:$C,Lists!$J:$J))</f>
        <v/>
      </c>
      <c r="P946" t="str">
        <f>IF(I946="","",_xlfn.XLOOKUP(I946,Lists!$C:$C,Lists!$E:$E))</f>
        <v/>
      </c>
      <c r="Q946" s="21" t="str">
        <f t="shared" si="74"/>
        <v/>
      </c>
      <c r="R946" t="str">
        <f t="shared" si="75"/>
        <v/>
      </c>
      <c r="S946" t="str">
        <f>IF(I946="","",_xlfn.XLOOKUP(I946,Lists!$C:$C,Lists!$I:$I))</f>
        <v/>
      </c>
    </row>
    <row r="947" spans="8:8">
      <c r="C947">
        <f>_xlfn.XLOOKUP(B947,Lists!B:B,Lists!A:A,"")</f>
        <v>0.0</v>
      </c>
      <c r="G947" t="str">
        <f t="shared" si="71"/>
        <v/>
      </c>
      <c r="H947" s="20" t="str">
        <f t="shared" si="72"/>
        <v/>
      </c>
      <c r="J947" t="str">
        <f>IF(I947="","",_xlfn.XLOOKUP(I947,Lists!$C:$C,Lists!$D:$D))</f>
        <v/>
      </c>
      <c r="N947" t="str">
        <f t="shared" si="73"/>
        <v/>
      </c>
      <c r="O947" t="str">
        <f>IF(I947="","",_xlfn.XLOOKUP(I947,Lists!$C:$C,Lists!$J:$J))</f>
        <v/>
      </c>
      <c r="P947" t="str">
        <f>IF(I947="","",_xlfn.XLOOKUP(I947,Lists!$C:$C,Lists!$E:$E))</f>
        <v/>
      </c>
      <c r="Q947" s="21" t="str">
        <f t="shared" si="74"/>
        <v/>
      </c>
      <c r="R947" t="str">
        <f t="shared" si="75"/>
        <v/>
      </c>
      <c r="S947" t="str">
        <f>IF(I947="","",_xlfn.XLOOKUP(I947,Lists!$C:$C,Lists!$I:$I))</f>
        <v/>
      </c>
    </row>
    <row r="948" spans="8:8">
      <c r="C948">
        <f>_xlfn.XLOOKUP(B948,Lists!B:B,Lists!A:A,"")</f>
        <v>0.0</v>
      </c>
      <c r="G948" t="str">
        <f t="shared" si="71"/>
        <v/>
      </c>
      <c r="H948" s="20" t="str">
        <f t="shared" si="72"/>
        <v/>
      </c>
      <c r="J948" t="str">
        <f>IF(I948="","",_xlfn.XLOOKUP(I948,Lists!$C:$C,Lists!$D:$D))</f>
        <v/>
      </c>
      <c r="N948" t="str">
        <f t="shared" si="73"/>
        <v/>
      </c>
      <c r="O948" t="str">
        <f>IF(I948="","",_xlfn.XLOOKUP(I948,Lists!$C:$C,Lists!$J:$J))</f>
        <v/>
      </c>
      <c r="P948" t="str">
        <f>IF(I948="","",_xlfn.XLOOKUP(I948,Lists!$C:$C,Lists!$E:$E))</f>
        <v/>
      </c>
      <c r="Q948" s="21" t="str">
        <f t="shared" si="74"/>
        <v/>
      </c>
      <c r="R948" t="str">
        <f t="shared" si="75"/>
        <v/>
      </c>
      <c r="S948" t="str">
        <f>IF(I948="","",_xlfn.XLOOKUP(I948,Lists!$C:$C,Lists!$I:$I))</f>
        <v/>
      </c>
    </row>
    <row r="949" spans="8:8">
      <c r="C949">
        <f>_xlfn.XLOOKUP(B949,Lists!B:B,Lists!A:A,"")</f>
        <v>0.0</v>
      </c>
      <c r="G949" t="str">
        <f t="shared" si="71"/>
        <v/>
      </c>
      <c r="H949" s="20" t="str">
        <f t="shared" si="72"/>
        <v/>
      </c>
      <c r="J949" t="str">
        <f>IF(I949="","",_xlfn.XLOOKUP(I949,Lists!$C:$C,Lists!$D:$D))</f>
        <v/>
      </c>
      <c r="N949" t="str">
        <f t="shared" si="73"/>
        <v/>
      </c>
      <c r="O949" t="str">
        <f>IF(I949="","",_xlfn.XLOOKUP(I949,Lists!$C:$C,Lists!$J:$J))</f>
        <v/>
      </c>
      <c r="P949" t="str">
        <f>IF(I949="","",_xlfn.XLOOKUP(I949,Lists!$C:$C,Lists!$E:$E))</f>
        <v/>
      </c>
      <c r="Q949" s="21" t="str">
        <f t="shared" si="74"/>
        <v/>
      </c>
      <c r="R949" t="str">
        <f t="shared" si="75"/>
        <v/>
      </c>
      <c r="S949" t="str">
        <f>IF(I949="","",_xlfn.XLOOKUP(I949,Lists!$C:$C,Lists!$I:$I))</f>
        <v/>
      </c>
    </row>
    <row r="950" spans="8:8">
      <c r="C950">
        <f>_xlfn.XLOOKUP(B950,Lists!B:B,Lists!A:A,"")</f>
        <v>0.0</v>
      </c>
      <c r="G950" t="str">
        <f t="shared" si="71"/>
        <v/>
      </c>
      <c r="H950" s="20" t="str">
        <f t="shared" si="72"/>
        <v/>
      </c>
      <c r="J950" t="str">
        <f>IF(I950="","",_xlfn.XLOOKUP(I950,Lists!$C:$C,Lists!$D:$D))</f>
        <v/>
      </c>
      <c r="N950" t="str">
        <f t="shared" si="73"/>
        <v/>
      </c>
      <c r="O950" t="str">
        <f>IF(I950="","",_xlfn.XLOOKUP(I950,Lists!$C:$C,Lists!$J:$J))</f>
        <v/>
      </c>
      <c r="P950" t="str">
        <f>IF(I950="","",_xlfn.XLOOKUP(I950,Lists!$C:$C,Lists!$E:$E))</f>
        <v/>
      </c>
      <c r="Q950" s="21" t="str">
        <f t="shared" si="74"/>
        <v/>
      </c>
      <c r="R950" t="str">
        <f t="shared" si="75"/>
        <v/>
      </c>
      <c r="S950" t="str">
        <f>IF(I950="","",_xlfn.XLOOKUP(I950,Lists!$C:$C,Lists!$I:$I))</f>
        <v/>
      </c>
    </row>
    <row r="951" spans="8:8">
      <c r="C951">
        <f>_xlfn.XLOOKUP(B951,Lists!B:B,Lists!A:A,"")</f>
        <v>0.0</v>
      </c>
      <c r="G951" t="str">
        <f t="shared" si="71"/>
        <v/>
      </c>
      <c r="H951" s="20" t="str">
        <f t="shared" si="72"/>
        <v/>
      </c>
      <c r="J951" t="str">
        <f>IF(I951="","",_xlfn.XLOOKUP(I951,Lists!$C:$C,Lists!$D:$D))</f>
        <v/>
      </c>
      <c r="N951" t="str">
        <f t="shared" si="73"/>
        <v/>
      </c>
      <c r="O951" t="str">
        <f>IF(I951="","",_xlfn.XLOOKUP(I951,Lists!$C:$C,Lists!$J:$J))</f>
        <v/>
      </c>
      <c r="P951" t="str">
        <f>IF(I951="","",_xlfn.XLOOKUP(I951,Lists!$C:$C,Lists!$E:$E))</f>
        <v/>
      </c>
      <c r="Q951" s="21" t="str">
        <f t="shared" si="74"/>
        <v/>
      </c>
      <c r="R951" t="str">
        <f t="shared" si="75"/>
        <v/>
      </c>
      <c r="S951" t="str">
        <f>IF(I951="","",_xlfn.XLOOKUP(I951,Lists!$C:$C,Lists!$I:$I))</f>
        <v/>
      </c>
    </row>
    <row r="952" spans="8:8">
      <c r="C952">
        <f>_xlfn.XLOOKUP(B952,Lists!B:B,Lists!A:A,"")</f>
        <v>0.0</v>
      </c>
      <c r="G952" t="str">
        <f t="shared" si="71"/>
        <v/>
      </c>
      <c r="H952" s="20" t="str">
        <f t="shared" si="72"/>
        <v/>
      </c>
      <c r="J952" t="str">
        <f>IF(I952="","",_xlfn.XLOOKUP(I952,Lists!$C:$C,Lists!$D:$D))</f>
        <v/>
      </c>
      <c r="N952" t="str">
        <f t="shared" si="73"/>
        <v/>
      </c>
      <c r="O952" t="str">
        <f>IF(I952="","",_xlfn.XLOOKUP(I952,Lists!$C:$C,Lists!$J:$J))</f>
        <v/>
      </c>
      <c r="P952" t="str">
        <f>IF(I952="","",_xlfn.XLOOKUP(I952,Lists!$C:$C,Lists!$E:$E))</f>
        <v/>
      </c>
      <c r="Q952" s="21" t="str">
        <f t="shared" si="74"/>
        <v/>
      </c>
      <c r="R952" t="str">
        <f t="shared" si="75"/>
        <v/>
      </c>
      <c r="S952" t="str">
        <f>IF(I952="","",_xlfn.XLOOKUP(I952,Lists!$C:$C,Lists!$I:$I))</f>
        <v/>
      </c>
    </row>
    <row r="953" spans="8:8">
      <c r="C953">
        <f>_xlfn.XLOOKUP(B953,Lists!B:B,Lists!A:A,"")</f>
        <v>0.0</v>
      </c>
      <c r="G953" t="str">
        <f t="shared" si="71"/>
        <v/>
      </c>
      <c r="H953" s="20" t="str">
        <f t="shared" si="72"/>
        <v/>
      </c>
      <c r="J953" t="str">
        <f>IF(I953="","",_xlfn.XLOOKUP(I953,Lists!$C:$C,Lists!$D:$D))</f>
        <v/>
      </c>
      <c r="N953" t="str">
        <f t="shared" si="73"/>
        <v/>
      </c>
      <c r="O953" t="str">
        <f>IF(I953="","",_xlfn.XLOOKUP(I953,Lists!$C:$C,Lists!$J:$J))</f>
        <v/>
      </c>
      <c r="P953" t="str">
        <f>IF(I953="","",_xlfn.XLOOKUP(I953,Lists!$C:$C,Lists!$E:$E))</f>
        <v/>
      </c>
      <c r="Q953" s="21" t="str">
        <f t="shared" si="74"/>
        <v/>
      </c>
      <c r="R953" t="str">
        <f t="shared" si="75"/>
        <v/>
      </c>
      <c r="S953" t="str">
        <f>IF(I953="","",_xlfn.XLOOKUP(I953,Lists!$C:$C,Lists!$I:$I))</f>
        <v/>
      </c>
    </row>
    <row r="954" spans="8:8">
      <c r="C954">
        <f>_xlfn.XLOOKUP(B954,Lists!B:B,Lists!A:A,"")</f>
        <v>0.0</v>
      </c>
      <c r="G954" t="str">
        <f t="shared" si="71"/>
        <v/>
      </c>
      <c r="H954" s="20" t="str">
        <f t="shared" si="72"/>
        <v/>
      </c>
      <c r="J954" t="str">
        <f>IF(I954="","",_xlfn.XLOOKUP(I954,Lists!$C:$C,Lists!$D:$D))</f>
        <v/>
      </c>
      <c r="N954" t="str">
        <f t="shared" si="73"/>
        <v/>
      </c>
      <c r="O954" t="str">
        <f>IF(I954="","",_xlfn.XLOOKUP(I954,Lists!$C:$C,Lists!$J:$J))</f>
        <v/>
      </c>
      <c r="P954" t="str">
        <f>IF(I954="","",_xlfn.XLOOKUP(I954,Lists!$C:$C,Lists!$E:$E))</f>
        <v/>
      </c>
      <c r="Q954" s="21" t="str">
        <f t="shared" si="74"/>
        <v/>
      </c>
      <c r="R954" t="str">
        <f t="shared" si="75"/>
        <v/>
      </c>
      <c r="S954" t="str">
        <f>IF(I954="","",_xlfn.XLOOKUP(I954,Lists!$C:$C,Lists!$I:$I))</f>
        <v/>
      </c>
    </row>
    <row r="955" spans="8:8">
      <c r="C955">
        <f>_xlfn.XLOOKUP(B955,Lists!B:B,Lists!A:A,"")</f>
        <v>0.0</v>
      </c>
      <c r="G955" t="str">
        <f t="shared" si="71"/>
        <v/>
      </c>
      <c r="H955" s="20" t="str">
        <f t="shared" si="72"/>
        <v/>
      </c>
      <c r="J955" t="str">
        <f>IF(I955="","",_xlfn.XLOOKUP(I955,Lists!$C:$C,Lists!$D:$D))</f>
        <v/>
      </c>
      <c r="N955" t="str">
        <f t="shared" si="73"/>
        <v/>
      </c>
      <c r="O955" t="str">
        <f>IF(I955="","",_xlfn.XLOOKUP(I955,Lists!$C:$C,Lists!$J:$J))</f>
        <v/>
      </c>
      <c r="P955" t="str">
        <f>IF(I955="","",_xlfn.XLOOKUP(I955,Lists!$C:$C,Lists!$E:$E))</f>
        <v/>
      </c>
      <c r="Q955" s="21" t="str">
        <f t="shared" si="74"/>
        <v/>
      </c>
      <c r="R955" t="str">
        <f t="shared" si="75"/>
        <v/>
      </c>
      <c r="S955" t="str">
        <f>IF(I955="","",_xlfn.XLOOKUP(I955,Lists!$C:$C,Lists!$I:$I))</f>
        <v/>
      </c>
    </row>
    <row r="956" spans="8:8">
      <c r="C956">
        <f>_xlfn.XLOOKUP(B956,Lists!B:B,Lists!A:A,"")</f>
        <v>0.0</v>
      </c>
      <c r="G956" t="str">
        <f t="shared" si="71"/>
        <v/>
      </c>
      <c r="H956" s="20" t="str">
        <f t="shared" si="72"/>
        <v/>
      </c>
      <c r="J956" t="str">
        <f>IF(I956="","",_xlfn.XLOOKUP(I956,Lists!$C:$C,Lists!$D:$D))</f>
        <v/>
      </c>
      <c r="N956" t="str">
        <f t="shared" si="73"/>
        <v/>
      </c>
      <c r="O956" t="str">
        <f>IF(I956="","",_xlfn.XLOOKUP(I956,Lists!$C:$C,Lists!$J:$J))</f>
        <v/>
      </c>
      <c r="P956" t="str">
        <f>IF(I956="","",_xlfn.XLOOKUP(I956,Lists!$C:$C,Lists!$E:$E))</f>
        <v/>
      </c>
      <c r="Q956" s="21" t="str">
        <f t="shared" si="74"/>
        <v/>
      </c>
      <c r="R956" t="str">
        <f t="shared" si="75"/>
        <v/>
      </c>
      <c r="S956" t="str">
        <f>IF(I956="","",_xlfn.XLOOKUP(I956,Lists!$C:$C,Lists!$I:$I))</f>
        <v/>
      </c>
    </row>
    <row r="957" spans="8:8">
      <c r="C957">
        <f>_xlfn.XLOOKUP(B957,Lists!B:B,Lists!A:A,"")</f>
        <v>0.0</v>
      </c>
      <c r="G957" t="str">
        <f t="shared" si="71"/>
        <v/>
      </c>
      <c r="H957" s="20" t="str">
        <f t="shared" si="72"/>
        <v/>
      </c>
      <c r="J957" t="str">
        <f>IF(I957="","",_xlfn.XLOOKUP(I957,Lists!$C:$C,Lists!$D:$D))</f>
        <v/>
      </c>
      <c r="N957" t="str">
        <f t="shared" si="73"/>
        <v/>
      </c>
      <c r="O957" t="str">
        <f>IF(I957="","",_xlfn.XLOOKUP(I957,Lists!$C:$C,Lists!$J:$J))</f>
        <v/>
      </c>
      <c r="P957" t="str">
        <f>IF(I957="","",_xlfn.XLOOKUP(I957,Lists!$C:$C,Lists!$E:$E))</f>
        <v/>
      </c>
      <c r="Q957" s="21" t="str">
        <f t="shared" si="74"/>
        <v/>
      </c>
      <c r="R957" t="str">
        <f t="shared" si="75"/>
        <v/>
      </c>
      <c r="S957" t="str">
        <f>IF(I957="","",_xlfn.XLOOKUP(I957,Lists!$C:$C,Lists!$I:$I))</f>
        <v/>
      </c>
    </row>
    <row r="958" spans="8:8">
      <c r="C958">
        <f>_xlfn.XLOOKUP(B958,Lists!B:B,Lists!A:A,"")</f>
        <v>0.0</v>
      </c>
      <c r="G958" t="str">
        <f t="shared" si="71"/>
        <v/>
      </c>
      <c r="H958" s="20" t="str">
        <f t="shared" si="72"/>
        <v/>
      </c>
      <c r="J958" t="str">
        <f>IF(I958="","",_xlfn.XLOOKUP(I958,Lists!$C:$C,Lists!$D:$D))</f>
        <v/>
      </c>
      <c r="N958" t="str">
        <f t="shared" si="73"/>
        <v/>
      </c>
      <c r="O958" t="str">
        <f>IF(I958="","",_xlfn.XLOOKUP(I958,Lists!$C:$C,Lists!$J:$J))</f>
        <v/>
      </c>
      <c r="P958" t="str">
        <f>IF(I958="","",_xlfn.XLOOKUP(I958,Lists!$C:$C,Lists!$E:$E))</f>
        <v/>
      </c>
      <c r="Q958" s="21" t="str">
        <f t="shared" si="74"/>
        <v/>
      </c>
      <c r="R958" t="str">
        <f t="shared" si="75"/>
        <v/>
      </c>
      <c r="S958" t="str">
        <f>IF(I958="","",_xlfn.XLOOKUP(I958,Lists!$C:$C,Lists!$I:$I))</f>
        <v/>
      </c>
    </row>
    <row r="959" spans="8:8">
      <c r="C959">
        <f>_xlfn.XLOOKUP(B959,Lists!B:B,Lists!A:A,"")</f>
        <v>0.0</v>
      </c>
      <c r="G959" t="str">
        <f t="shared" si="71"/>
        <v/>
      </c>
      <c r="H959" s="20" t="str">
        <f t="shared" si="72"/>
        <v/>
      </c>
      <c r="J959" t="str">
        <f>IF(I959="","",_xlfn.XLOOKUP(I959,Lists!$C:$C,Lists!$D:$D))</f>
        <v/>
      </c>
      <c r="N959" t="str">
        <f t="shared" si="73"/>
        <v/>
      </c>
      <c r="O959" t="str">
        <f>IF(I959="","",_xlfn.XLOOKUP(I959,Lists!$C:$C,Lists!$J:$J))</f>
        <v/>
      </c>
      <c r="P959" t="str">
        <f>IF(I959="","",_xlfn.XLOOKUP(I959,Lists!$C:$C,Lists!$E:$E))</f>
        <v/>
      </c>
      <c r="Q959" s="21" t="str">
        <f t="shared" si="74"/>
        <v/>
      </c>
      <c r="R959" t="str">
        <f t="shared" si="75"/>
        <v/>
      </c>
      <c r="S959" t="str">
        <f>IF(I959="","",_xlfn.XLOOKUP(I959,Lists!$C:$C,Lists!$I:$I))</f>
        <v/>
      </c>
    </row>
    <row r="960" spans="8:8">
      <c r="C960">
        <f>_xlfn.XLOOKUP(B960,Lists!B:B,Lists!A:A,"")</f>
        <v>0.0</v>
      </c>
      <c r="G960" t="str">
        <f t="shared" si="71"/>
        <v/>
      </c>
      <c r="H960" s="20" t="str">
        <f t="shared" si="72"/>
        <v/>
      </c>
      <c r="J960" t="str">
        <f>IF(I960="","",_xlfn.XLOOKUP(I960,Lists!$C:$C,Lists!$D:$D))</f>
        <v/>
      </c>
      <c r="N960" t="str">
        <f t="shared" si="73"/>
        <v/>
      </c>
      <c r="O960" t="str">
        <f>IF(I960="","",_xlfn.XLOOKUP(I960,Lists!$C:$C,Lists!$J:$J))</f>
        <v/>
      </c>
      <c r="P960" t="str">
        <f>IF(I960="","",_xlfn.XLOOKUP(I960,Lists!$C:$C,Lists!$E:$E))</f>
        <v/>
      </c>
      <c r="Q960" s="21" t="str">
        <f t="shared" si="74"/>
        <v/>
      </c>
      <c r="R960" t="str">
        <f t="shared" si="75"/>
        <v/>
      </c>
      <c r="S960" t="str">
        <f>IF(I960="","",_xlfn.XLOOKUP(I960,Lists!$C:$C,Lists!$I:$I))</f>
        <v/>
      </c>
    </row>
    <row r="961" spans="8:8">
      <c r="C961">
        <f>_xlfn.XLOOKUP(B961,Lists!B:B,Lists!A:A,"")</f>
        <v>0.0</v>
      </c>
      <c r="G961" t="str">
        <f t="shared" si="71"/>
        <v/>
      </c>
      <c r="H961" s="20" t="str">
        <f t="shared" si="72"/>
        <v/>
      </c>
      <c r="J961" t="str">
        <f>IF(I961="","",_xlfn.XLOOKUP(I961,Lists!$C:$C,Lists!$D:$D))</f>
        <v/>
      </c>
      <c r="N961" t="str">
        <f t="shared" si="73"/>
        <v/>
      </c>
      <c r="O961" t="str">
        <f>IF(I961="","",_xlfn.XLOOKUP(I961,Lists!$C:$C,Lists!$J:$J))</f>
        <v/>
      </c>
      <c r="P961" t="str">
        <f>IF(I961="","",_xlfn.XLOOKUP(I961,Lists!$C:$C,Lists!$E:$E))</f>
        <v/>
      </c>
      <c r="Q961" s="21" t="str">
        <f t="shared" si="74"/>
        <v/>
      </c>
      <c r="R961" t="str">
        <f t="shared" si="75"/>
        <v/>
      </c>
      <c r="S961" t="str">
        <f>IF(I961="","",_xlfn.XLOOKUP(I961,Lists!$C:$C,Lists!$I:$I))</f>
        <v/>
      </c>
    </row>
    <row r="962" spans="8:8">
      <c r="C962">
        <f>_xlfn.XLOOKUP(B962,Lists!B:B,Lists!A:A,"")</f>
        <v>0.0</v>
      </c>
      <c r="G962" t="str">
        <f t="shared" si="71"/>
        <v/>
      </c>
      <c r="H962" s="20" t="str">
        <f t="shared" si="72"/>
        <v/>
      </c>
      <c r="J962" t="str">
        <f>IF(I962="","",_xlfn.XLOOKUP(I962,Lists!$C:$C,Lists!$D:$D))</f>
        <v/>
      </c>
      <c r="N962" t="str">
        <f t="shared" si="73"/>
        <v/>
      </c>
      <c r="O962" t="str">
        <f>IF(I962="","",_xlfn.XLOOKUP(I962,Lists!$C:$C,Lists!$J:$J))</f>
        <v/>
      </c>
      <c r="P962" t="str">
        <f>IF(I962="","",_xlfn.XLOOKUP(I962,Lists!$C:$C,Lists!$E:$E))</f>
        <v/>
      </c>
      <c r="Q962" s="21" t="str">
        <f t="shared" si="74"/>
        <v/>
      </c>
      <c r="R962" t="str">
        <f t="shared" si="75"/>
        <v/>
      </c>
      <c r="S962" t="str">
        <f>IF(I962="","",_xlfn.XLOOKUP(I962,Lists!$C:$C,Lists!$I:$I))</f>
        <v/>
      </c>
    </row>
    <row r="963" spans="8:8">
      <c r="C963">
        <f>_xlfn.XLOOKUP(B963,Lists!B:B,Lists!A:A,"")</f>
        <v>0.0</v>
      </c>
      <c r="G963" t="str">
        <f t="shared" si="71"/>
        <v/>
      </c>
      <c r="H963" s="20" t="str">
        <f t="shared" si="72"/>
        <v/>
      </c>
      <c r="J963" t="str">
        <f>IF(I963="","",_xlfn.XLOOKUP(I963,Lists!$C:$C,Lists!$D:$D))</f>
        <v/>
      </c>
      <c r="N963" t="str">
        <f t="shared" si="73"/>
        <v/>
      </c>
      <c r="O963" t="str">
        <f>IF(I963="","",_xlfn.XLOOKUP(I963,Lists!$C:$C,Lists!$J:$J))</f>
        <v/>
      </c>
      <c r="P963" t="str">
        <f>IF(I963="","",_xlfn.XLOOKUP(I963,Lists!$C:$C,Lists!$E:$E))</f>
        <v/>
      </c>
      <c r="Q963" s="21" t="str">
        <f t="shared" si="74"/>
        <v/>
      </c>
      <c r="R963" t="str">
        <f t="shared" si="75"/>
        <v/>
      </c>
      <c r="S963" t="str">
        <f>IF(I963="","",_xlfn.XLOOKUP(I963,Lists!$C:$C,Lists!$I:$I))</f>
        <v/>
      </c>
    </row>
    <row r="964" spans="8:8">
      <c r="C964">
        <f>_xlfn.XLOOKUP(B964,Lists!B:B,Lists!A:A,"")</f>
        <v>0.0</v>
      </c>
      <c r="G964" t="str">
        <f t="shared" si="71"/>
        <v/>
      </c>
      <c r="H964" s="20" t="str">
        <f t="shared" si="72"/>
        <v/>
      </c>
      <c r="J964" t="str">
        <f>IF(I964="","",_xlfn.XLOOKUP(I964,Lists!$C:$C,Lists!$D:$D))</f>
        <v/>
      </c>
      <c r="N964" t="str">
        <f t="shared" si="73"/>
        <v/>
      </c>
      <c r="O964" t="str">
        <f>IF(I964="","",_xlfn.XLOOKUP(I964,Lists!$C:$C,Lists!$J:$J))</f>
        <v/>
      </c>
      <c r="P964" t="str">
        <f>IF(I964="","",_xlfn.XLOOKUP(I964,Lists!$C:$C,Lists!$E:$E))</f>
        <v/>
      </c>
      <c r="Q964" s="21" t="str">
        <f t="shared" si="74"/>
        <v/>
      </c>
      <c r="R964" t="str">
        <f t="shared" si="75"/>
        <v/>
      </c>
      <c r="S964" t="str">
        <f>IF(I964="","",_xlfn.XLOOKUP(I964,Lists!$C:$C,Lists!$I:$I))</f>
        <v/>
      </c>
    </row>
    <row r="965" spans="8:8">
      <c r="C965">
        <f>_xlfn.XLOOKUP(B965,Lists!B:B,Lists!A:A,"")</f>
        <v>0.0</v>
      </c>
      <c r="G965" t="str">
        <f t="shared" si="71"/>
        <v/>
      </c>
      <c r="H965" s="20" t="str">
        <f t="shared" si="72"/>
        <v/>
      </c>
      <c r="J965" t="str">
        <f>IF(I965="","",_xlfn.XLOOKUP(I965,Lists!$C:$C,Lists!$D:$D))</f>
        <v/>
      </c>
      <c r="N965" t="str">
        <f t="shared" si="73"/>
        <v/>
      </c>
      <c r="O965" t="str">
        <f>IF(I965="","",_xlfn.XLOOKUP(I965,Lists!$C:$C,Lists!$J:$J))</f>
        <v/>
      </c>
      <c r="P965" t="str">
        <f>IF(I965="","",_xlfn.XLOOKUP(I965,Lists!$C:$C,Lists!$E:$E))</f>
        <v/>
      </c>
      <c r="Q965" s="21" t="str">
        <f t="shared" si="74"/>
        <v/>
      </c>
      <c r="R965" t="str">
        <f t="shared" si="75"/>
        <v/>
      </c>
      <c r="S965" t="str">
        <f>IF(I965="","",_xlfn.XLOOKUP(I965,Lists!$C:$C,Lists!$I:$I))</f>
        <v/>
      </c>
    </row>
    <row r="966" spans="8:8">
      <c r="C966">
        <f>_xlfn.XLOOKUP(B966,Lists!B:B,Lists!A:A,"")</f>
        <v>0.0</v>
      </c>
      <c r="G966" t="str">
        <f t="shared" si="71"/>
        <v/>
      </c>
      <c r="H966" s="20" t="str">
        <f t="shared" si="72"/>
        <v/>
      </c>
      <c r="J966" t="str">
        <f>IF(I966="","",_xlfn.XLOOKUP(I966,Lists!$C:$C,Lists!$D:$D))</f>
        <v/>
      </c>
      <c r="N966" t="str">
        <f t="shared" si="73"/>
        <v/>
      </c>
      <c r="O966" t="str">
        <f>IF(I966="","",_xlfn.XLOOKUP(I966,Lists!$C:$C,Lists!$J:$J))</f>
        <v/>
      </c>
      <c r="P966" t="str">
        <f>IF(I966="","",_xlfn.XLOOKUP(I966,Lists!$C:$C,Lists!$E:$E))</f>
        <v/>
      </c>
      <c r="Q966" s="21" t="str">
        <f t="shared" si="74"/>
        <v/>
      </c>
      <c r="R966" t="str">
        <f t="shared" si="75"/>
        <v/>
      </c>
      <c r="S966" t="str">
        <f>IF(I966="","",_xlfn.XLOOKUP(I966,Lists!$C:$C,Lists!$I:$I))</f>
        <v/>
      </c>
    </row>
    <row r="967" spans="8:8">
      <c r="C967">
        <f>_xlfn.XLOOKUP(B967,Lists!B:B,Lists!A:A,"")</f>
        <v>0.0</v>
      </c>
      <c r="G967" t="str">
        <f t="shared" si="71"/>
        <v/>
      </c>
      <c r="H967" s="20" t="str">
        <f t="shared" si="72"/>
        <v/>
      </c>
      <c r="J967" t="str">
        <f>IF(I967="","",_xlfn.XLOOKUP(I967,Lists!$C:$C,Lists!$D:$D))</f>
        <v/>
      </c>
      <c r="N967" t="str">
        <f t="shared" si="73"/>
        <v/>
      </c>
      <c r="O967" t="str">
        <f>IF(I967="","",_xlfn.XLOOKUP(I967,Lists!$C:$C,Lists!$J:$J))</f>
        <v/>
      </c>
      <c r="P967" t="str">
        <f>IF(I967="","",_xlfn.XLOOKUP(I967,Lists!$C:$C,Lists!$E:$E))</f>
        <v/>
      </c>
      <c r="Q967" s="21" t="str">
        <f t="shared" si="74"/>
        <v/>
      </c>
      <c r="R967" t="str">
        <f t="shared" si="75"/>
        <v/>
      </c>
      <c r="S967" t="str">
        <f>IF(I967="","",_xlfn.XLOOKUP(I967,Lists!$C:$C,Lists!$I:$I))</f>
        <v/>
      </c>
    </row>
    <row r="968" spans="8:8">
      <c r="C968">
        <f>_xlfn.XLOOKUP(B968,Lists!B:B,Lists!A:A,"")</f>
        <v>0.0</v>
      </c>
      <c r="G968" t="str">
        <f t="shared" si="71"/>
        <v/>
      </c>
      <c r="H968" s="20" t="str">
        <f t="shared" si="72"/>
        <v/>
      </c>
      <c r="J968" t="str">
        <f>IF(I968="","",_xlfn.XLOOKUP(I968,Lists!$C:$C,Lists!$D:$D))</f>
        <v/>
      </c>
      <c r="N968" t="str">
        <f t="shared" si="73"/>
        <v/>
      </c>
      <c r="O968" t="str">
        <f>IF(I968="","",_xlfn.XLOOKUP(I968,Lists!$C:$C,Lists!$J:$J))</f>
        <v/>
      </c>
      <c r="P968" t="str">
        <f>IF(I968="","",_xlfn.XLOOKUP(I968,Lists!$C:$C,Lists!$E:$E))</f>
        <v/>
      </c>
      <c r="Q968" s="21" t="str">
        <f t="shared" si="74"/>
        <v/>
      </c>
      <c r="R968" t="str">
        <f t="shared" si="75"/>
        <v/>
      </c>
      <c r="S968" t="str">
        <f>IF(I968="","",_xlfn.XLOOKUP(I968,Lists!$C:$C,Lists!$I:$I))</f>
        <v/>
      </c>
    </row>
    <row r="969" spans="8:8">
      <c r="C969">
        <f>_xlfn.XLOOKUP(B969,Lists!B:B,Lists!A:A,"")</f>
        <v>0.0</v>
      </c>
      <c r="G969" t="str">
        <f t="shared" si="71"/>
        <v/>
      </c>
      <c r="H969" s="20" t="str">
        <f t="shared" si="72"/>
        <v/>
      </c>
      <c r="J969" t="str">
        <f>IF(I969="","",_xlfn.XLOOKUP(I969,Lists!$C:$C,Lists!$D:$D))</f>
        <v/>
      </c>
      <c r="N969" t="str">
        <f t="shared" si="73"/>
        <v/>
      </c>
      <c r="O969" t="str">
        <f>IF(I969="","",_xlfn.XLOOKUP(I969,Lists!$C:$C,Lists!$J:$J))</f>
        <v/>
      </c>
      <c r="P969" t="str">
        <f>IF(I969="","",_xlfn.XLOOKUP(I969,Lists!$C:$C,Lists!$E:$E))</f>
        <v/>
      </c>
      <c r="Q969" s="21" t="str">
        <f t="shared" si="74"/>
        <v/>
      </c>
      <c r="R969" t="str">
        <f t="shared" si="75"/>
        <v/>
      </c>
      <c r="S969" t="str">
        <f>IF(I969="","",_xlfn.XLOOKUP(I969,Lists!$C:$C,Lists!$I:$I))</f>
        <v/>
      </c>
    </row>
    <row r="970" spans="8:8">
      <c r="C970">
        <f>_xlfn.XLOOKUP(B970,Lists!B:B,Lists!A:A,"")</f>
        <v>0.0</v>
      </c>
      <c r="G970" t="str">
        <f t="shared" si="71"/>
        <v/>
      </c>
      <c r="H970" s="20" t="str">
        <f t="shared" si="72"/>
        <v/>
      </c>
      <c r="J970" t="str">
        <f>IF(I970="","",_xlfn.XLOOKUP(I970,Lists!$C:$C,Lists!$D:$D))</f>
        <v/>
      </c>
      <c r="N970" t="str">
        <f t="shared" si="73"/>
        <v/>
      </c>
      <c r="O970" t="str">
        <f>IF(I970="","",_xlfn.XLOOKUP(I970,Lists!$C:$C,Lists!$J:$J))</f>
        <v/>
      </c>
      <c r="P970" t="str">
        <f>IF(I970="","",_xlfn.XLOOKUP(I970,Lists!$C:$C,Lists!$E:$E))</f>
        <v/>
      </c>
      <c r="Q970" s="21" t="str">
        <f t="shared" si="74"/>
        <v/>
      </c>
      <c r="R970" t="str">
        <f t="shared" si="75"/>
        <v/>
      </c>
      <c r="S970" t="str">
        <f>IF(I970="","",_xlfn.XLOOKUP(I970,Lists!$C:$C,Lists!$I:$I))</f>
        <v/>
      </c>
    </row>
    <row r="971" spans="8:8">
      <c r="C971">
        <f>_xlfn.XLOOKUP(B971,Lists!B:B,Lists!A:A,"")</f>
        <v>0.0</v>
      </c>
      <c r="G971" t="str">
        <f t="shared" si="76" ref="G971:G1026">IF(OR(E971="",F971=""),"",F971-E971+1)</f>
        <v/>
      </c>
      <c r="H971" s="20" t="str">
        <f t="shared" si="77" ref="H971:H1026">IF(D971="","",IF(OR(D971="A",D971="B"),G971/80,IF(D971="A&amp;B",G971/160,"")))</f>
        <v/>
      </c>
      <c r="J971" t="str">
        <f>IF(I971="","",_xlfn.XLOOKUP(I971,Lists!$C:$C,Lists!$D:$D))</f>
        <v/>
      </c>
      <c r="N971" t="str">
        <f t="shared" si="78" ref="N971:N1026">IF(OR(M971="",L971=""),"",(M971*L971)/100000)</f>
        <v/>
      </c>
      <c r="O971" t="str">
        <f>IF(I971="","",_xlfn.XLOOKUP(I971,Lists!$C:$C,Lists!$J:$J))</f>
        <v/>
      </c>
      <c r="P971" t="str">
        <f>IF(I971="","",_xlfn.XLOOKUP(I971,Lists!$C:$C,Lists!$E:$E))</f>
        <v/>
      </c>
      <c r="Q971" s="21" t="str">
        <f t="shared" si="79" ref="Q971:Q1026">IF(OR(A971="",P971=""),"",A971+P971+1)</f>
        <v/>
      </c>
      <c r="R971" t="str">
        <f t="shared" si="80" ref="R971:R1026">IF(Q971="","",IF(Q971&lt;=TODAY(),"Allow","Not Allow"))</f>
        <v/>
      </c>
      <c r="S971" t="str">
        <f>IF(I971="","",_xlfn.XLOOKUP(I971,Lists!$C:$C,Lists!$I:$I))</f>
        <v/>
      </c>
    </row>
    <row r="972" spans="8:8">
      <c r="C972">
        <f>_xlfn.XLOOKUP(B972,Lists!B:B,Lists!A:A,"")</f>
        <v>0.0</v>
      </c>
      <c r="G972" t="str">
        <f t="shared" si="76"/>
        <v/>
      </c>
      <c r="H972" s="20" t="str">
        <f t="shared" si="77"/>
        <v/>
      </c>
      <c r="J972" t="str">
        <f>IF(I972="","",_xlfn.XLOOKUP(I972,Lists!$C:$C,Lists!$D:$D))</f>
        <v/>
      </c>
      <c r="N972" t="str">
        <f t="shared" si="78"/>
        <v/>
      </c>
      <c r="O972" t="str">
        <f>IF(I972="","",_xlfn.XLOOKUP(I972,Lists!$C:$C,Lists!$J:$J))</f>
        <v/>
      </c>
      <c r="P972" t="str">
        <f>IF(I972="","",_xlfn.XLOOKUP(I972,Lists!$C:$C,Lists!$E:$E))</f>
        <v/>
      </c>
      <c r="Q972" s="21" t="str">
        <f t="shared" si="79"/>
        <v/>
      </c>
      <c r="R972" t="str">
        <f t="shared" si="80"/>
        <v/>
      </c>
      <c r="S972" t="str">
        <f>IF(I972="","",_xlfn.XLOOKUP(I972,Lists!$C:$C,Lists!$I:$I))</f>
        <v/>
      </c>
    </row>
    <row r="973" spans="8:8">
      <c r="C973">
        <f>_xlfn.XLOOKUP(B973,Lists!B:B,Lists!A:A,"")</f>
        <v>0.0</v>
      </c>
      <c r="G973" t="str">
        <f t="shared" si="76"/>
        <v/>
      </c>
      <c r="H973" s="20" t="str">
        <f t="shared" si="77"/>
        <v/>
      </c>
      <c r="J973" t="str">
        <f>IF(I973="","",_xlfn.XLOOKUP(I973,Lists!$C:$C,Lists!$D:$D))</f>
        <v/>
      </c>
      <c r="N973" t="str">
        <f t="shared" si="78"/>
        <v/>
      </c>
      <c r="O973" t="str">
        <f>IF(I973="","",_xlfn.XLOOKUP(I973,Lists!$C:$C,Lists!$J:$J))</f>
        <v/>
      </c>
      <c r="P973" t="str">
        <f>IF(I973="","",_xlfn.XLOOKUP(I973,Lists!$C:$C,Lists!$E:$E))</f>
        <v/>
      </c>
      <c r="Q973" s="21" t="str">
        <f t="shared" si="79"/>
        <v/>
      </c>
      <c r="R973" t="str">
        <f t="shared" si="80"/>
        <v/>
      </c>
      <c r="S973" t="str">
        <f>IF(I973="","",_xlfn.XLOOKUP(I973,Lists!$C:$C,Lists!$I:$I))</f>
        <v/>
      </c>
    </row>
    <row r="974" spans="8:8">
      <c r="C974">
        <f>_xlfn.XLOOKUP(B974,Lists!B:B,Lists!A:A,"")</f>
        <v>0.0</v>
      </c>
      <c r="G974" t="str">
        <f t="shared" si="76"/>
        <v/>
      </c>
      <c r="H974" s="20" t="str">
        <f t="shared" si="77"/>
        <v/>
      </c>
      <c r="J974" t="str">
        <f>IF(I974="","",_xlfn.XLOOKUP(I974,Lists!$C:$C,Lists!$D:$D))</f>
        <v/>
      </c>
      <c r="N974" t="str">
        <f t="shared" si="78"/>
        <v/>
      </c>
      <c r="O974" t="str">
        <f>IF(I974="","",_xlfn.XLOOKUP(I974,Lists!$C:$C,Lists!$J:$J))</f>
        <v/>
      </c>
      <c r="P974" t="str">
        <f>IF(I974="","",_xlfn.XLOOKUP(I974,Lists!$C:$C,Lists!$E:$E))</f>
        <v/>
      </c>
      <c r="Q974" s="21" t="str">
        <f t="shared" si="79"/>
        <v/>
      </c>
      <c r="R974" t="str">
        <f t="shared" si="80"/>
        <v/>
      </c>
      <c r="S974" t="str">
        <f>IF(I974="","",_xlfn.XLOOKUP(I974,Lists!$C:$C,Lists!$I:$I))</f>
        <v/>
      </c>
    </row>
    <row r="975" spans="8:8">
      <c r="C975">
        <f>_xlfn.XLOOKUP(B975,Lists!B:B,Lists!A:A,"")</f>
        <v>0.0</v>
      </c>
      <c r="G975" t="str">
        <f t="shared" si="76"/>
        <v/>
      </c>
      <c r="H975" s="20" t="str">
        <f t="shared" si="77"/>
        <v/>
      </c>
      <c r="J975" t="str">
        <f>IF(I975="","",_xlfn.XLOOKUP(I975,Lists!$C:$C,Lists!$D:$D))</f>
        <v/>
      </c>
      <c r="N975" t="str">
        <f t="shared" si="78"/>
        <v/>
      </c>
      <c r="O975" t="str">
        <f>IF(I975="","",_xlfn.XLOOKUP(I975,Lists!$C:$C,Lists!$J:$J))</f>
        <v/>
      </c>
      <c r="P975" t="str">
        <f>IF(I975="","",_xlfn.XLOOKUP(I975,Lists!$C:$C,Lists!$E:$E))</f>
        <v/>
      </c>
      <c r="Q975" s="21" t="str">
        <f t="shared" si="79"/>
        <v/>
      </c>
      <c r="R975" t="str">
        <f t="shared" si="80"/>
        <v/>
      </c>
      <c r="S975" t="str">
        <f>IF(I975="","",_xlfn.XLOOKUP(I975,Lists!$C:$C,Lists!$I:$I))</f>
        <v/>
      </c>
    </row>
    <row r="976" spans="8:8">
      <c r="C976">
        <f>_xlfn.XLOOKUP(B976,Lists!B:B,Lists!A:A,"")</f>
        <v>0.0</v>
      </c>
      <c r="G976" t="str">
        <f t="shared" si="76"/>
        <v/>
      </c>
      <c r="H976" s="20" t="str">
        <f t="shared" si="77"/>
        <v/>
      </c>
      <c r="J976" t="str">
        <f>IF(I976="","",_xlfn.XLOOKUP(I976,Lists!$C:$C,Lists!$D:$D))</f>
        <v/>
      </c>
      <c r="N976" t="str">
        <f t="shared" si="78"/>
        <v/>
      </c>
      <c r="O976" t="str">
        <f>IF(I976="","",_xlfn.XLOOKUP(I976,Lists!$C:$C,Lists!$J:$J))</f>
        <v/>
      </c>
      <c r="P976" t="str">
        <f>IF(I976="","",_xlfn.XLOOKUP(I976,Lists!$C:$C,Lists!$E:$E))</f>
        <v/>
      </c>
      <c r="Q976" s="21" t="str">
        <f t="shared" si="79"/>
        <v/>
      </c>
      <c r="R976" t="str">
        <f t="shared" si="80"/>
        <v/>
      </c>
      <c r="S976" t="str">
        <f>IF(I976="","",_xlfn.XLOOKUP(I976,Lists!$C:$C,Lists!$I:$I))</f>
        <v/>
      </c>
    </row>
    <row r="977" spans="8:8">
      <c r="C977">
        <f>_xlfn.XLOOKUP(B977,Lists!B:B,Lists!A:A,"")</f>
        <v>0.0</v>
      </c>
      <c r="G977" t="str">
        <f t="shared" si="76"/>
        <v/>
      </c>
      <c r="H977" s="20" t="str">
        <f t="shared" si="77"/>
        <v/>
      </c>
      <c r="J977" t="str">
        <f>IF(I977="","",_xlfn.XLOOKUP(I977,Lists!$C:$C,Lists!$D:$D))</f>
        <v/>
      </c>
      <c r="N977" t="str">
        <f t="shared" si="78"/>
        <v/>
      </c>
      <c r="O977" t="str">
        <f>IF(I977="","",_xlfn.XLOOKUP(I977,Lists!$C:$C,Lists!$J:$J))</f>
        <v/>
      </c>
      <c r="P977" t="str">
        <f>IF(I977="","",_xlfn.XLOOKUP(I977,Lists!$C:$C,Lists!$E:$E))</f>
        <v/>
      </c>
      <c r="Q977" s="21" t="str">
        <f t="shared" si="79"/>
        <v/>
      </c>
      <c r="R977" t="str">
        <f t="shared" si="80"/>
        <v/>
      </c>
      <c r="S977" t="str">
        <f>IF(I977="","",_xlfn.XLOOKUP(I977,Lists!$C:$C,Lists!$I:$I))</f>
        <v/>
      </c>
    </row>
    <row r="978" spans="8:8">
      <c r="C978">
        <f>_xlfn.XLOOKUP(B978,Lists!B:B,Lists!A:A,"")</f>
        <v>0.0</v>
      </c>
      <c r="G978" t="str">
        <f t="shared" si="76"/>
        <v/>
      </c>
      <c r="H978" s="20" t="str">
        <f t="shared" si="77"/>
        <v/>
      </c>
      <c r="J978" t="str">
        <f>IF(I978="","",_xlfn.XLOOKUP(I978,Lists!$C:$C,Lists!$D:$D))</f>
        <v/>
      </c>
      <c r="N978" t="str">
        <f t="shared" si="78"/>
        <v/>
      </c>
      <c r="O978" t="str">
        <f>IF(I978="","",_xlfn.XLOOKUP(I978,Lists!$C:$C,Lists!$J:$J))</f>
        <v/>
      </c>
      <c r="P978" t="str">
        <f>IF(I978="","",_xlfn.XLOOKUP(I978,Lists!$C:$C,Lists!$E:$E))</f>
        <v/>
      </c>
      <c r="Q978" s="21" t="str">
        <f t="shared" si="79"/>
        <v/>
      </c>
      <c r="R978" t="str">
        <f t="shared" si="80"/>
        <v/>
      </c>
      <c r="S978" t="str">
        <f>IF(I978="","",_xlfn.XLOOKUP(I978,Lists!$C:$C,Lists!$I:$I))</f>
        <v/>
      </c>
    </row>
    <row r="979" spans="8:8">
      <c r="C979">
        <f>_xlfn.XLOOKUP(B979,Lists!B:B,Lists!A:A,"")</f>
        <v>0.0</v>
      </c>
      <c r="G979" t="str">
        <f t="shared" si="76"/>
        <v/>
      </c>
      <c r="H979" s="20" t="str">
        <f t="shared" si="77"/>
        <v/>
      </c>
      <c r="J979" t="str">
        <f>IF(I979="","",_xlfn.XLOOKUP(I979,Lists!$C:$C,Lists!$D:$D))</f>
        <v/>
      </c>
      <c r="N979" t="str">
        <f t="shared" si="78"/>
        <v/>
      </c>
      <c r="O979" t="str">
        <f>IF(I979="","",_xlfn.XLOOKUP(I979,Lists!$C:$C,Lists!$J:$J))</f>
        <v/>
      </c>
      <c r="P979" t="str">
        <f>IF(I979="","",_xlfn.XLOOKUP(I979,Lists!$C:$C,Lists!$E:$E))</f>
        <v/>
      </c>
      <c r="Q979" s="21" t="str">
        <f t="shared" si="79"/>
        <v/>
      </c>
      <c r="R979" t="str">
        <f t="shared" si="80"/>
        <v/>
      </c>
      <c r="S979" t="str">
        <f>IF(I979="","",_xlfn.XLOOKUP(I979,Lists!$C:$C,Lists!$I:$I))</f>
        <v/>
      </c>
    </row>
    <row r="980" spans="8:8">
      <c r="C980">
        <f>_xlfn.XLOOKUP(B980,Lists!B:B,Lists!A:A,"")</f>
        <v>0.0</v>
      </c>
      <c r="G980" t="str">
        <f t="shared" si="76"/>
        <v/>
      </c>
      <c r="H980" s="20" t="str">
        <f t="shared" si="77"/>
        <v/>
      </c>
      <c r="J980" t="str">
        <f>IF(I980="","",_xlfn.XLOOKUP(I980,Lists!$C:$C,Lists!$D:$D))</f>
        <v/>
      </c>
      <c r="N980" t="str">
        <f t="shared" si="78"/>
        <v/>
      </c>
      <c r="O980" t="str">
        <f>IF(I980="","",_xlfn.XLOOKUP(I980,Lists!$C:$C,Lists!$J:$J))</f>
        <v/>
      </c>
      <c r="P980" t="str">
        <f>IF(I980="","",_xlfn.XLOOKUP(I980,Lists!$C:$C,Lists!$E:$E))</f>
        <v/>
      </c>
      <c r="Q980" s="21" t="str">
        <f t="shared" si="79"/>
        <v/>
      </c>
      <c r="R980" t="str">
        <f t="shared" si="80"/>
        <v/>
      </c>
      <c r="S980" t="str">
        <f>IF(I980="","",_xlfn.XLOOKUP(I980,Lists!$C:$C,Lists!$I:$I))</f>
        <v/>
      </c>
    </row>
    <row r="981" spans="8:8">
      <c r="C981">
        <f>_xlfn.XLOOKUP(B981,Lists!B:B,Lists!A:A,"")</f>
        <v>0.0</v>
      </c>
      <c r="G981" t="str">
        <f t="shared" si="76"/>
        <v/>
      </c>
      <c r="H981" s="20" t="str">
        <f t="shared" si="77"/>
        <v/>
      </c>
      <c r="J981" t="str">
        <f>IF(I981="","",_xlfn.XLOOKUP(I981,Lists!$C:$C,Lists!$D:$D))</f>
        <v/>
      </c>
      <c r="N981" t="str">
        <f t="shared" si="78"/>
        <v/>
      </c>
      <c r="O981" t="str">
        <f>IF(I981="","",_xlfn.XLOOKUP(I981,Lists!$C:$C,Lists!$J:$J))</f>
        <v/>
      </c>
      <c r="P981" t="str">
        <f>IF(I981="","",_xlfn.XLOOKUP(I981,Lists!$C:$C,Lists!$E:$E))</f>
        <v/>
      </c>
      <c r="Q981" s="21" t="str">
        <f t="shared" si="79"/>
        <v/>
      </c>
      <c r="R981" t="str">
        <f t="shared" si="80"/>
        <v/>
      </c>
      <c r="S981" t="str">
        <f>IF(I981="","",_xlfn.XLOOKUP(I981,Lists!$C:$C,Lists!$I:$I))</f>
        <v/>
      </c>
    </row>
    <row r="982" spans="8:8">
      <c r="C982">
        <f>_xlfn.XLOOKUP(B982,Lists!B:B,Lists!A:A,"")</f>
        <v>0.0</v>
      </c>
      <c r="G982" t="str">
        <f t="shared" si="76"/>
        <v/>
      </c>
      <c r="H982" s="20" t="str">
        <f t="shared" si="77"/>
        <v/>
      </c>
      <c r="J982" t="str">
        <f>IF(I982="","",_xlfn.XLOOKUP(I982,Lists!$C:$C,Lists!$D:$D))</f>
        <v/>
      </c>
      <c r="N982" t="str">
        <f t="shared" si="78"/>
        <v/>
      </c>
      <c r="O982" t="str">
        <f>IF(I982="","",_xlfn.XLOOKUP(I982,Lists!$C:$C,Lists!$J:$J))</f>
        <v/>
      </c>
      <c r="P982" t="str">
        <f>IF(I982="","",_xlfn.XLOOKUP(I982,Lists!$C:$C,Lists!$E:$E))</f>
        <v/>
      </c>
      <c r="Q982" s="21" t="str">
        <f t="shared" si="79"/>
        <v/>
      </c>
      <c r="R982" t="str">
        <f t="shared" si="80"/>
        <v/>
      </c>
      <c r="S982" t="str">
        <f>IF(I982="","",_xlfn.XLOOKUP(I982,Lists!$C:$C,Lists!$I:$I))</f>
        <v/>
      </c>
    </row>
    <row r="983" spans="8:8">
      <c r="C983">
        <f>_xlfn.XLOOKUP(B983,Lists!B:B,Lists!A:A,"")</f>
        <v>0.0</v>
      </c>
      <c r="G983" t="str">
        <f t="shared" si="76"/>
        <v/>
      </c>
      <c r="H983" s="20" t="str">
        <f t="shared" si="77"/>
        <v/>
      </c>
      <c r="J983" t="str">
        <f>IF(I983="","",_xlfn.XLOOKUP(I983,Lists!$C:$C,Lists!$D:$D))</f>
        <v/>
      </c>
      <c r="N983" t="str">
        <f t="shared" si="78"/>
        <v/>
      </c>
      <c r="O983" t="str">
        <f>IF(I983="","",_xlfn.XLOOKUP(I983,Lists!$C:$C,Lists!$J:$J))</f>
        <v/>
      </c>
      <c r="P983" t="str">
        <f>IF(I983="","",_xlfn.XLOOKUP(I983,Lists!$C:$C,Lists!$E:$E))</f>
        <v/>
      </c>
      <c r="Q983" s="21" t="str">
        <f t="shared" si="79"/>
        <v/>
      </c>
      <c r="R983" t="str">
        <f t="shared" si="80"/>
        <v/>
      </c>
      <c r="S983" t="str">
        <f>IF(I983="","",_xlfn.XLOOKUP(I983,Lists!$C:$C,Lists!$I:$I))</f>
        <v/>
      </c>
    </row>
    <row r="984" spans="8:8">
      <c r="C984">
        <f>_xlfn.XLOOKUP(B984,Lists!B:B,Lists!A:A,"")</f>
        <v>0.0</v>
      </c>
      <c r="G984" t="str">
        <f t="shared" si="76"/>
        <v/>
      </c>
      <c r="H984" s="20" t="str">
        <f t="shared" si="77"/>
        <v/>
      </c>
      <c r="J984" t="str">
        <f>IF(I984="","",_xlfn.XLOOKUP(I984,Lists!$C:$C,Lists!$D:$D))</f>
        <v/>
      </c>
      <c r="N984" t="str">
        <f t="shared" si="78"/>
        <v/>
      </c>
      <c r="O984" t="str">
        <f>IF(I984="","",_xlfn.XLOOKUP(I984,Lists!$C:$C,Lists!$J:$J))</f>
        <v/>
      </c>
      <c r="P984" t="str">
        <f>IF(I984="","",_xlfn.XLOOKUP(I984,Lists!$C:$C,Lists!$E:$E))</f>
        <v/>
      </c>
      <c r="Q984" s="21" t="str">
        <f t="shared" si="79"/>
        <v/>
      </c>
      <c r="R984" t="str">
        <f t="shared" si="80"/>
        <v/>
      </c>
      <c r="S984" t="str">
        <f>IF(I984="","",_xlfn.XLOOKUP(I984,Lists!$C:$C,Lists!$I:$I))</f>
        <v/>
      </c>
    </row>
    <row r="985" spans="8:8">
      <c r="C985">
        <f>_xlfn.XLOOKUP(B985,Lists!B:B,Lists!A:A,"")</f>
        <v>0.0</v>
      </c>
      <c r="G985" t="str">
        <f t="shared" si="76"/>
        <v/>
      </c>
      <c r="H985" s="20" t="str">
        <f t="shared" si="77"/>
        <v/>
      </c>
      <c r="J985" t="str">
        <f>IF(I985="","",_xlfn.XLOOKUP(I985,Lists!$C:$C,Lists!$D:$D))</f>
        <v/>
      </c>
      <c r="N985" t="str">
        <f t="shared" si="78"/>
        <v/>
      </c>
      <c r="O985" t="str">
        <f>IF(I985="","",_xlfn.XLOOKUP(I985,Lists!$C:$C,Lists!$J:$J))</f>
        <v/>
      </c>
      <c r="P985" t="str">
        <f>IF(I985="","",_xlfn.XLOOKUP(I985,Lists!$C:$C,Lists!$E:$E))</f>
        <v/>
      </c>
      <c r="Q985" s="21" t="str">
        <f t="shared" si="79"/>
        <v/>
      </c>
      <c r="R985" t="str">
        <f t="shared" si="80"/>
        <v/>
      </c>
      <c r="S985" t="str">
        <f>IF(I985="","",_xlfn.XLOOKUP(I985,Lists!$C:$C,Lists!$I:$I))</f>
        <v/>
      </c>
    </row>
    <row r="986" spans="8:8">
      <c r="C986">
        <f>_xlfn.XLOOKUP(B986,Lists!B:B,Lists!A:A,"")</f>
        <v>0.0</v>
      </c>
      <c r="G986" t="str">
        <f t="shared" si="76"/>
        <v/>
      </c>
      <c r="H986" s="20" t="str">
        <f t="shared" si="77"/>
        <v/>
      </c>
      <c r="J986" t="str">
        <f>IF(I986="","",_xlfn.XLOOKUP(I986,Lists!$C:$C,Lists!$D:$D))</f>
        <v/>
      </c>
      <c r="N986" t="str">
        <f t="shared" si="78"/>
        <v/>
      </c>
      <c r="O986" t="str">
        <f>IF(I986="","",_xlfn.XLOOKUP(I986,Lists!$C:$C,Lists!$J:$J))</f>
        <v/>
      </c>
      <c r="P986" t="str">
        <f>IF(I986="","",_xlfn.XLOOKUP(I986,Lists!$C:$C,Lists!$E:$E))</f>
        <v/>
      </c>
      <c r="Q986" s="21" t="str">
        <f t="shared" si="79"/>
        <v/>
      </c>
      <c r="R986" t="str">
        <f t="shared" si="80"/>
        <v/>
      </c>
      <c r="S986" t="str">
        <f>IF(I986="","",_xlfn.XLOOKUP(I986,Lists!$C:$C,Lists!$I:$I))</f>
        <v/>
      </c>
    </row>
    <row r="987" spans="8:8">
      <c r="C987">
        <f>_xlfn.XLOOKUP(B987,Lists!B:B,Lists!A:A,"")</f>
        <v>0.0</v>
      </c>
      <c r="G987" t="str">
        <f t="shared" si="76"/>
        <v/>
      </c>
      <c r="H987" s="20" t="str">
        <f t="shared" si="77"/>
        <v/>
      </c>
      <c r="J987" t="str">
        <f>IF(I987="","",_xlfn.XLOOKUP(I987,Lists!$C:$C,Lists!$D:$D))</f>
        <v/>
      </c>
      <c r="N987" t="str">
        <f t="shared" si="78"/>
        <v/>
      </c>
      <c r="O987" t="str">
        <f>IF(I987="","",_xlfn.XLOOKUP(I987,Lists!$C:$C,Lists!$J:$J))</f>
        <v/>
      </c>
      <c r="P987" t="str">
        <f>IF(I987="","",_xlfn.XLOOKUP(I987,Lists!$C:$C,Lists!$E:$E))</f>
        <v/>
      </c>
      <c r="Q987" s="21" t="str">
        <f t="shared" si="79"/>
        <v/>
      </c>
      <c r="R987" t="str">
        <f t="shared" si="80"/>
        <v/>
      </c>
      <c r="S987" t="str">
        <f>IF(I987="","",_xlfn.XLOOKUP(I987,Lists!$C:$C,Lists!$I:$I))</f>
        <v/>
      </c>
    </row>
    <row r="988" spans="8:8">
      <c r="C988">
        <f>_xlfn.XLOOKUP(B988,Lists!B:B,Lists!A:A,"")</f>
        <v>0.0</v>
      </c>
      <c r="G988" t="str">
        <f t="shared" si="76"/>
        <v/>
      </c>
      <c r="H988" s="20" t="str">
        <f t="shared" si="77"/>
        <v/>
      </c>
      <c r="J988" t="str">
        <f>IF(I988="","",_xlfn.XLOOKUP(I988,Lists!$C:$C,Lists!$D:$D))</f>
        <v/>
      </c>
      <c r="N988" t="str">
        <f t="shared" si="78"/>
        <v/>
      </c>
      <c r="O988" t="str">
        <f>IF(I988="","",_xlfn.XLOOKUP(I988,Lists!$C:$C,Lists!$J:$J))</f>
        <v/>
      </c>
      <c r="P988" t="str">
        <f>IF(I988="","",_xlfn.XLOOKUP(I988,Lists!$C:$C,Lists!$E:$E))</f>
        <v/>
      </c>
      <c r="Q988" s="21" t="str">
        <f t="shared" si="79"/>
        <v/>
      </c>
      <c r="R988" t="str">
        <f t="shared" si="80"/>
        <v/>
      </c>
      <c r="S988" t="str">
        <f>IF(I988="","",_xlfn.XLOOKUP(I988,Lists!$C:$C,Lists!$I:$I))</f>
        <v/>
      </c>
    </row>
    <row r="989" spans="8:8">
      <c r="C989">
        <f>_xlfn.XLOOKUP(B989,Lists!B:B,Lists!A:A,"")</f>
        <v>0.0</v>
      </c>
      <c r="G989" t="str">
        <f t="shared" si="76"/>
        <v/>
      </c>
      <c r="H989" s="20" t="str">
        <f t="shared" si="77"/>
        <v/>
      </c>
      <c r="J989" t="str">
        <f>IF(I989="","",_xlfn.XLOOKUP(I989,Lists!$C:$C,Lists!$D:$D))</f>
        <v/>
      </c>
      <c r="N989" t="str">
        <f t="shared" si="78"/>
        <v/>
      </c>
      <c r="O989" t="str">
        <f>IF(I989="","",_xlfn.XLOOKUP(I989,Lists!$C:$C,Lists!$J:$J))</f>
        <v/>
      </c>
      <c r="P989" t="str">
        <f>IF(I989="","",_xlfn.XLOOKUP(I989,Lists!$C:$C,Lists!$E:$E))</f>
        <v/>
      </c>
      <c r="Q989" s="21" t="str">
        <f t="shared" si="79"/>
        <v/>
      </c>
      <c r="R989" t="str">
        <f t="shared" si="80"/>
        <v/>
      </c>
      <c r="S989" t="str">
        <f>IF(I989="","",_xlfn.XLOOKUP(I989,Lists!$C:$C,Lists!$I:$I))</f>
        <v/>
      </c>
    </row>
    <row r="990" spans="8:8">
      <c r="C990">
        <f>_xlfn.XLOOKUP(B990,Lists!B:B,Lists!A:A,"")</f>
        <v>0.0</v>
      </c>
      <c r="G990" t="str">
        <f t="shared" si="76"/>
        <v/>
      </c>
      <c r="H990" s="20" t="str">
        <f t="shared" si="77"/>
        <v/>
      </c>
      <c r="J990" t="str">
        <f>IF(I990="","",_xlfn.XLOOKUP(I990,Lists!$C:$C,Lists!$D:$D))</f>
        <v/>
      </c>
      <c r="N990" t="str">
        <f t="shared" si="78"/>
        <v/>
      </c>
      <c r="O990" t="str">
        <f>IF(I990="","",_xlfn.XLOOKUP(I990,Lists!$C:$C,Lists!$J:$J))</f>
        <v/>
      </c>
      <c r="P990" t="str">
        <f>IF(I990="","",_xlfn.XLOOKUP(I990,Lists!$C:$C,Lists!$E:$E))</f>
        <v/>
      </c>
      <c r="Q990" s="21" t="str">
        <f t="shared" si="79"/>
        <v/>
      </c>
      <c r="R990" t="str">
        <f t="shared" si="80"/>
        <v/>
      </c>
      <c r="S990" t="str">
        <f>IF(I990="","",_xlfn.XLOOKUP(I990,Lists!$C:$C,Lists!$I:$I))</f>
        <v/>
      </c>
    </row>
    <row r="991" spans="8:8">
      <c r="C991">
        <f>_xlfn.XLOOKUP(B991,Lists!B:B,Lists!A:A,"")</f>
        <v>0.0</v>
      </c>
      <c r="G991" t="str">
        <f t="shared" si="76"/>
        <v/>
      </c>
      <c r="H991" s="20" t="str">
        <f t="shared" si="77"/>
        <v/>
      </c>
      <c r="J991" t="str">
        <f>IF(I991="","",_xlfn.XLOOKUP(I991,Lists!$C:$C,Lists!$D:$D))</f>
        <v/>
      </c>
      <c r="N991" t="str">
        <f t="shared" si="78"/>
        <v/>
      </c>
      <c r="O991" t="str">
        <f>IF(I991="","",_xlfn.XLOOKUP(I991,Lists!$C:$C,Lists!$J:$J))</f>
        <v/>
      </c>
      <c r="P991" t="str">
        <f>IF(I991="","",_xlfn.XLOOKUP(I991,Lists!$C:$C,Lists!$E:$E))</f>
        <v/>
      </c>
      <c r="Q991" s="21" t="str">
        <f t="shared" si="79"/>
        <v/>
      </c>
      <c r="R991" t="str">
        <f t="shared" si="80"/>
        <v/>
      </c>
      <c r="S991" t="str">
        <f>IF(I991="","",_xlfn.XLOOKUP(I991,Lists!$C:$C,Lists!$I:$I))</f>
        <v/>
      </c>
    </row>
    <row r="992" spans="8:8">
      <c r="C992">
        <f>_xlfn.XLOOKUP(B992,Lists!B:B,Lists!A:A,"")</f>
        <v>0.0</v>
      </c>
      <c r="G992" t="str">
        <f t="shared" si="76"/>
        <v/>
      </c>
      <c r="H992" s="20" t="str">
        <f t="shared" si="77"/>
        <v/>
      </c>
      <c r="J992" t="str">
        <f>IF(I992="","",_xlfn.XLOOKUP(I992,Lists!$C:$C,Lists!$D:$D))</f>
        <v/>
      </c>
      <c r="N992" t="str">
        <f t="shared" si="78"/>
        <v/>
      </c>
      <c r="O992" t="str">
        <f>IF(I992="","",_xlfn.XLOOKUP(I992,Lists!$C:$C,Lists!$J:$J))</f>
        <v/>
      </c>
      <c r="P992" t="str">
        <f>IF(I992="","",_xlfn.XLOOKUP(I992,Lists!$C:$C,Lists!$E:$E))</f>
        <v/>
      </c>
      <c r="Q992" s="21" t="str">
        <f t="shared" si="79"/>
        <v/>
      </c>
      <c r="R992" t="str">
        <f t="shared" si="80"/>
        <v/>
      </c>
      <c r="S992" t="str">
        <f>IF(I992="","",_xlfn.XLOOKUP(I992,Lists!$C:$C,Lists!$I:$I))</f>
        <v/>
      </c>
    </row>
    <row r="993" spans="8:8">
      <c r="C993">
        <f>_xlfn.XLOOKUP(B993,Lists!B:B,Lists!A:A,"")</f>
        <v>0.0</v>
      </c>
      <c r="G993" t="str">
        <f t="shared" si="76"/>
        <v/>
      </c>
      <c r="H993" s="20" t="str">
        <f t="shared" si="77"/>
        <v/>
      </c>
      <c r="J993" t="str">
        <f>IF(I993="","",_xlfn.XLOOKUP(I993,Lists!$C:$C,Lists!$D:$D))</f>
        <v/>
      </c>
      <c r="N993" t="str">
        <f t="shared" si="78"/>
        <v/>
      </c>
      <c r="O993" t="str">
        <f>IF(I993="","",_xlfn.XLOOKUP(I993,Lists!$C:$C,Lists!$J:$J))</f>
        <v/>
      </c>
      <c r="P993" t="str">
        <f>IF(I993="","",_xlfn.XLOOKUP(I993,Lists!$C:$C,Lists!$E:$E))</f>
        <v/>
      </c>
      <c r="Q993" s="21" t="str">
        <f t="shared" si="79"/>
        <v/>
      </c>
      <c r="R993" t="str">
        <f t="shared" si="80"/>
        <v/>
      </c>
      <c r="S993" t="str">
        <f>IF(I993="","",_xlfn.XLOOKUP(I993,Lists!$C:$C,Lists!$I:$I))</f>
        <v/>
      </c>
    </row>
    <row r="994" spans="8:8">
      <c r="C994">
        <f>_xlfn.XLOOKUP(B994,Lists!B:B,Lists!A:A,"")</f>
        <v>0.0</v>
      </c>
      <c r="G994" t="str">
        <f t="shared" si="76"/>
        <v/>
      </c>
      <c r="H994" s="20" t="str">
        <f t="shared" si="77"/>
        <v/>
      </c>
      <c r="J994" t="str">
        <f>IF(I994="","",_xlfn.XLOOKUP(I994,Lists!$C:$C,Lists!$D:$D))</f>
        <v/>
      </c>
      <c r="N994" t="str">
        <f t="shared" si="78"/>
        <v/>
      </c>
      <c r="O994" t="str">
        <f>IF(I994="","",_xlfn.XLOOKUP(I994,Lists!$C:$C,Lists!$J:$J))</f>
        <v/>
      </c>
      <c r="P994" t="str">
        <f>IF(I994="","",_xlfn.XLOOKUP(I994,Lists!$C:$C,Lists!$E:$E))</f>
        <v/>
      </c>
      <c r="Q994" s="21" t="str">
        <f t="shared" si="79"/>
        <v/>
      </c>
      <c r="R994" t="str">
        <f t="shared" si="80"/>
        <v/>
      </c>
      <c r="S994" t="str">
        <f>IF(I994="","",_xlfn.XLOOKUP(I994,Lists!$C:$C,Lists!$I:$I))</f>
        <v/>
      </c>
    </row>
    <row r="995" spans="8:8">
      <c r="C995">
        <f>_xlfn.XLOOKUP(B995,Lists!B:B,Lists!A:A,"")</f>
        <v>0.0</v>
      </c>
      <c r="G995" t="str">
        <f t="shared" si="76"/>
        <v/>
      </c>
      <c r="H995" s="20" t="str">
        <f t="shared" si="77"/>
        <v/>
      </c>
      <c r="J995" t="str">
        <f>IF(I995="","",_xlfn.XLOOKUP(I995,Lists!$C:$C,Lists!$D:$D))</f>
        <v/>
      </c>
      <c r="N995" t="str">
        <f t="shared" si="78"/>
        <v/>
      </c>
      <c r="O995" t="str">
        <f>IF(I995="","",_xlfn.XLOOKUP(I995,Lists!$C:$C,Lists!$J:$J))</f>
        <v/>
      </c>
      <c r="P995" t="str">
        <f>IF(I995="","",_xlfn.XLOOKUP(I995,Lists!$C:$C,Lists!$E:$E))</f>
        <v/>
      </c>
      <c r="Q995" s="21" t="str">
        <f t="shared" si="79"/>
        <v/>
      </c>
      <c r="R995" t="str">
        <f t="shared" si="80"/>
        <v/>
      </c>
      <c r="S995" t="str">
        <f>IF(I995="","",_xlfn.XLOOKUP(I995,Lists!$C:$C,Lists!$I:$I))</f>
        <v/>
      </c>
    </row>
    <row r="996" spans="8:8">
      <c r="C996">
        <f>_xlfn.XLOOKUP(B996,Lists!B:B,Lists!A:A,"")</f>
        <v>0.0</v>
      </c>
      <c r="G996" t="str">
        <f t="shared" si="76"/>
        <v/>
      </c>
      <c r="H996" s="20" t="str">
        <f t="shared" si="77"/>
        <v/>
      </c>
      <c r="J996" t="str">
        <f>IF(I996="","",_xlfn.XLOOKUP(I996,Lists!$C:$C,Lists!$D:$D))</f>
        <v/>
      </c>
      <c r="N996" t="str">
        <f t="shared" si="78"/>
        <v/>
      </c>
      <c r="O996" t="str">
        <f>IF(I996="","",_xlfn.XLOOKUP(I996,Lists!$C:$C,Lists!$J:$J))</f>
        <v/>
      </c>
      <c r="P996" t="str">
        <f>IF(I996="","",_xlfn.XLOOKUP(I996,Lists!$C:$C,Lists!$E:$E))</f>
        <v/>
      </c>
      <c r="Q996" s="21" t="str">
        <f t="shared" si="79"/>
        <v/>
      </c>
      <c r="R996" t="str">
        <f t="shared" si="80"/>
        <v/>
      </c>
      <c r="S996" t="str">
        <f>IF(I996="","",_xlfn.XLOOKUP(I996,Lists!$C:$C,Lists!$I:$I))</f>
        <v/>
      </c>
    </row>
    <row r="997" spans="8:8">
      <c r="C997">
        <f>_xlfn.XLOOKUP(B997,Lists!B:B,Lists!A:A,"")</f>
        <v>0.0</v>
      </c>
      <c r="G997" t="str">
        <f t="shared" si="76"/>
        <v/>
      </c>
      <c r="H997" s="20" t="str">
        <f t="shared" si="77"/>
        <v/>
      </c>
      <c r="J997" t="str">
        <f>IF(I997="","",_xlfn.XLOOKUP(I997,Lists!$C:$C,Lists!$D:$D))</f>
        <v/>
      </c>
      <c r="N997" t="str">
        <f t="shared" si="78"/>
        <v/>
      </c>
      <c r="O997" t="str">
        <f>IF(I997="","",_xlfn.XLOOKUP(I997,Lists!$C:$C,Lists!$J:$J))</f>
        <v/>
      </c>
      <c r="P997" t="str">
        <f>IF(I997="","",_xlfn.XLOOKUP(I997,Lists!$C:$C,Lists!$E:$E))</f>
        <v/>
      </c>
      <c r="Q997" s="21" t="str">
        <f t="shared" si="79"/>
        <v/>
      </c>
      <c r="R997" t="str">
        <f t="shared" si="80"/>
        <v/>
      </c>
      <c r="S997" t="str">
        <f>IF(I997="","",_xlfn.XLOOKUP(I997,Lists!$C:$C,Lists!$I:$I))</f>
        <v/>
      </c>
    </row>
    <row r="998" spans="8:8">
      <c r="C998">
        <f>_xlfn.XLOOKUP(B998,Lists!B:B,Lists!A:A,"")</f>
        <v>0.0</v>
      </c>
      <c r="G998" t="str">
        <f t="shared" si="76"/>
        <v/>
      </c>
      <c r="H998" s="20" t="str">
        <f t="shared" si="77"/>
        <v/>
      </c>
      <c r="J998" t="str">
        <f>IF(I998="","",_xlfn.XLOOKUP(I998,Lists!$C:$C,Lists!$D:$D))</f>
        <v/>
      </c>
      <c r="N998" t="str">
        <f t="shared" si="78"/>
        <v/>
      </c>
      <c r="O998" t="str">
        <f>IF(I998="","",_xlfn.XLOOKUP(I998,Lists!$C:$C,Lists!$J:$J))</f>
        <v/>
      </c>
      <c r="P998" t="str">
        <f>IF(I998="","",_xlfn.XLOOKUP(I998,Lists!$C:$C,Lists!$E:$E))</f>
        <v/>
      </c>
      <c r="Q998" s="21" t="str">
        <f t="shared" si="79"/>
        <v/>
      </c>
      <c r="R998" t="str">
        <f t="shared" si="80"/>
        <v/>
      </c>
      <c r="S998" t="str">
        <f>IF(I998="","",_xlfn.XLOOKUP(I998,Lists!$C:$C,Lists!$I:$I))</f>
        <v/>
      </c>
    </row>
    <row r="999" spans="8:8">
      <c r="C999">
        <f>_xlfn.XLOOKUP(B999,Lists!B:B,Lists!A:A,"")</f>
        <v>0.0</v>
      </c>
      <c r="G999" t="str">
        <f t="shared" si="76"/>
        <v/>
      </c>
      <c r="H999" s="20" t="str">
        <f t="shared" si="77"/>
        <v/>
      </c>
      <c r="J999" t="str">
        <f>IF(I999="","",_xlfn.XLOOKUP(I999,Lists!$C:$C,Lists!$D:$D))</f>
        <v/>
      </c>
      <c r="N999" t="str">
        <f t="shared" si="78"/>
        <v/>
      </c>
      <c r="O999" t="str">
        <f>IF(I999="","",_xlfn.XLOOKUP(I999,Lists!$C:$C,Lists!$J:$J))</f>
        <v/>
      </c>
      <c r="P999" t="str">
        <f>IF(I999="","",_xlfn.XLOOKUP(I999,Lists!$C:$C,Lists!$E:$E))</f>
        <v/>
      </c>
      <c r="Q999" s="21" t="str">
        <f t="shared" si="79"/>
        <v/>
      </c>
      <c r="R999" t="str">
        <f t="shared" si="80"/>
        <v/>
      </c>
      <c r="S999" t="str">
        <f>IF(I999="","",_xlfn.XLOOKUP(I999,Lists!$C:$C,Lists!$I:$I))</f>
        <v/>
      </c>
    </row>
    <row r="1000" spans="8:8">
      <c r="C1000">
        <f>_xlfn.XLOOKUP(B1000,Lists!B:B,Lists!A:A,"")</f>
        <v>0.0</v>
      </c>
      <c r="G1000" t="str">
        <f t="shared" si="76"/>
        <v/>
      </c>
      <c r="H1000" s="20" t="str">
        <f t="shared" si="77"/>
        <v/>
      </c>
      <c r="J1000" t="str">
        <f>IF(I1000="","",_xlfn.XLOOKUP(I1000,Lists!$C:$C,Lists!$D:$D))</f>
        <v/>
      </c>
      <c r="N1000" t="str">
        <f t="shared" si="78"/>
        <v/>
      </c>
      <c r="O1000" t="str">
        <f>IF(I1000="","",_xlfn.XLOOKUP(I1000,Lists!$C:$C,Lists!$J:$J))</f>
        <v/>
      </c>
      <c r="P1000" t="str">
        <f>IF(I1000="","",_xlfn.XLOOKUP(I1000,Lists!$C:$C,Lists!$E:$E))</f>
        <v/>
      </c>
      <c r="Q1000" s="21" t="str">
        <f t="shared" si="79"/>
        <v/>
      </c>
      <c r="R1000" t="str">
        <f t="shared" si="80"/>
        <v/>
      </c>
      <c r="S1000" t="str">
        <f>IF(I1000="","",_xlfn.XLOOKUP(I1000,Lists!$C:$C,Lists!$I:$I))</f>
        <v/>
      </c>
    </row>
    <row r="1001" spans="8:8">
      <c r="C1001">
        <f>_xlfn.XLOOKUP(B1001,Lists!B:B,Lists!A:A,"")</f>
        <v>0.0</v>
      </c>
      <c r="G1001" t="str">
        <f t="shared" si="76"/>
        <v/>
      </c>
      <c r="H1001" s="20" t="str">
        <f t="shared" si="77"/>
        <v/>
      </c>
      <c r="J1001" t="str">
        <f>IF(I1001="","",_xlfn.XLOOKUP(I1001,Lists!$C:$C,Lists!$D:$D))</f>
        <v/>
      </c>
      <c r="N1001" t="str">
        <f t="shared" si="78"/>
        <v/>
      </c>
      <c r="O1001" t="str">
        <f>IF(I1001="","",_xlfn.XLOOKUP(I1001,Lists!$C:$C,Lists!$J:$J))</f>
        <v/>
      </c>
      <c r="P1001" t="str">
        <f>IF(I1001="","",_xlfn.XLOOKUP(I1001,Lists!$C:$C,Lists!$E:$E))</f>
        <v/>
      </c>
      <c r="Q1001" s="21" t="str">
        <f t="shared" si="79"/>
        <v/>
      </c>
      <c r="R1001" t="str">
        <f t="shared" si="80"/>
        <v/>
      </c>
      <c r="S1001" t="str">
        <f>IF(I1001="","",_xlfn.XLOOKUP(I1001,Lists!$C:$C,Lists!$I:$I))</f>
        <v/>
      </c>
    </row>
    <row r="1002" spans="8:8">
      <c r="C1002">
        <f>_xlfn.XLOOKUP(B1002,Lists!B:B,Lists!A:A,"")</f>
        <v>0.0</v>
      </c>
      <c r="G1002" t="str">
        <f t="shared" si="76"/>
        <v/>
      </c>
      <c r="H1002" s="20" t="str">
        <f t="shared" si="77"/>
        <v/>
      </c>
      <c r="J1002" t="str">
        <f>IF(I1002="","",_xlfn.XLOOKUP(I1002,Lists!$C:$C,Lists!$D:$D))</f>
        <v/>
      </c>
      <c r="N1002" t="str">
        <f t="shared" si="78"/>
        <v/>
      </c>
      <c r="O1002" t="str">
        <f>IF(I1002="","",_xlfn.XLOOKUP(I1002,Lists!$C:$C,Lists!$J:$J))</f>
        <v/>
      </c>
      <c r="P1002" t="str">
        <f>IF(I1002="","",_xlfn.XLOOKUP(I1002,Lists!$C:$C,Lists!$E:$E))</f>
        <v/>
      </c>
      <c r="Q1002" s="21" t="str">
        <f t="shared" si="79"/>
        <v/>
      </c>
      <c r="R1002" t="str">
        <f t="shared" si="80"/>
        <v/>
      </c>
      <c r="S1002" t="str">
        <f>IF(I1002="","",_xlfn.XLOOKUP(I1002,Lists!$C:$C,Lists!$I:$I))</f>
        <v/>
      </c>
    </row>
    <row r="1003" spans="8:8">
      <c r="C1003">
        <f>_xlfn.XLOOKUP(B1003,Lists!B:B,Lists!A:A,"")</f>
        <v>0.0</v>
      </c>
      <c r="G1003" t="str">
        <f t="shared" si="76"/>
        <v/>
      </c>
      <c r="H1003" s="20" t="str">
        <f t="shared" si="77"/>
        <v/>
      </c>
      <c r="J1003" t="str">
        <f>IF(I1003="","",_xlfn.XLOOKUP(I1003,Lists!$C:$C,Lists!$D:$D))</f>
        <v/>
      </c>
      <c r="N1003" t="str">
        <f t="shared" si="78"/>
        <v/>
      </c>
      <c r="O1003" t="str">
        <f>IF(I1003="","",_xlfn.XLOOKUP(I1003,Lists!$C:$C,Lists!$J:$J))</f>
        <v/>
      </c>
      <c r="P1003" t="str">
        <f>IF(I1003="","",_xlfn.XLOOKUP(I1003,Lists!$C:$C,Lists!$E:$E))</f>
        <v/>
      </c>
      <c r="Q1003" s="21" t="str">
        <f t="shared" si="79"/>
        <v/>
      </c>
      <c r="R1003" t="str">
        <f t="shared" si="80"/>
        <v/>
      </c>
      <c r="S1003" t="str">
        <f>IF(I1003="","",_xlfn.XLOOKUP(I1003,Lists!$C:$C,Lists!$I:$I))</f>
        <v/>
      </c>
    </row>
    <row r="1004" spans="8:8">
      <c r="C1004">
        <f>_xlfn.XLOOKUP(B1004,Lists!B:B,Lists!A:A,"")</f>
        <v>0.0</v>
      </c>
      <c r="G1004" t="str">
        <f t="shared" si="76"/>
        <v/>
      </c>
      <c r="H1004" s="20" t="str">
        <f t="shared" si="77"/>
        <v/>
      </c>
      <c r="J1004" t="str">
        <f>IF(I1004="","",_xlfn.XLOOKUP(I1004,Lists!$C:$C,Lists!$D:$D))</f>
        <v/>
      </c>
      <c r="N1004" t="str">
        <f t="shared" si="78"/>
        <v/>
      </c>
      <c r="O1004" t="str">
        <f>IF(I1004="","",_xlfn.XLOOKUP(I1004,Lists!$C:$C,Lists!$J:$J))</f>
        <v/>
      </c>
      <c r="P1004" t="str">
        <f>IF(I1004="","",_xlfn.XLOOKUP(I1004,Lists!$C:$C,Lists!$E:$E))</f>
        <v/>
      </c>
      <c r="Q1004" s="21" t="str">
        <f t="shared" si="79"/>
        <v/>
      </c>
      <c r="R1004" t="str">
        <f t="shared" si="80"/>
        <v/>
      </c>
      <c r="S1004" t="str">
        <f>IF(I1004="","",_xlfn.XLOOKUP(I1004,Lists!$C:$C,Lists!$I:$I))</f>
        <v/>
      </c>
    </row>
    <row r="1005" spans="8:8">
      <c r="C1005">
        <f>_xlfn.XLOOKUP(B1005,Lists!B:B,Lists!A:A,"")</f>
        <v>0.0</v>
      </c>
      <c r="G1005" t="str">
        <f t="shared" si="76"/>
        <v/>
      </c>
      <c r="H1005" s="20" t="str">
        <f t="shared" si="77"/>
        <v/>
      </c>
      <c r="J1005" t="str">
        <f>IF(I1005="","",_xlfn.XLOOKUP(I1005,Lists!$C:$C,Lists!$D:$D))</f>
        <v/>
      </c>
      <c r="N1005" t="str">
        <f t="shared" si="78"/>
        <v/>
      </c>
      <c r="O1005" t="str">
        <f>IF(I1005="","",_xlfn.XLOOKUP(I1005,Lists!$C:$C,Lists!$J:$J))</f>
        <v/>
      </c>
      <c r="P1005" t="str">
        <f>IF(I1005="","",_xlfn.XLOOKUP(I1005,Lists!$C:$C,Lists!$E:$E))</f>
        <v/>
      </c>
      <c r="Q1005" s="21" t="str">
        <f t="shared" si="79"/>
        <v/>
      </c>
      <c r="R1005" t="str">
        <f t="shared" si="80"/>
        <v/>
      </c>
      <c r="S1005" t="str">
        <f>IF(I1005="","",_xlfn.XLOOKUP(I1005,Lists!$C:$C,Lists!$I:$I))</f>
        <v/>
      </c>
    </row>
    <row r="1006" spans="8:8">
      <c r="C1006">
        <f>_xlfn.XLOOKUP(B1006,Lists!B:B,Lists!A:A,"")</f>
        <v>0.0</v>
      </c>
      <c r="G1006" t="str">
        <f t="shared" si="76"/>
        <v/>
      </c>
      <c r="H1006" s="20" t="str">
        <f t="shared" si="77"/>
        <v/>
      </c>
      <c r="J1006" t="str">
        <f>IF(I1006="","",_xlfn.XLOOKUP(I1006,Lists!$C:$C,Lists!$D:$D))</f>
        <v/>
      </c>
      <c r="N1006" t="str">
        <f t="shared" si="78"/>
        <v/>
      </c>
      <c r="O1006" t="str">
        <f>IF(I1006="","",_xlfn.XLOOKUP(I1006,Lists!$C:$C,Lists!$J:$J))</f>
        <v/>
      </c>
      <c r="P1006" t="str">
        <f>IF(I1006="","",_xlfn.XLOOKUP(I1006,Lists!$C:$C,Lists!$E:$E))</f>
        <v/>
      </c>
      <c r="Q1006" s="21" t="str">
        <f t="shared" si="79"/>
        <v/>
      </c>
      <c r="R1006" t="str">
        <f t="shared" si="80"/>
        <v/>
      </c>
      <c r="S1006" t="str">
        <f>IF(I1006="","",_xlfn.XLOOKUP(I1006,Lists!$C:$C,Lists!$I:$I))</f>
        <v/>
      </c>
    </row>
    <row r="1007" spans="8:8">
      <c r="C1007">
        <f>_xlfn.XLOOKUP(B1007,Lists!B:B,Lists!A:A,"")</f>
        <v>0.0</v>
      </c>
      <c r="G1007" t="str">
        <f t="shared" si="76"/>
        <v/>
      </c>
      <c r="H1007" s="20" t="str">
        <f t="shared" si="77"/>
        <v/>
      </c>
      <c r="J1007" t="str">
        <f>IF(I1007="","",_xlfn.XLOOKUP(I1007,Lists!$C:$C,Lists!$D:$D))</f>
        <v/>
      </c>
      <c r="N1007" t="str">
        <f t="shared" si="78"/>
        <v/>
      </c>
      <c r="O1007" t="str">
        <f>IF(I1007="","",_xlfn.XLOOKUP(I1007,Lists!$C:$C,Lists!$J:$J))</f>
        <v/>
      </c>
      <c r="P1007" t="str">
        <f>IF(I1007="","",_xlfn.XLOOKUP(I1007,Lists!$C:$C,Lists!$E:$E))</f>
        <v/>
      </c>
      <c r="Q1007" s="21" t="str">
        <f t="shared" si="79"/>
        <v/>
      </c>
      <c r="R1007" t="str">
        <f t="shared" si="80"/>
        <v/>
      </c>
      <c r="S1007" t="str">
        <f>IF(I1007="","",_xlfn.XLOOKUP(I1007,Lists!$C:$C,Lists!$I:$I))</f>
        <v/>
      </c>
    </row>
    <row r="1008" spans="8:8">
      <c r="C1008">
        <f>_xlfn.XLOOKUP(B1008,Lists!B:B,Lists!A:A,"")</f>
        <v>0.0</v>
      </c>
      <c r="G1008" t="str">
        <f t="shared" si="76"/>
        <v/>
      </c>
      <c r="H1008" s="20" t="str">
        <f t="shared" si="77"/>
        <v/>
      </c>
      <c r="J1008" t="str">
        <f>IF(I1008="","",_xlfn.XLOOKUP(I1008,Lists!$C:$C,Lists!$D:$D))</f>
        <v/>
      </c>
      <c r="N1008" t="str">
        <f t="shared" si="78"/>
        <v/>
      </c>
      <c r="O1008" t="str">
        <f>IF(I1008="","",_xlfn.XLOOKUP(I1008,Lists!$C:$C,Lists!$J:$J))</f>
        <v/>
      </c>
      <c r="P1008" t="str">
        <f>IF(I1008="","",_xlfn.XLOOKUP(I1008,Lists!$C:$C,Lists!$E:$E))</f>
        <v/>
      </c>
      <c r="Q1008" s="21" t="str">
        <f t="shared" si="79"/>
        <v/>
      </c>
      <c r="R1008" t="str">
        <f t="shared" si="80"/>
        <v/>
      </c>
      <c r="S1008" t="str">
        <f>IF(I1008="","",_xlfn.XLOOKUP(I1008,Lists!$C:$C,Lists!$I:$I))</f>
        <v/>
      </c>
    </row>
    <row r="1009" spans="8:8">
      <c r="C1009">
        <f>_xlfn.XLOOKUP(B1009,Lists!B:B,Lists!A:A,"")</f>
        <v>0.0</v>
      </c>
      <c r="G1009" t="str">
        <f t="shared" si="76"/>
        <v/>
      </c>
      <c r="H1009" s="20" t="str">
        <f t="shared" si="77"/>
        <v/>
      </c>
      <c r="J1009" t="str">
        <f>IF(I1009="","",_xlfn.XLOOKUP(I1009,Lists!$C:$C,Lists!$D:$D))</f>
        <v/>
      </c>
      <c r="N1009" t="str">
        <f t="shared" si="78"/>
        <v/>
      </c>
      <c r="O1009" t="str">
        <f>IF(I1009="","",_xlfn.XLOOKUP(I1009,Lists!$C:$C,Lists!$J:$J))</f>
        <v/>
      </c>
      <c r="P1009" t="str">
        <f>IF(I1009="","",_xlfn.XLOOKUP(I1009,Lists!$C:$C,Lists!$E:$E))</f>
        <v/>
      </c>
      <c r="Q1009" s="21" t="str">
        <f t="shared" si="79"/>
        <v/>
      </c>
      <c r="R1009" t="str">
        <f t="shared" si="80"/>
        <v/>
      </c>
      <c r="S1009" t="str">
        <f>IF(I1009="","",_xlfn.XLOOKUP(I1009,Lists!$C:$C,Lists!$I:$I))</f>
        <v/>
      </c>
    </row>
    <row r="1010" spans="8:8">
      <c r="C1010">
        <f>_xlfn.XLOOKUP(B1010,Lists!B:B,Lists!A:A,"")</f>
        <v>0.0</v>
      </c>
      <c r="G1010" t="str">
        <f t="shared" si="76"/>
        <v/>
      </c>
      <c r="H1010" s="20" t="str">
        <f t="shared" si="77"/>
        <v/>
      </c>
      <c r="J1010" t="str">
        <f>IF(I1010="","",_xlfn.XLOOKUP(I1010,Lists!$C:$C,Lists!$D:$D))</f>
        <v/>
      </c>
      <c r="N1010" t="str">
        <f t="shared" si="78"/>
        <v/>
      </c>
      <c r="O1010" t="str">
        <f>IF(I1010="","",_xlfn.XLOOKUP(I1010,Lists!$C:$C,Lists!$J:$J))</f>
        <v/>
      </c>
      <c r="P1010" t="str">
        <f>IF(I1010="","",_xlfn.XLOOKUP(I1010,Lists!$C:$C,Lists!$E:$E))</f>
        <v/>
      </c>
      <c r="Q1010" s="21" t="str">
        <f t="shared" si="79"/>
        <v/>
      </c>
      <c r="R1010" t="str">
        <f t="shared" si="80"/>
        <v/>
      </c>
      <c r="S1010" t="str">
        <f>IF(I1010="","",_xlfn.XLOOKUP(I1010,Lists!$C:$C,Lists!$I:$I))</f>
        <v/>
      </c>
    </row>
    <row r="1011" spans="8:8">
      <c r="C1011">
        <f>_xlfn.XLOOKUP(B1011,Lists!B:B,Lists!A:A,"")</f>
        <v>0.0</v>
      </c>
      <c r="G1011" t="str">
        <f t="shared" si="76"/>
        <v/>
      </c>
      <c r="H1011" s="20" t="str">
        <f t="shared" si="77"/>
        <v/>
      </c>
      <c r="J1011" t="str">
        <f>IF(I1011="","",_xlfn.XLOOKUP(I1011,Lists!$C:$C,Lists!$D:$D))</f>
        <v/>
      </c>
      <c r="N1011" t="str">
        <f t="shared" si="78"/>
        <v/>
      </c>
      <c r="O1011" t="str">
        <f>IF(I1011="","",_xlfn.XLOOKUP(I1011,Lists!$C:$C,Lists!$J:$J))</f>
        <v/>
      </c>
      <c r="P1011" t="str">
        <f>IF(I1011="","",_xlfn.XLOOKUP(I1011,Lists!$C:$C,Lists!$E:$E))</f>
        <v/>
      </c>
      <c r="Q1011" s="21" t="str">
        <f t="shared" si="79"/>
        <v/>
      </c>
      <c r="R1011" t="str">
        <f t="shared" si="80"/>
        <v/>
      </c>
      <c r="S1011" t="str">
        <f>IF(I1011="","",_xlfn.XLOOKUP(I1011,Lists!$C:$C,Lists!$I:$I))</f>
        <v/>
      </c>
    </row>
    <row r="1012" spans="8:8">
      <c r="C1012">
        <f>_xlfn.XLOOKUP(B1012,Lists!B:B,Lists!A:A,"")</f>
        <v>0.0</v>
      </c>
      <c r="G1012" t="str">
        <f t="shared" si="76"/>
        <v/>
      </c>
      <c r="H1012" s="20" t="str">
        <f t="shared" si="77"/>
        <v/>
      </c>
      <c r="J1012" t="str">
        <f>IF(I1012="","",_xlfn.XLOOKUP(I1012,Lists!$C:$C,Lists!$D:$D))</f>
        <v/>
      </c>
      <c r="N1012" t="str">
        <f t="shared" si="78"/>
        <v/>
      </c>
      <c r="O1012" t="str">
        <f>IF(I1012="","",_xlfn.XLOOKUP(I1012,Lists!$C:$C,Lists!$J:$J))</f>
        <v/>
      </c>
      <c r="P1012" t="str">
        <f>IF(I1012="","",_xlfn.XLOOKUP(I1012,Lists!$C:$C,Lists!$E:$E))</f>
        <v/>
      </c>
      <c r="Q1012" s="21" t="str">
        <f t="shared" si="79"/>
        <v/>
      </c>
      <c r="R1012" t="str">
        <f t="shared" si="80"/>
        <v/>
      </c>
      <c r="S1012" t="str">
        <f>IF(I1012="","",_xlfn.XLOOKUP(I1012,Lists!$C:$C,Lists!$I:$I))</f>
        <v/>
      </c>
    </row>
    <row r="1013" spans="8:8">
      <c r="C1013">
        <f>_xlfn.XLOOKUP(B1013,Lists!B:B,Lists!A:A,"")</f>
        <v>0.0</v>
      </c>
      <c r="G1013" t="str">
        <f t="shared" si="76"/>
        <v/>
      </c>
      <c r="H1013" s="20" t="str">
        <f t="shared" si="77"/>
        <v/>
      </c>
      <c r="J1013" t="str">
        <f>IF(I1013="","",_xlfn.XLOOKUP(I1013,Lists!$C:$C,Lists!$D:$D))</f>
        <v/>
      </c>
      <c r="N1013" t="str">
        <f t="shared" si="78"/>
        <v/>
      </c>
      <c r="O1013" t="str">
        <f>IF(I1013="","",_xlfn.XLOOKUP(I1013,Lists!$C:$C,Lists!$J:$J))</f>
        <v/>
      </c>
      <c r="P1013" t="str">
        <f>IF(I1013="","",_xlfn.XLOOKUP(I1013,Lists!$C:$C,Lists!$E:$E))</f>
        <v/>
      </c>
      <c r="Q1013" s="21" t="str">
        <f t="shared" si="79"/>
        <v/>
      </c>
      <c r="R1013" t="str">
        <f t="shared" si="80"/>
        <v/>
      </c>
      <c r="S1013" t="str">
        <f>IF(I1013="","",_xlfn.XLOOKUP(I1013,Lists!$C:$C,Lists!$I:$I))</f>
        <v/>
      </c>
    </row>
    <row r="1014" spans="8:8">
      <c r="C1014">
        <f>_xlfn.XLOOKUP(B1014,Lists!B:B,Lists!A:A,"")</f>
        <v>0.0</v>
      </c>
      <c r="G1014" t="str">
        <f t="shared" si="76"/>
        <v/>
      </c>
      <c r="H1014" s="20" t="str">
        <f t="shared" si="77"/>
        <v/>
      </c>
      <c r="J1014" t="str">
        <f>IF(I1014="","",_xlfn.XLOOKUP(I1014,Lists!$C:$C,Lists!$D:$D))</f>
        <v/>
      </c>
      <c r="N1014" t="str">
        <f t="shared" si="78"/>
        <v/>
      </c>
      <c r="O1014" t="str">
        <f>IF(I1014="","",_xlfn.XLOOKUP(I1014,Lists!$C:$C,Lists!$J:$J))</f>
        <v/>
      </c>
      <c r="P1014" t="str">
        <f>IF(I1014="","",_xlfn.XLOOKUP(I1014,Lists!$C:$C,Lists!$E:$E))</f>
        <v/>
      </c>
      <c r="Q1014" s="21" t="str">
        <f t="shared" si="79"/>
        <v/>
      </c>
      <c r="R1014" t="str">
        <f t="shared" si="80"/>
        <v/>
      </c>
      <c r="S1014" t="str">
        <f>IF(I1014="","",_xlfn.XLOOKUP(I1014,Lists!$C:$C,Lists!$I:$I))</f>
        <v/>
      </c>
    </row>
    <row r="1015" spans="8:8">
      <c r="C1015">
        <f>_xlfn.XLOOKUP(B1015,Lists!B:B,Lists!A:A,"")</f>
        <v>0.0</v>
      </c>
      <c r="G1015" t="str">
        <f t="shared" si="76"/>
        <v/>
      </c>
      <c r="H1015" s="20" t="str">
        <f t="shared" si="77"/>
        <v/>
      </c>
      <c r="J1015" t="str">
        <f>IF(I1015="","",_xlfn.XLOOKUP(I1015,Lists!$C:$C,Lists!$D:$D))</f>
        <v/>
      </c>
      <c r="N1015" t="str">
        <f t="shared" si="78"/>
        <v/>
      </c>
      <c r="O1015" t="str">
        <f>IF(I1015="","",_xlfn.XLOOKUP(I1015,Lists!$C:$C,Lists!$J:$J))</f>
        <v/>
      </c>
      <c r="P1015" t="str">
        <f>IF(I1015="","",_xlfn.XLOOKUP(I1015,Lists!$C:$C,Lists!$E:$E))</f>
        <v/>
      </c>
      <c r="Q1015" s="21" t="str">
        <f t="shared" si="79"/>
        <v/>
      </c>
      <c r="R1015" t="str">
        <f t="shared" si="80"/>
        <v/>
      </c>
      <c r="S1015" t="str">
        <f>IF(I1015="","",_xlfn.XLOOKUP(I1015,Lists!$C:$C,Lists!$I:$I))</f>
        <v/>
      </c>
    </row>
    <row r="1016" spans="8:8">
      <c r="C1016">
        <f>_xlfn.XLOOKUP(B1016,Lists!B:B,Lists!A:A,"")</f>
        <v>0.0</v>
      </c>
      <c r="G1016" t="str">
        <f t="shared" si="76"/>
        <v/>
      </c>
      <c r="H1016" s="20" t="str">
        <f t="shared" si="77"/>
        <v/>
      </c>
      <c r="J1016" t="str">
        <f>IF(I1016="","",_xlfn.XLOOKUP(I1016,Lists!$C:$C,Lists!$D:$D))</f>
        <v/>
      </c>
      <c r="N1016" t="str">
        <f t="shared" si="78"/>
        <v/>
      </c>
      <c r="O1016" t="str">
        <f>IF(I1016="","",_xlfn.XLOOKUP(I1016,Lists!$C:$C,Lists!$J:$J))</f>
        <v/>
      </c>
      <c r="P1016" t="str">
        <f>IF(I1016="","",_xlfn.XLOOKUP(I1016,Lists!$C:$C,Lists!$E:$E))</f>
        <v/>
      </c>
      <c r="Q1016" s="21" t="str">
        <f t="shared" si="79"/>
        <v/>
      </c>
      <c r="R1016" t="str">
        <f t="shared" si="80"/>
        <v/>
      </c>
      <c r="S1016" t="str">
        <f>IF(I1016="","",_xlfn.XLOOKUP(I1016,Lists!$C:$C,Lists!$I:$I))</f>
        <v/>
      </c>
    </row>
    <row r="1017" spans="8:8">
      <c r="C1017">
        <f>_xlfn.XLOOKUP(B1017,Lists!B:B,Lists!A:A,"")</f>
        <v>0.0</v>
      </c>
      <c r="G1017" t="str">
        <f t="shared" si="76"/>
        <v/>
      </c>
      <c r="H1017" s="20" t="str">
        <f t="shared" si="77"/>
        <v/>
      </c>
      <c r="J1017" t="str">
        <f>IF(I1017="","",_xlfn.XLOOKUP(I1017,Lists!$C:$C,Lists!$D:$D))</f>
        <v/>
      </c>
      <c r="N1017" t="str">
        <f t="shared" si="78"/>
        <v/>
      </c>
      <c r="O1017" t="str">
        <f>IF(I1017="","",_xlfn.XLOOKUP(I1017,Lists!$C:$C,Lists!$J:$J))</f>
        <v/>
      </c>
      <c r="P1017" t="str">
        <f>IF(I1017="","",_xlfn.XLOOKUP(I1017,Lists!$C:$C,Lists!$E:$E))</f>
        <v/>
      </c>
      <c r="Q1017" s="21" t="str">
        <f t="shared" si="79"/>
        <v/>
      </c>
      <c r="R1017" t="str">
        <f t="shared" si="80"/>
        <v/>
      </c>
      <c r="S1017" t="str">
        <f>IF(I1017="","",_xlfn.XLOOKUP(I1017,Lists!$C:$C,Lists!$I:$I))</f>
        <v/>
      </c>
    </row>
    <row r="1018" spans="8:8">
      <c r="C1018">
        <f>_xlfn.XLOOKUP(B1018,Lists!B:B,Lists!A:A,"")</f>
        <v>0.0</v>
      </c>
      <c r="G1018" t="str">
        <f t="shared" si="76"/>
        <v/>
      </c>
      <c r="H1018" s="20" t="str">
        <f t="shared" si="77"/>
        <v/>
      </c>
      <c r="J1018" t="str">
        <f>IF(I1018="","",_xlfn.XLOOKUP(I1018,Lists!$C:$C,Lists!$D:$D))</f>
        <v/>
      </c>
      <c r="N1018" t="str">
        <f t="shared" si="78"/>
        <v/>
      </c>
      <c r="O1018" t="str">
        <f>IF(I1018="","",_xlfn.XLOOKUP(I1018,Lists!$C:$C,Lists!$J:$J))</f>
        <v/>
      </c>
      <c r="P1018" t="str">
        <f>IF(I1018="","",_xlfn.XLOOKUP(I1018,Lists!$C:$C,Lists!$E:$E))</f>
        <v/>
      </c>
      <c r="Q1018" s="21" t="str">
        <f t="shared" si="79"/>
        <v/>
      </c>
      <c r="R1018" t="str">
        <f t="shared" si="80"/>
        <v/>
      </c>
      <c r="S1018" t="str">
        <f>IF(I1018="","",_xlfn.XLOOKUP(I1018,Lists!$C:$C,Lists!$I:$I))</f>
        <v/>
      </c>
    </row>
    <row r="1019" spans="8:8">
      <c r="C1019">
        <f>_xlfn.XLOOKUP(B1019,Lists!B:B,Lists!A:A,"")</f>
        <v>0.0</v>
      </c>
      <c r="G1019" t="str">
        <f t="shared" si="76"/>
        <v/>
      </c>
      <c r="H1019" s="20" t="str">
        <f t="shared" si="77"/>
        <v/>
      </c>
      <c r="J1019" t="str">
        <f>IF(I1019="","",_xlfn.XLOOKUP(I1019,Lists!$C:$C,Lists!$D:$D))</f>
        <v/>
      </c>
      <c r="N1019" t="str">
        <f t="shared" si="78"/>
        <v/>
      </c>
      <c r="O1019" t="str">
        <f>IF(I1019="","",_xlfn.XLOOKUP(I1019,Lists!$C:$C,Lists!$J:$J))</f>
        <v/>
      </c>
      <c r="P1019" t="str">
        <f>IF(I1019="","",_xlfn.XLOOKUP(I1019,Lists!$C:$C,Lists!$E:$E))</f>
        <v/>
      </c>
      <c r="Q1019" s="21" t="str">
        <f t="shared" si="79"/>
        <v/>
      </c>
      <c r="R1019" t="str">
        <f t="shared" si="80"/>
        <v/>
      </c>
      <c r="S1019" t="str">
        <f>IF(I1019="","",_xlfn.XLOOKUP(I1019,Lists!$C:$C,Lists!$I:$I))</f>
        <v/>
      </c>
    </row>
    <row r="1020" spans="8:8">
      <c r="C1020">
        <f>_xlfn.XLOOKUP(B1020,Lists!B:B,Lists!A:A,"")</f>
        <v>0.0</v>
      </c>
      <c r="G1020" t="str">
        <f t="shared" si="76"/>
        <v/>
      </c>
      <c r="H1020" s="20" t="str">
        <f t="shared" si="77"/>
        <v/>
      </c>
      <c r="J1020" t="str">
        <f>IF(I1020="","",_xlfn.XLOOKUP(I1020,Lists!$C:$C,Lists!$D:$D))</f>
        <v/>
      </c>
      <c r="N1020" t="str">
        <f t="shared" si="78"/>
        <v/>
      </c>
      <c r="O1020" t="str">
        <f>IF(I1020="","",_xlfn.XLOOKUP(I1020,Lists!$C:$C,Lists!$J:$J))</f>
        <v/>
      </c>
      <c r="P1020" t="str">
        <f>IF(I1020="","",_xlfn.XLOOKUP(I1020,Lists!$C:$C,Lists!$E:$E))</f>
        <v/>
      </c>
      <c r="Q1020" s="21" t="str">
        <f t="shared" si="79"/>
        <v/>
      </c>
      <c r="R1020" t="str">
        <f t="shared" si="80"/>
        <v/>
      </c>
      <c r="S1020" t="str">
        <f>IF(I1020="","",_xlfn.XLOOKUP(I1020,Lists!$C:$C,Lists!$I:$I))</f>
        <v/>
      </c>
    </row>
    <row r="1021" spans="8:8">
      <c r="C1021">
        <f>_xlfn.XLOOKUP(B1021,Lists!B:B,Lists!A:A,"")</f>
        <v>0.0</v>
      </c>
      <c r="G1021" t="str">
        <f t="shared" si="76"/>
        <v/>
      </c>
      <c r="H1021" s="20" t="str">
        <f t="shared" si="77"/>
        <v/>
      </c>
      <c r="J1021" t="str">
        <f>IF(I1021="","",_xlfn.XLOOKUP(I1021,Lists!$C:$C,Lists!$D:$D))</f>
        <v/>
      </c>
      <c r="N1021" t="str">
        <f t="shared" si="78"/>
        <v/>
      </c>
      <c r="O1021" t="str">
        <f>IF(I1021="","",_xlfn.XLOOKUP(I1021,Lists!$C:$C,Lists!$J:$J))</f>
        <v/>
      </c>
      <c r="P1021" t="str">
        <f>IF(I1021="","",_xlfn.XLOOKUP(I1021,Lists!$C:$C,Lists!$E:$E))</f>
        <v/>
      </c>
      <c r="Q1021" s="21" t="str">
        <f t="shared" si="79"/>
        <v/>
      </c>
      <c r="R1021" t="str">
        <f t="shared" si="80"/>
        <v/>
      </c>
      <c r="S1021" t="str">
        <f>IF(I1021="","",_xlfn.XLOOKUP(I1021,Lists!$C:$C,Lists!$I:$I))</f>
        <v/>
      </c>
    </row>
    <row r="1022" spans="8:8">
      <c r="C1022">
        <f>_xlfn.XLOOKUP(B1022,Lists!B:B,Lists!A:A,"")</f>
        <v>0.0</v>
      </c>
      <c r="G1022" t="str">
        <f t="shared" si="76"/>
        <v/>
      </c>
      <c r="H1022" s="20" t="str">
        <f t="shared" si="77"/>
        <v/>
      </c>
      <c r="J1022" t="str">
        <f>IF(I1022="","",_xlfn.XLOOKUP(I1022,Lists!$C:$C,Lists!$D:$D))</f>
        <v/>
      </c>
      <c r="N1022" t="str">
        <f t="shared" si="78"/>
        <v/>
      </c>
      <c r="O1022" t="str">
        <f>IF(I1022="","",_xlfn.XLOOKUP(I1022,Lists!$C:$C,Lists!$J:$J))</f>
        <v/>
      </c>
      <c r="P1022" t="str">
        <f>IF(I1022="","",_xlfn.XLOOKUP(I1022,Lists!$C:$C,Lists!$E:$E))</f>
        <v/>
      </c>
      <c r="Q1022" s="21" t="str">
        <f t="shared" si="79"/>
        <v/>
      </c>
      <c r="R1022" t="str">
        <f t="shared" si="80"/>
        <v/>
      </c>
      <c r="S1022" t="str">
        <f>IF(I1022="","",_xlfn.XLOOKUP(I1022,Lists!$C:$C,Lists!$I:$I))</f>
        <v/>
      </c>
    </row>
    <row r="1023" spans="8:8">
      <c r="C1023">
        <f>_xlfn.XLOOKUP(B1023,Lists!B:B,Lists!A:A,"")</f>
        <v>0.0</v>
      </c>
      <c r="G1023" t="str">
        <f t="shared" si="76"/>
        <v/>
      </c>
      <c r="H1023" s="20" t="str">
        <f t="shared" si="77"/>
        <v/>
      </c>
      <c r="J1023" t="str">
        <f>IF(I1023="","",_xlfn.XLOOKUP(I1023,Lists!$C:$C,Lists!$D:$D))</f>
        <v/>
      </c>
      <c r="N1023" t="str">
        <f t="shared" si="78"/>
        <v/>
      </c>
      <c r="O1023" t="str">
        <f>IF(I1023="","",_xlfn.XLOOKUP(I1023,Lists!$C:$C,Lists!$J:$J))</f>
        <v/>
      </c>
      <c r="P1023" t="str">
        <f>IF(I1023="","",_xlfn.XLOOKUP(I1023,Lists!$C:$C,Lists!$E:$E))</f>
        <v/>
      </c>
      <c r="Q1023" s="21" t="str">
        <f t="shared" si="79"/>
        <v/>
      </c>
      <c r="R1023" t="str">
        <f t="shared" si="80"/>
        <v/>
      </c>
      <c r="S1023" t="str">
        <f>IF(I1023="","",_xlfn.XLOOKUP(I1023,Lists!$C:$C,Lists!$I:$I))</f>
        <v/>
      </c>
    </row>
    <row r="1024" spans="8:8">
      <c r="C1024">
        <f>_xlfn.XLOOKUP(B1024,Lists!B:B,Lists!A:A,"")</f>
        <v>0.0</v>
      </c>
      <c r="G1024" t="str">
        <f t="shared" si="76"/>
        <v/>
      </c>
      <c r="H1024" s="20" t="str">
        <f t="shared" si="77"/>
        <v/>
      </c>
      <c r="J1024" t="str">
        <f>IF(I1024="","",_xlfn.XLOOKUP(I1024,Lists!$C:$C,Lists!$D:$D))</f>
        <v/>
      </c>
      <c r="N1024" t="str">
        <f t="shared" si="78"/>
        <v/>
      </c>
      <c r="O1024" t="str">
        <f>IF(I1024="","",_xlfn.XLOOKUP(I1024,Lists!$C:$C,Lists!$J:$J))</f>
        <v/>
      </c>
      <c r="P1024" t="str">
        <f>IF(I1024="","",_xlfn.XLOOKUP(I1024,Lists!$C:$C,Lists!$E:$E))</f>
        <v/>
      </c>
      <c r="Q1024" s="21" t="str">
        <f t="shared" si="79"/>
        <v/>
      </c>
      <c r="R1024" t="str">
        <f t="shared" si="80"/>
        <v/>
      </c>
      <c r="S1024" t="str">
        <f>IF(I1024="","",_xlfn.XLOOKUP(I1024,Lists!$C:$C,Lists!$I:$I))</f>
        <v/>
      </c>
    </row>
    <row r="1025" spans="8:8">
      <c r="C1025">
        <f>_xlfn.XLOOKUP(B1025,Lists!B:B,Lists!A:A,"")</f>
        <v>0.0</v>
      </c>
      <c r="G1025" t="str">
        <f t="shared" si="76"/>
        <v/>
      </c>
      <c r="H1025" s="20" t="str">
        <f t="shared" si="77"/>
        <v/>
      </c>
      <c r="J1025" t="str">
        <f>IF(I1025="","",_xlfn.XLOOKUP(I1025,Lists!$C:$C,Lists!$D:$D))</f>
        <v/>
      </c>
      <c r="N1025" t="str">
        <f t="shared" si="78"/>
        <v/>
      </c>
      <c r="O1025" t="str">
        <f>IF(I1025="","",_xlfn.XLOOKUP(I1025,Lists!$C:$C,Lists!$J:$J))</f>
        <v/>
      </c>
      <c r="P1025" t="str">
        <f>IF(I1025="","",_xlfn.XLOOKUP(I1025,Lists!$C:$C,Lists!$E:$E))</f>
        <v/>
      </c>
      <c r="Q1025" s="21" t="str">
        <f t="shared" si="79"/>
        <v/>
      </c>
      <c r="R1025" t="str">
        <f t="shared" si="80"/>
        <v/>
      </c>
      <c r="S1025" t="str">
        <f>IF(I1025="","",_xlfn.XLOOKUP(I1025,Lists!$C:$C,Lists!$I:$I))</f>
        <v/>
      </c>
    </row>
    <row r="1026" spans="8:8">
      <c r="C1026">
        <f>_xlfn.XLOOKUP(B1026,Lists!B:B,Lists!A:A,"")</f>
        <v>0.0</v>
      </c>
      <c r="G1026" t="str">
        <f t="shared" si="76"/>
        <v/>
      </c>
      <c r="H1026" s="20" t="str">
        <f t="shared" si="77"/>
        <v/>
      </c>
      <c r="J1026" t="str">
        <f>IF(I1026="","",_xlfn.XLOOKUP(I1026,Lists!$C:$C,Lists!$D:$D))</f>
        <v/>
      </c>
      <c r="N1026" t="str">
        <f t="shared" si="78"/>
        <v/>
      </c>
      <c r="O1026" t="str">
        <f>IF(I1026="","",_xlfn.XLOOKUP(I1026,Lists!$C:$C,Lists!$J:$J))</f>
        <v/>
      </c>
      <c r="P1026" t="str">
        <f>IF(I1026="","",_xlfn.XLOOKUP(I1026,Lists!$C:$C,Lists!$E:$E))</f>
        <v/>
      </c>
      <c r="Q1026" s="21" t="str">
        <f t="shared" si="79"/>
        <v/>
      </c>
      <c r="R1026" t="str">
        <f t="shared" si="80"/>
        <v/>
      </c>
      <c r="S1026" t="str">
        <f>IF(I1026="","",_xlfn.XLOOKUP(I1026,Lists!$C:$C,Lists!$I:$I))</f>
        <v/>
      </c>
    </row>
    <row r="1027" spans="8:8">
      <c r="C1027">
        <f>_xlfn.XLOOKUP(B1027,Lists!B:B,Lists!A:A,"")</f>
        <v>0.0</v>
      </c>
      <c r="G1027" t="str">
        <f t="shared" si="81" ref="G1027:G1058">IF(OR(E1027="",F1027=""),"",F1027-E1027+1)</f>
        <v/>
      </c>
      <c r="H1027" s="20" t="str">
        <f t="shared" si="82" ref="H1027:H1058">IF(D1027="","",IF(OR(D1027="A",D1027="B"),G1027/80,IF(D1027="A&amp;B",G1027/160,"")))</f>
        <v/>
      </c>
      <c r="J1027" t="str">
        <f>IF(I1027="","",_xlfn.XLOOKUP(I1027,Lists!$C:$C,Lists!$D:$D))</f>
        <v/>
      </c>
      <c r="N1027" t="str">
        <f t="shared" si="83" ref="N1027:N1058">IF(OR(M1027="",L1027=""),"",(M1027*L1027)/100000)</f>
        <v/>
      </c>
      <c r="O1027" t="str">
        <f>IF(I1027="","",_xlfn.XLOOKUP(I1027,Lists!$C:$C,Lists!$J:$J))</f>
        <v/>
      </c>
      <c r="P1027" t="str">
        <f>IF(I1027="","",_xlfn.XLOOKUP(I1027,Lists!$C:$C,Lists!$E:$E))</f>
        <v/>
      </c>
      <c r="Q1027" s="21" t="str">
        <f t="shared" si="84" ref="Q1027:Q1058">IF(OR(A1027="",P1027=""),"",A1027+P1027+1)</f>
        <v/>
      </c>
      <c r="R1027" t="str">
        <f t="shared" si="85" ref="R1027:R1058">IF(Q1027="","",IF(Q1027&lt;=TODAY(),"Allow","Not Allow"))</f>
        <v/>
      </c>
      <c r="S1027" t="str">
        <f>IF(I1027="","",_xlfn.XLOOKUP(I1027,Lists!$C:$C,Lists!$I:$I))</f>
        <v/>
      </c>
    </row>
    <row r="1028" spans="8:8">
      <c r="C1028">
        <f>_xlfn.XLOOKUP(B1028,Lists!B:B,Lists!A:A,"")</f>
        <v>0.0</v>
      </c>
      <c r="G1028" t="str">
        <f t="shared" si="81"/>
        <v/>
      </c>
      <c r="H1028" s="20" t="str">
        <f t="shared" si="82"/>
        <v/>
      </c>
      <c r="J1028" t="str">
        <f>IF(I1028="","",_xlfn.XLOOKUP(I1028,Lists!$C:$C,Lists!$D:$D))</f>
        <v/>
      </c>
      <c r="N1028" t="str">
        <f t="shared" si="83"/>
        <v/>
      </c>
      <c r="O1028" t="str">
        <f>IF(I1028="","",_xlfn.XLOOKUP(I1028,Lists!$C:$C,Lists!$J:$J))</f>
        <v/>
      </c>
      <c r="P1028" t="str">
        <f>IF(I1028="","",_xlfn.XLOOKUP(I1028,Lists!$C:$C,Lists!$E:$E))</f>
        <v/>
      </c>
      <c r="Q1028" s="21" t="str">
        <f t="shared" si="84"/>
        <v/>
      </c>
      <c r="R1028" t="str">
        <f t="shared" si="85"/>
        <v/>
      </c>
      <c r="S1028" t="str">
        <f>IF(I1028="","",_xlfn.XLOOKUP(I1028,Lists!$C:$C,Lists!$I:$I))</f>
        <v/>
      </c>
    </row>
    <row r="1029" spans="8:8">
      <c r="C1029">
        <f>_xlfn.XLOOKUP(B1029,Lists!B:B,Lists!A:A,"")</f>
        <v>0.0</v>
      </c>
      <c r="G1029" t="str">
        <f t="shared" si="81"/>
        <v/>
      </c>
      <c r="H1029" s="20" t="str">
        <f t="shared" si="82"/>
        <v/>
      </c>
      <c r="J1029" t="str">
        <f>IF(I1029="","",_xlfn.XLOOKUP(I1029,Lists!$C:$C,Lists!$D:$D))</f>
        <v/>
      </c>
      <c r="N1029" t="str">
        <f t="shared" si="83"/>
        <v/>
      </c>
      <c r="O1029" t="str">
        <f>IF(I1029="","",_xlfn.XLOOKUP(I1029,Lists!$C:$C,Lists!$J:$J))</f>
        <v/>
      </c>
      <c r="P1029" t="str">
        <f>IF(I1029="","",_xlfn.XLOOKUP(I1029,Lists!$C:$C,Lists!$E:$E))</f>
        <v/>
      </c>
      <c r="Q1029" s="21" t="str">
        <f t="shared" si="84"/>
        <v/>
      </c>
      <c r="R1029" t="str">
        <f t="shared" si="85"/>
        <v/>
      </c>
      <c r="S1029" t="str">
        <f>IF(I1029="","",_xlfn.XLOOKUP(I1029,Lists!$C:$C,Lists!$I:$I))</f>
        <v/>
      </c>
    </row>
    <row r="1030" spans="8:8">
      <c r="C1030">
        <f>_xlfn.XLOOKUP(B1030,Lists!B:B,Lists!A:A,"")</f>
        <v>0.0</v>
      </c>
      <c r="G1030" t="str">
        <f t="shared" si="81"/>
        <v/>
      </c>
      <c r="H1030" s="20" t="str">
        <f t="shared" si="82"/>
        <v/>
      </c>
      <c r="J1030" t="str">
        <f>IF(I1030="","",_xlfn.XLOOKUP(I1030,Lists!$C:$C,Lists!$D:$D))</f>
        <v/>
      </c>
      <c r="N1030" t="str">
        <f t="shared" si="83"/>
        <v/>
      </c>
      <c r="O1030" t="str">
        <f>IF(I1030="","",_xlfn.XLOOKUP(I1030,Lists!$C:$C,Lists!$J:$J))</f>
        <v/>
      </c>
      <c r="P1030" t="str">
        <f>IF(I1030="","",_xlfn.XLOOKUP(I1030,Lists!$C:$C,Lists!$E:$E))</f>
        <v/>
      </c>
      <c r="Q1030" s="21" t="str">
        <f t="shared" si="84"/>
        <v/>
      </c>
      <c r="R1030" t="str">
        <f t="shared" si="85"/>
        <v/>
      </c>
      <c r="S1030" t="str">
        <f>IF(I1030="","",_xlfn.XLOOKUP(I1030,Lists!$C:$C,Lists!$I:$I))</f>
        <v/>
      </c>
    </row>
    <row r="1031" spans="8:8">
      <c r="C1031">
        <f>_xlfn.XLOOKUP(B1031,Lists!B:B,Lists!A:A,"")</f>
        <v>0.0</v>
      </c>
      <c r="G1031" t="str">
        <f t="shared" si="81"/>
        <v/>
      </c>
      <c r="H1031" s="20" t="str">
        <f t="shared" si="82"/>
        <v/>
      </c>
      <c r="J1031" t="str">
        <f>IF(I1031="","",_xlfn.XLOOKUP(I1031,Lists!$C:$C,Lists!$D:$D))</f>
        <v/>
      </c>
      <c r="N1031" t="str">
        <f t="shared" si="83"/>
        <v/>
      </c>
      <c r="O1031" t="str">
        <f>IF(I1031="","",_xlfn.XLOOKUP(I1031,Lists!$C:$C,Lists!$J:$J))</f>
        <v/>
      </c>
      <c r="P1031" t="str">
        <f>IF(I1031="","",_xlfn.XLOOKUP(I1031,Lists!$C:$C,Lists!$E:$E))</f>
        <v/>
      </c>
      <c r="Q1031" s="21" t="str">
        <f t="shared" si="84"/>
        <v/>
      </c>
      <c r="R1031" t="str">
        <f t="shared" si="85"/>
        <v/>
      </c>
      <c r="S1031" t="str">
        <f>IF(I1031="","",_xlfn.XLOOKUP(I1031,Lists!$C:$C,Lists!$I:$I))</f>
        <v/>
      </c>
    </row>
    <row r="1032" spans="8:8">
      <c r="C1032">
        <f>_xlfn.XLOOKUP(B1032,Lists!B:B,Lists!A:A,"")</f>
        <v>0.0</v>
      </c>
      <c r="G1032" t="str">
        <f t="shared" si="81"/>
        <v/>
      </c>
      <c r="H1032" s="20" t="str">
        <f t="shared" si="82"/>
        <v/>
      </c>
      <c r="J1032" t="str">
        <f>IF(I1032="","",_xlfn.XLOOKUP(I1032,Lists!$C:$C,Lists!$D:$D))</f>
        <v/>
      </c>
      <c r="N1032" t="str">
        <f t="shared" si="83"/>
        <v/>
      </c>
      <c r="O1032" t="str">
        <f>IF(I1032="","",_xlfn.XLOOKUP(I1032,Lists!$C:$C,Lists!$J:$J))</f>
        <v/>
      </c>
      <c r="P1032" t="str">
        <f>IF(I1032="","",_xlfn.XLOOKUP(I1032,Lists!$C:$C,Lists!$E:$E))</f>
        <v/>
      </c>
      <c r="Q1032" s="21" t="str">
        <f t="shared" si="84"/>
        <v/>
      </c>
      <c r="R1032" t="str">
        <f t="shared" si="85"/>
        <v/>
      </c>
      <c r="S1032" t="str">
        <f>IF(I1032="","",_xlfn.XLOOKUP(I1032,Lists!$C:$C,Lists!$I:$I))</f>
        <v/>
      </c>
    </row>
    <row r="1033" spans="8:8">
      <c r="C1033">
        <f>_xlfn.XLOOKUP(B1033,Lists!B:B,Lists!A:A,"")</f>
        <v>0.0</v>
      </c>
      <c r="G1033" t="str">
        <f t="shared" si="81"/>
        <v/>
      </c>
      <c r="H1033" s="20" t="str">
        <f t="shared" si="82"/>
        <v/>
      </c>
      <c r="J1033" t="str">
        <f>IF(I1033="","",_xlfn.XLOOKUP(I1033,Lists!$C:$C,Lists!$D:$D))</f>
        <v/>
      </c>
      <c r="N1033" t="str">
        <f t="shared" si="83"/>
        <v/>
      </c>
      <c r="O1033" t="str">
        <f>IF(I1033="","",_xlfn.XLOOKUP(I1033,Lists!$C:$C,Lists!$J:$J))</f>
        <v/>
      </c>
      <c r="P1033" t="str">
        <f>IF(I1033="","",_xlfn.XLOOKUP(I1033,Lists!$C:$C,Lists!$E:$E))</f>
        <v/>
      </c>
      <c r="Q1033" s="21" t="str">
        <f t="shared" si="84"/>
        <v/>
      </c>
      <c r="R1033" t="str">
        <f t="shared" si="85"/>
        <v/>
      </c>
      <c r="S1033" t="str">
        <f>IF(I1033="","",_xlfn.XLOOKUP(I1033,Lists!$C:$C,Lists!$I:$I))</f>
        <v/>
      </c>
    </row>
    <row r="1034" spans="8:8">
      <c r="C1034">
        <f>_xlfn.XLOOKUP(B1034,Lists!B:B,Lists!A:A,"")</f>
        <v>0.0</v>
      </c>
      <c r="G1034" t="str">
        <f t="shared" si="81"/>
        <v/>
      </c>
      <c r="H1034" s="20" t="str">
        <f t="shared" si="82"/>
        <v/>
      </c>
      <c r="J1034" t="str">
        <f>IF(I1034="","",_xlfn.XLOOKUP(I1034,Lists!$C:$C,Lists!$D:$D))</f>
        <v/>
      </c>
      <c r="N1034" t="str">
        <f t="shared" si="83"/>
        <v/>
      </c>
      <c r="O1034" t="str">
        <f>IF(I1034="","",_xlfn.XLOOKUP(I1034,Lists!$C:$C,Lists!$J:$J))</f>
        <v/>
      </c>
      <c r="P1034" t="str">
        <f>IF(I1034="","",_xlfn.XLOOKUP(I1034,Lists!$C:$C,Lists!$E:$E))</f>
        <v/>
      </c>
      <c r="Q1034" s="21" t="str">
        <f t="shared" si="84"/>
        <v/>
      </c>
      <c r="R1034" t="str">
        <f t="shared" si="85"/>
        <v/>
      </c>
      <c r="S1034" t="str">
        <f>IF(I1034="","",_xlfn.XLOOKUP(I1034,Lists!$C:$C,Lists!$I:$I))</f>
        <v/>
      </c>
    </row>
    <row r="1035" spans="8:8">
      <c r="C1035">
        <f>_xlfn.XLOOKUP(B1035,Lists!B:B,Lists!A:A,"")</f>
        <v>0.0</v>
      </c>
      <c r="G1035" t="str">
        <f t="shared" si="81"/>
        <v/>
      </c>
      <c r="H1035" s="20" t="str">
        <f t="shared" si="82"/>
        <v/>
      </c>
      <c r="J1035" t="str">
        <f>IF(I1035="","",_xlfn.XLOOKUP(I1035,Lists!$C:$C,Lists!$D:$D))</f>
        <v/>
      </c>
      <c r="N1035" t="str">
        <f t="shared" si="83"/>
        <v/>
      </c>
      <c r="O1035" t="str">
        <f>IF(I1035="","",_xlfn.XLOOKUP(I1035,Lists!$C:$C,Lists!$J:$J))</f>
        <v/>
      </c>
      <c r="P1035" t="str">
        <f>IF(I1035="","",_xlfn.XLOOKUP(I1035,Lists!$C:$C,Lists!$E:$E))</f>
        <v/>
      </c>
      <c r="Q1035" s="21" t="str">
        <f t="shared" si="84"/>
        <v/>
      </c>
      <c r="R1035" t="str">
        <f t="shared" si="85"/>
        <v/>
      </c>
      <c r="S1035" t="str">
        <f>IF(I1035="","",_xlfn.XLOOKUP(I1035,Lists!$C:$C,Lists!$I:$I))</f>
        <v/>
      </c>
    </row>
    <row r="1036" spans="8:8">
      <c r="C1036">
        <f>_xlfn.XLOOKUP(B1036,Lists!B:B,Lists!A:A,"")</f>
        <v>0.0</v>
      </c>
      <c r="G1036" t="str">
        <f t="shared" si="81"/>
        <v/>
      </c>
      <c r="H1036" s="20" t="str">
        <f t="shared" si="82"/>
        <v/>
      </c>
      <c r="J1036" t="str">
        <f>IF(I1036="","",_xlfn.XLOOKUP(I1036,Lists!$C:$C,Lists!$D:$D))</f>
        <v/>
      </c>
      <c r="N1036" t="str">
        <f t="shared" si="83"/>
        <v/>
      </c>
      <c r="O1036" t="str">
        <f>IF(I1036="","",_xlfn.XLOOKUP(I1036,Lists!$C:$C,Lists!$J:$J))</f>
        <v/>
      </c>
      <c r="P1036" t="str">
        <f>IF(I1036="","",_xlfn.XLOOKUP(I1036,Lists!$C:$C,Lists!$E:$E))</f>
        <v/>
      </c>
      <c r="Q1036" s="21" t="str">
        <f t="shared" si="84"/>
        <v/>
      </c>
      <c r="R1036" t="str">
        <f t="shared" si="85"/>
        <v/>
      </c>
      <c r="S1036" t="str">
        <f>IF(I1036="","",_xlfn.XLOOKUP(I1036,Lists!$C:$C,Lists!$I:$I))</f>
        <v/>
      </c>
    </row>
    <row r="1037" spans="8:8">
      <c r="C1037">
        <f>_xlfn.XLOOKUP(B1037,Lists!B:B,Lists!A:A,"")</f>
        <v>0.0</v>
      </c>
      <c r="G1037" t="str">
        <f t="shared" si="81"/>
        <v/>
      </c>
      <c r="H1037" s="20" t="str">
        <f t="shared" si="82"/>
        <v/>
      </c>
      <c r="J1037" t="str">
        <f>IF(I1037="","",_xlfn.XLOOKUP(I1037,Lists!$C:$C,Lists!$D:$D))</f>
        <v/>
      </c>
      <c r="N1037" t="str">
        <f t="shared" si="83"/>
        <v/>
      </c>
      <c r="O1037" t="str">
        <f>IF(I1037="","",_xlfn.XLOOKUP(I1037,Lists!$C:$C,Lists!$J:$J))</f>
        <v/>
      </c>
      <c r="P1037" t="str">
        <f>IF(I1037="","",_xlfn.XLOOKUP(I1037,Lists!$C:$C,Lists!$E:$E))</f>
        <v/>
      </c>
      <c r="Q1037" s="21" t="str">
        <f t="shared" si="84"/>
        <v/>
      </c>
      <c r="R1037" t="str">
        <f t="shared" si="85"/>
        <v/>
      </c>
      <c r="S1037" t="str">
        <f>IF(I1037="","",_xlfn.XLOOKUP(I1037,Lists!$C:$C,Lists!$I:$I))</f>
        <v/>
      </c>
    </row>
    <row r="1038" spans="8:8">
      <c r="C1038">
        <f>_xlfn.XLOOKUP(B1038,Lists!B:B,Lists!A:A,"")</f>
        <v>0.0</v>
      </c>
      <c r="G1038" t="str">
        <f t="shared" si="81"/>
        <v/>
      </c>
      <c r="H1038" s="20" t="str">
        <f t="shared" si="82"/>
        <v/>
      </c>
      <c r="J1038" t="str">
        <f>IF(I1038="","",_xlfn.XLOOKUP(I1038,Lists!$C:$C,Lists!$D:$D))</f>
        <v/>
      </c>
      <c r="N1038" t="str">
        <f t="shared" si="83"/>
        <v/>
      </c>
      <c r="O1038" t="str">
        <f>IF(I1038="","",_xlfn.XLOOKUP(I1038,Lists!$C:$C,Lists!$J:$J))</f>
        <v/>
      </c>
      <c r="P1038" t="str">
        <f>IF(I1038="","",_xlfn.XLOOKUP(I1038,Lists!$C:$C,Lists!$E:$E))</f>
        <v/>
      </c>
      <c r="Q1038" s="21" t="str">
        <f t="shared" si="84"/>
        <v/>
      </c>
      <c r="R1038" t="str">
        <f t="shared" si="85"/>
        <v/>
      </c>
      <c r="S1038" t="str">
        <f>IF(I1038="","",_xlfn.XLOOKUP(I1038,Lists!$C:$C,Lists!$I:$I))</f>
        <v/>
      </c>
    </row>
    <row r="1039" spans="8:8">
      <c r="C1039">
        <f>_xlfn.XLOOKUP(B1039,Lists!B:B,Lists!A:A,"")</f>
        <v>0.0</v>
      </c>
      <c r="G1039" t="str">
        <f t="shared" si="81"/>
        <v/>
      </c>
      <c r="H1039" s="20" t="str">
        <f t="shared" si="82"/>
        <v/>
      </c>
      <c r="J1039" t="str">
        <f>IF(I1039="","",_xlfn.XLOOKUP(I1039,Lists!$C:$C,Lists!$D:$D))</f>
        <v/>
      </c>
      <c r="N1039" t="str">
        <f t="shared" si="83"/>
        <v/>
      </c>
      <c r="O1039" t="str">
        <f>IF(I1039="","",_xlfn.XLOOKUP(I1039,Lists!$C:$C,Lists!$J:$J))</f>
        <v/>
      </c>
      <c r="P1039" t="str">
        <f>IF(I1039="","",_xlfn.XLOOKUP(I1039,Lists!$C:$C,Lists!$E:$E))</f>
        <v/>
      </c>
      <c r="Q1039" s="21" t="str">
        <f t="shared" si="84"/>
        <v/>
      </c>
      <c r="R1039" t="str">
        <f t="shared" si="85"/>
        <v/>
      </c>
      <c r="S1039" t="str">
        <f>IF(I1039="","",_xlfn.XLOOKUP(I1039,Lists!$C:$C,Lists!$I:$I))</f>
        <v/>
      </c>
    </row>
    <row r="1040" spans="8:8">
      <c r="C1040">
        <f>_xlfn.XLOOKUP(B1040,Lists!B:B,Lists!A:A,"")</f>
        <v>0.0</v>
      </c>
      <c r="G1040" t="str">
        <f t="shared" si="81"/>
        <v/>
      </c>
      <c r="H1040" s="20" t="str">
        <f t="shared" si="82"/>
        <v/>
      </c>
      <c r="J1040" t="str">
        <f>IF(I1040="","",_xlfn.XLOOKUP(I1040,Lists!$C:$C,Lists!$D:$D))</f>
        <v/>
      </c>
      <c r="N1040" t="str">
        <f t="shared" si="83"/>
        <v/>
      </c>
      <c r="O1040" t="str">
        <f>IF(I1040="","",_xlfn.XLOOKUP(I1040,Lists!$C:$C,Lists!$J:$J))</f>
        <v/>
      </c>
      <c r="P1040" t="str">
        <f>IF(I1040="","",_xlfn.XLOOKUP(I1040,Lists!$C:$C,Lists!$E:$E))</f>
        <v/>
      </c>
      <c r="Q1040" s="21" t="str">
        <f t="shared" si="84"/>
        <v/>
      </c>
      <c r="R1040" t="str">
        <f t="shared" si="85"/>
        <v/>
      </c>
      <c r="S1040" t="str">
        <f>IF(I1040="","",_xlfn.XLOOKUP(I1040,Lists!$C:$C,Lists!$I:$I))</f>
        <v/>
      </c>
    </row>
    <row r="1041" spans="8:8">
      <c r="C1041">
        <f>_xlfn.XLOOKUP(B1041,Lists!B:B,Lists!A:A,"")</f>
        <v>0.0</v>
      </c>
      <c r="G1041" t="str">
        <f t="shared" si="81"/>
        <v/>
      </c>
      <c r="H1041" s="20" t="str">
        <f t="shared" si="82"/>
        <v/>
      </c>
      <c r="J1041" t="str">
        <f>IF(I1041="","",_xlfn.XLOOKUP(I1041,Lists!$C:$C,Lists!$D:$D))</f>
        <v/>
      </c>
      <c r="N1041" t="str">
        <f t="shared" si="83"/>
        <v/>
      </c>
      <c r="O1041" t="str">
        <f>IF(I1041="","",_xlfn.XLOOKUP(I1041,Lists!$C:$C,Lists!$J:$J))</f>
        <v/>
      </c>
      <c r="P1041" t="str">
        <f>IF(I1041="","",_xlfn.XLOOKUP(I1041,Lists!$C:$C,Lists!$E:$E))</f>
        <v/>
      </c>
      <c r="Q1041" s="21" t="str">
        <f t="shared" si="84"/>
        <v/>
      </c>
      <c r="R1041" t="str">
        <f t="shared" si="85"/>
        <v/>
      </c>
      <c r="S1041" t="str">
        <f>IF(I1041="","",_xlfn.XLOOKUP(I1041,Lists!$C:$C,Lists!$I:$I))</f>
        <v/>
      </c>
    </row>
    <row r="1042" spans="8:8">
      <c r="C1042">
        <f>_xlfn.XLOOKUP(B1042,Lists!B:B,Lists!A:A,"")</f>
        <v>0.0</v>
      </c>
      <c r="G1042" t="str">
        <f t="shared" si="81"/>
        <v/>
      </c>
      <c r="H1042" s="20" t="str">
        <f t="shared" si="82"/>
        <v/>
      </c>
      <c r="J1042" t="str">
        <f>IF(I1042="","",_xlfn.XLOOKUP(I1042,Lists!$C:$C,Lists!$D:$D))</f>
        <v/>
      </c>
      <c r="N1042" t="str">
        <f t="shared" si="83"/>
        <v/>
      </c>
      <c r="O1042" t="str">
        <f>IF(I1042="","",_xlfn.XLOOKUP(I1042,Lists!$C:$C,Lists!$J:$J))</f>
        <v/>
      </c>
      <c r="P1042" t="str">
        <f>IF(I1042="","",_xlfn.XLOOKUP(I1042,Lists!$C:$C,Lists!$E:$E))</f>
        <v/>
      </c>
      <c r="Q1042" s="21" t="str">
        <f t="shared" si="84"/>
        <v/>
      </c>
      <c r="R1042" t="str">
        <f t="shared" si="85"/>
        <v/>
      </c>
      <c r="S1042" t="str">
        <f>IF(I1042="","",_xlfn.XLOOKUP(I1042,Lists!$C:$C,Lists!$I:$I))</f>
        <v/>
      </c>
    </row>
    <row r="1043" spans="8:8">
      <c r="C1043">
        <f>_xlfn.XLOOKUP(B1043,Lists!B:B,Lists!A:A,"")</f>
        <v>0.0</v>
      </c>
      <c r="G1043" t="str">
        <f t="shared" si="81"/>
        <v/>
      </c>
      <c r="H1043" s="20" t="str">
        <f t="shared" si="82"/>
        <v/>
      </c>
      <c r="J1043" t="str">
        <f>IF(I1043="","",_xlfn.XLOOKUP(I1043,Lists!$C:$C,Lists!$D:$D))</f>
        <v/>
      </c>
      <c r="N1043" t="str">
        <f t="shared" si="83"/>
        <v/>
      </c>
      <c r="O1043" t="str">
        <f>IF(I1043="","",_xlfn.XLOOKUP(I1043,Lists!$C:$C,Lists!$J:$J))</f>
        <v/>
      </c>
      <c r="P1043" t="str">
        <f>IF(I1043="","",_xlfn.XLOOKUP(I1043,Lists!$C:$C,Lists!$E:$E))</f>
        <v/>
      </c>
      <c r="Q1043" s="21" t="str">
        <f t="shared" si="84"/>
        <v/>
      </c>
      <c r="R1043" t="str">
        <f t="shared" si="85"/>
        <v/>
      </c>
      <c r="S1043" t="str">
        <f>IF(I1043="","",_xlfn.XLOOKUP(I1043,Lists!$C:$C,Lists!$I:$I))</f>
        <v/>
      </c>
    </row>
    <row r="1044" spans="8:8">
      <c r="C1044">
        <f>_xlfn.XLOOKUP(B1044,Lists!B:B,Lists!A:A,"")</f>
        <v>0.0</v>
      </c>
      <c r="G1044" t="str">
        <f t="shared" si="81"/>
        <v/>
      </c>
      <c r="H1044" s="20" t="str">
        <f t="shared" si="82"/>
        <v/>
      </c>
      <c r="J1044" t="str">
        <f>IF(I1044="","",_xlfn.XLOOKUP(I1044,Lists!$C:$C,Lists!$D:$D))</f>
        <v/>
      </c>
      <c r="N1044" t="str">
        <f t="shared" si="83"/>
        <v/>
      </c>
      <c r="O1044" t="str">
        <f>IF(I1044="","",_xlfn.XLOOKUP(I1044,Lists!$C:$C,Lists!$J:$J))</f>
        <v/>
      </c>
      <c r="P1044" t="str">
        <f>IF(I1044="","",_xlfn.XLOOKUP(I1044,Lists!$C:$C,Lists!$E:$E))</f>
        <v/>
      </c>
      <c r="Q1044" s="21" t="str">
        <f t="shared" si="84"/>
        <v/>
      </c>
      <c r="R1044" t="str">
        <f t="shared" si="85"/>
        <v/>
      </c>
      <c r="S1044" t="str">
        <f>IF(I1044="","",_xlfn.XLOOKUP(I1044,Lists!$C:$C,Lists!$I:$I))</f>
        <v/>
      </c>
    </row>
    <row r="1045" spans="8:8">
      <c r="C1045">
        <f>_xlfn.XLOOKUP(B1045,Lists!B:B,Lists!A:A,"")</f>
        <v>0.0</v>
      </c>
      <c r="G1045" t="str">
        <f t="shared" si="81"/>
        <v/>
      </c>
      <c r="H1045" s="20" t="str">
        <f t="shared" si="82"/>
        <v/>
      </c>
      <c r="J1045" t="str">
        <f>IF(I1045="","",_xlfn.XLOOKUP(I1045,Lists!$C:$C,Lists!$D:$D))</f>
        <v/>
      </c>
      <c r="N1045" t="str">
        <f t="shared" si="83"/>
        <v/>
      </c>
      <c r="O1045" t="str">
        <f>IF(I1045="","",_xlfn.XLOOKUP(I1045,Lists!$C:$C,Lists!$J:$J))</f>
        <v/>
      </c>
      <c r="P1045" t="str">
        <f>IF(I1045="","",_xlfn.XLOOKUP(I1045,Lists!$C:$C,Lists!$E:$E))</f>
        <v/>
      </c>
      <c r="Q1045" s="21" t="str">
        <f t="shared" si="84"/>
        <v/>
      </c>
      <c r="R1045" t="str">
        <f t="shared" si="85"/>
        <v/>
      </c>
      <c r="S1045" t="str">
        <f>IF(I1045="","",_xlfn.XLOOKUP(I1045,Lists!$C:$C,Lists!$I:$I))</f>
        <v/>
      </c>
    </row>
    <row r="1046" spans="8:8">
      <c r="C1046">
        <f>_xlfn.XLOOKUP(B1046,Lists!B:B,Lists!A:A,"")</f>
        <v>0.0</v>
      </c>
      <c r="G1046" t="str">
        <f t="shared" si="81"/>
        <v/>
      </c>
      <c r="H1046" s="20" t="str">
        <f t="shared" si="82"/>
        <v/>
      </c>
      <c r="J1046" t="str">
        <f>IF(I1046="","",_xlfn.XLOOKUP(I1046,Lists!$C:$C,Lists!$D:$D))</f>
        <v/>
      </c>
      <c r="N1046" t="str">
        <f t="shared" si="83"/>
        <v/>
      </c>
      <c r="O1046" t="str">
        <f>IF(I1046="","",_xlfn.XLOOKUP(I1046,Lists!$C:$C,Lists!$J:$J))</f>
        <v/>
      </c>
      <c r="P1046" t="str">
        <f>IF(I1046="","",_xlfn.XLOOKUP(I1046,Lists!$C:$C,Lists!$E:$E))</f>
        <v/>
      </c>
      <c r="Q1046" s="21" t="str">
        <f t="shared" si="84"/>
        <v/>
      </c>
      <c r="R1046" t="str">
        <f t="shared" si="85"/>
        <v/>
      </c>
      <c r="S1046" t="str">
        <f>IF(I1046="","",_xlfn.XLOOKUP(I1046,Lists!$C:$C,Lists!$I:$I))</f>
        <v/>
      </c>
    </row>
    <row r="1047" spans="8:8">
      <c r="C1047">
        <f>_xlfn.XLOOKUP(B1047,Lists!B:B,Lists!A:A,"")</f>
        <v>0.0</v>
      </c>
      <c r="G1047" t="str">
        <f t="shared" si="81"/>
        <v/>
      </c>
      <c r="H1047" s="20" t="str">
        <f t="shared" si="82"/>
        <v/>
      </c>
      <c r="J1047" t="str">
        <f>IF(I1047="","",_xlfn.XLOOKUP(I1047,Lists!$C:$C,Lists!$D:$D))</f>
        <v/>
      </c>
      <c r="N1047" t="str">
        <f t="shared" si="83"/>
        <v/>
      </c>
      <c r="O1047" t="str">
        <f>IF(I1047="","",_xlfn.XLOOKUP(I1047,Lists!$C:$C,Lists!$J:$J))</f>
        <v/>
      </c>
      <c r="P1047" t="str">
        <f>IF(I1047="","",_xlfn.XLOOKUP(I1047,Lists!$C:$C,Lists!$E:$E))</f>
        <v/>
      </c>
      <c r="Q1047" s="21" t="str">
        <f t="shared" si="84"/>
        <v/>
      </c>
      <c r="R1047" t="str">
        <f t="shared" si="85"/>
        <v/>
      </c>
      <c r="S1047" t="str">
        <f>IF(I1047="","",_xlfn.XLOOKUP(I1047,Lists!$C:$C,Lists!$I:$I))</f>
        <v/>
      </c>
    </row>
    <row r="1048" spans="8:8">
      <c r="C1048">
        <f>_xlfn.XLOOKUP(B1048,Lists!B:B,Lists!A:A,"")</f>
        <v>0.0</v>
      </c>
      <c r="G1048" t="str">
        <f t="shared" si="81"/>
        <v/>
      </c>
      <c r="H1048" s="20" t="str">
        <f t="shared" si="82"/>
        <v/>
      </c>
      <c r="J1048" t="str">
        <f>IF(I1048="","",_xlfn.XLOOKUP(I1048,Lists!$C:$C,Lists!$D:$D))</f>
        <v/>
      </c>
      <c r="N1048" t="str">
        <f t="shared" si="83"/>
        <v/>
      </c>
      <c r="O1048" t="str">
        <f>IF(I1048="","",_xlfn.XLOOKUP(I1048,Lists!$C:$C,Lists!$J:$J))</f>
        <v/>
      </c>
      <c r="P1048" t="str">
        <f>IF(I1048="","",_xlfn.XLOOKUP(I1048,Lists!$C:$C,Lists!$E:$E))</f>
        <v/>
      </c>
      <c r="Q1048" s="21" t="str">
        <f t="shared" si="84"/>
        <v/>
      </c>
      <c r="R1048" t="str">
        <f t="shared" si="85"/>
        <v/>
      </c>
      <c r="S1048" t="str">
        <f>IF(I1048="","",_xlfn.XLOOKUP(I1048,Lists!$C:$C,Lists!$I:$I))</f>
        <v/>
      </c>
    </row>
    <row r="1049" spans="8:8">
      <c r="C1049">
        <f>_xlfn.XLOOKUP(B1049,Lists!B:B,Lists!A:A,"")</f>
        <v>0.0</v>
      </c>
      <c r="G1049" t="str">
        <f t="shared" si="81"/>
        <v/>
      </c>
      <c r="H1049" s="20" t="str">
        <f t="shared" si="82"/>
        <v/>
      </c>
      <c r="J1049" t="str">
        <f>IF(I1049="","",_xlfn.XLOOKUP(I1049,Lists!$C:$C,Lists!$D:$D))</f>
        <v/>
      </c>
      <c r="N1049" t="str">
        <f t="shared" si="83"/>
        <v/>
      </c>
      <c r="O1049" t="str">
        <f>IF(I1049="","",_xlfn.XLOOKUP(I1049,Lists!$C:$C,Lists!$J:$J))</f>
        <v/>
      </c>
      <c r="P1049" t="str">
        <f>IF(I1049="","",_xlfn.XLOOKUP(I1049,Lists!$C:$C,Lists!$E:$E))</f>
        <v/>
      </c>
      <c r="Q1049" s="21" t="str">
        <f t="shared" si="84"/>
        <v/>
      </c>
      <c r="R1049" t="str">
        <f t="shared" si="85"/>
        <v/>
      </c>
      <c r="S1049" t="str">
        <f>IF(I1049="","",_xlfn.XLOOKUP(I1049,Lists!$C:$C,Lists!$I:$I))</f>
        <v/>
      </c>
    </row>
    <row r="1050" spans="8:8">
      <c r="C1050">
        <f>_xlfn.XLOOKUP(B1050,Lists!B:B,Lists!A:A,"")</f>
        <v>0.0</v>
      </c>
      <c r="G1050" t="str">
        <f t="shared" si="81"/>
        <v/>
      </c>
      <c r="H1050" s="20" t="str">
        <f t="shared" si="82"/>
        <v/>
      </c>
      <c r="J1050" t="str">
        <f>IF(I1050="","",_xlfn.XLOOKUP(I1050,Lists!$C:$C,Lists!$D:$D))</f>
        <v/>
      </c>
      <c r="N1050" t="str">
        <f t="shared" si="83"/>
        <v/>
      </c>
      <c r="O1050" t="str">
        <f>IF(I1050="","",_xlfn.XLOOKUP(I1050,Lists!$C:$C,Lists!$J:$J))</f>
        <v/>
      </c>
      <c r="P1050" t="str">
        <f>IF(I1050="","",_xlfn.XLOOKUP(I1050,Lists!$C:$C,Lists!$E:$E))</f>
        <v/>
      </c>
      <c r="Q1050" s="21" t="str">
        <f t="shared" si="84"/>
        <v/>
      </c>
      <c r="R1050" t="str">
        <f t="shared" si="85"/>
        <v/>
      </c>
      <c r="S1050" t="str">
        <f>IF(I1050="","",_xlfn.XLOOKUP(I1050,Lists!$C:$C,Lists!$I:$I))</f>
        <v/>
      </c>
    </row>
    <row r="1051" spans="8:8">
      <c r="C1051">
        <f>_xlfn.XLOOKUP(B1051,Lists!B:B,Lists!A:A,"")</f>
        <v>0.0</v>
      </c>
      <c r="G1051" t="str">
        <f t="shared" si="81"/>
        <v/>
      </c>
      <c r="H1051" s="20" t="str">
        <f t="shared" si="82"/>
        <v/>
      </c>
      <c r="J1051" t="str">
        <f>IF(I1051="","",_xlfn.XLOOKUP(I1051,Lists!$C:$C,Lists!$D:$D))</f>
        <v/>
      </c>
      <c r="N1051" t="str">
        <f t="shared" si="83"/>
        <v/>
      </c>
      <c r="O1051" t="str">
        <f>IF(I1051="","",_xlfn.XLOOKUP(I1051,Lists!$C:$C,Lists!$J:$J))</f>
        <v/>
      </c>
      <c r="P1051" t="str">
        <f>IF(I1051="","",_xlfn.XLOOKUP(I1051,Lists!$C:$C,Lists!$E:$E))</f>
        <v/>
      </c>
      <c r="Q1051" s="21" t="str">
        <f t="shared" si="84"/>
        <v/>
      </c>
      <c r="R1051" t="str">
        <f t="shared" si="85"/>
        <v/>
      </c>
      <c r="S1051" t="str">
        <f>IF(I1051="","",_xlfn.XLOOKUP(I1051,Lists!$C:$C,Lists!$I:$I))</f>
        <v/>
      </c>
    </row>
    <row r="1052" spans="8:8">
      <c r="C1052">
        <f>_xlfn.XLOOKUP(B1052,Lists!B:B,Lists!A:A,"")</f>
        <v>0.0</v>
      </c>
      <c r="G1052" t="str">
        <f t="shared" si="81"/>
        <v/>
      </c>
      <c r="H1052" s="20" t="str">
        <f t="shared" si="82"/>
        <v/>
      </c>
      <c r="J1052" t="str">
        <f>IF(I1052="","",_xlfn.XLOOKUP(I1052,Lists!$C:$C,Lists!$D:$D))</f>
        <v/>
      </c>
      <c r="N1052" t="str">
        <f t="shared" si="83"/>
        <v/>
      </c>
      <c r="O1052" t="str">
        <f>IF(I1052="","",_xlfn.XLOOKUP(I1052,Lists!$C:$C,Lists!$J:$J))</f>
        <v/>
      </c>
      <c r="P1052" t="str">
        <f>IF(I1052="","",_xlfn.XLOOKUP(I1052,Lists!$C:$C,Lists!$E:$E))</f>
        <v/>
      </c>
      <c r="Q1052" s="21" t="str">
        <f t="shared" si="84"/>
        <v/>
      </c>
      <c r="R1052" t="str">
        <f t="shared" si="85"/>
        <v/>
      </c>
      <c r="S1052" t="str">
        <f>IF(I1052="","",_xlfn.XLOOKUP(I1052,Lists!$C:$C,Lists!$I:$I))</f>
        <v/>
      </c>
    </row>
    <row r="1053" spans="8:8">
      <c r="C1053">
        <f>_xlfn.XLOOKUP(B1053,Lists!B:B,Lists!A:A,"")</f>
        <v>0.0</v>
      </c>
      <c r="G1053" t="str">
        <f t="shared" si="81"/>
        <v/>
      </c>
      <c r="H1053" s="20" t="str">
        <f t="shared" si="82"/>
        <v/>
      </c>
      <c r="J1053" t="str">
        <f>IF(I1053="","",_xlfn.XLOOKUP(I1053,Lists!$C:$C,Lists!$D:$D))</f>
        <v/>
      </c>
      <c r="N1053" t="str">
        <f t="shared" si="83"/>
        <v/>
      </c>
      <c r="O1053" t="str">
        <f>IF(I1053="","",_xlfn.XLOOKUP(I1053,Lists!$C:$C,Lists!$J:$J))</f>
        <v/>
      </c>
      <c r="P1053" t="str">
        <f>IF(I1053="","",_xlfn.XLOOKUP(I1053,Lists!$C:$C,Lists!$E:$E))</f>
        <v/>
      </c>
      <c r="Q1053" s="21" t="str">
        <f t="shared" si="84"/>
        <v/>
      </c>
      <c r="R1053" t="str">
        <f t="shared" si="85"/>
        <v/>
      </c>
      <c r="S1053" t="str">
        <f>IF(I1053="","",_xlfn.XLOOKUP(I1053,Lists!$C:$C,Lists!$I:$I))</f>
        <v/>
      </c>
    </row>
    <row r="1054" spans="8:8">
      <c r="C1054">
        <f>_xlfn.XLOOKUP(B1054,Lists!B:B,Lists!A:A,"")</f>
        <v>0.0</v>
      </c>
      <c r="G1054" t="str">
        <f t="shared" si="81"/>
        <v/>
      </c>
      <c r="H1054" s="20" t="str">
        <f t="shared" si="82"/>
        <v/>
      </c>
      <c r="J1054" t="str">
        <f>IF(I1054="","",_xlfn.XLOOKUP(I1054,Lists!$C:$C,Lists!$D:$D))</f>
        <v/>
      </c>
      <c r="N1054" t="str">
        <f t="shared" si="83"/>
        <v/>
      </c>
      <c r="O1054" t="str">
        <f>IF(I1054="","",_xlfn.XLOOKUP(I1054,Lists!$C:$C,Lists!$J:$J))</f>
        <v/>
      </c>
      <c r="P1054" t="str">
        <f>IF(I1054="","",_xlfn.XLOOKUP(I1054,Lists!$C:$C,Lists!$E:$E))</f>
        <v/>
      </c>
      <c r="Q1054" s="21" t="str">
        <f t="shared" si="84"/>
        <v/>
      </c>
      <c r="R1054" t="str">
        <f t="shared" si="85"/>
        <v/>
      </c>
      <c r="S1054" t="str">
        <f>IF(I1054="","",_xlfn.XLOOKUP(I1054,Lists!$C:$C,Lists!$I:$I))</f>
        <v/>
      </c>
    </row>
    <row r="1055" spans="8:8">
      <c r="C1055">
        <f>_xlfn.XLOOKUP(B1055,Lists!B:B,Lists!A:A,"")</f>
        <v>0.0</v>
      </c>
      <c r="G1055" t="str">
        <f t="shared" si="81"/>
        <v/>
      </c>
      <c r="H1055" s="20" t="str">
        <f t="shared" si="82"/>
        <v/>
      </c>
      <c r="J1055" t="str">
        <f>IF(I1055="","",_xlfn.XLOOKUP(I1055,Lists!$C:$C,Lists!$D:$D))</f>
        <v/>
      </c>
      <c r="N1055" t="str">
        <f t="shared" si="83"/>
        <v/>
      </c>
      <c r="O1055" t="str">
        <f>IF(I1055="","",_xlfn.XLOOKUP(I1055,Lists!$C:$C,Lists!$J:$J))</f>
        <v/>
      </c>
      <c r="P1055" t="str">
        <f>IF(I1055="","",_xlfn.XLOOKUP(I1055,Lists!$C:$C,Lists!$E:$E))</f>
        <v/>
      </c>
      <c r="Q1055" s="21" t="str">
        <f t="shared" si="84"/>
        <v/>
      </c>
      <c r="R1055" t="str">
        <f t="shared" si="85"/>
        <v/>
      </c>
      <c r="S1055" t="str">
        <f>IF(I1055="","",_xlfn.XLOOKUP(I1055,Lists!$C:$C,Lists!$I:$I))</f>
        <v/>
      </c>
    </row>
    <row r="1056" spans="8:8">
      <c r="C1056">
        <f>_xlfn.XLOOKUP(B1056,Lists!B:B,Lists!A:A,"")</f>
        <v>0.0</v>
      </c>
      <c r="G1056" t="str">
        <f t="shared" si="81"/>
        <v/>
      </c>
      <c r="H1056" s="20" t="str">
        <f t="shared" si="82"/>
        <v/>
      </c>
      <c r="J1056" t="str">
        <f>IF(I1056="","",_xlfn.XLOOKUP(I1056,Lists!$C:$C,Lists!$D:$D))</f>
        <v/>
      </c>
      <c r="N1056" t="str">
        <f t="shared" si="83"/>
        <v/>
      </c>
      <c r="O1056" t="str">
        <f>IF(I1056="","",_xlfn.XLOOKUP(I1056,Lists!$C:$C,Lists!$J:$J))</f>
        <v/>
      </c>
      <c r="P1056" t="str">
        <f>IF(I1056="","",_xlfn.XLOOKUP(I1056,Lists!$C:$C,Lists!$E:$E))</f>
        <v/>
      </c>
      <c r="Q1056" s="21" t="str">
        <f t="shared" si="84"/>
        <v/>
      </c>
      <c r="R1056" t="str">
        <f t="shared" si="85"/>
        <v/>
      </c>
      <c r="S1056" t="str">
        <f>IF(I1056="","",_xlfn.XLOOKUP(I1056,Lists!$C:$C,Lists!$I:$I))</f>
        <v/>
      </c>
    </row>
    <row r="1057" spans="8:8">
      <c r="C1057">
        <f>_xlfn.XLOOKUP(B1057,Lists!B:B,Lists!A:A,"")</f>
        <v>0.0</v>
      </c>
      <c r="G1057" t="str">
        <f t="shared" si="81"/>
        <v/>
      </c>
      <c r="H1057" s="20" t="str">
        <f t="shared" si="82"/>
        <v/>
      </c>
      <c r="J1057" t="str">
        <f>IF(I1057="","",_xlfn.XLOOKUP(I1057,Lists!$C:$C,Lists!$D:$D))</f>
        <v/>
      </c>
      <c r="N1057" t="str">
        <f t="shared" si="83"/>
        <v/>
      </c>
      <c r="O1057" t="str">
        <f>IF(I1057="","",_xlfn.XLOOKUP(I1057,Lists!$C:$C,Lists!$J:$J))</f>
        <v/>
      </c>
      <c r="P1057" t="str">
        <f>IF(I1057="","",_xlfn.XLOOKUP(I1057,Lists!$C:$C,Lists!$E:$E))</f>
        <v/>
      </c>
      <c r="Q1057" s="21" t="str">
        <f t="shared" si="84"/>
        <v/>
      </c>
      <c r="R1057" t="str">
        <f t="shared" si="85"/>
        <v/>
      </c>
      <c r="S1057" t="str">
        <f>IF(I1057="","",_xlfn.XLOOKUP(I1057,Lists!$C:$C,Lists!$I:$I))</f>
        <v/>
      </c>
    </row>
    <row r="1058" spans="8:8">
      <c r="C1058">
        <f>_xlfn.XLOOKUP(B1058,Lists!B:B,Lists!A:A,"")</f>
        <v>0.0</v>
      </c>
      <c r="G1058" t="str">
        <f t="shared" si="81"/>
        <v/>
      </c>
      <c r="H1058" s="20" t="str">
        <f t="shared" si="82"/>
        <v/>
      </c>
      <c r="J1058" t="str">
        <f>IF(I1058="","",_xlfn.XLOOKUP(I1058,Lists!$C:$C,Lists!$D:$D))</f>
        <v/>
      </c>
      <c r="N1058" t="str">
        <f t="shared" si="83"/>
        <v/>
      </c>
      <c r="O1058" t="str">
        <f>IF(I1058="","",_xlfn.XLOOKUP(I1058,Lists!$C:$C,Lists!$J:$J))</f>
        <v/>
      </c>
      <c r="P1058" t="str">
        <f>IF(I1058="","",_xlfn.XLOOKUP(I1058,Lists!$C:$C,Lists!$E:$E))</f>
        <v/>
      </c>
      <c r="Q1058" s="21" t="str">
        <f t="shared" si="84"/>
        <v/>
      </c>
      <c r="R1058" t="str">
        <f t="shared" si="85"/>
        <v/>
      </c>
      <c r="S1058" t="str">
        <f>IF(I1058="","",_xlfn.XLOOKUP(I1058,Lists!$C:$C,Lists!$I:$I))</f>
        <v/>
      </c>
    </row>
    <row r="1059" spans="8:8">
      <c r="C1059">
        <f>_xlfn.XLOOKUP(B1059,Lists!B:B,Lists!A:A,"")</f>
        <v>0.0</v>
      </c>
      <c r="G1059" t="str">
        <f t="shared" si="86" ref="G1059:G1090">IF(OR(E1059="",F1059=""),"",F1059-E1059+1)</f>
        <v/>
      </c>
      <c r="H1059" s="20" t="str">
        <f t="shared" si="87" ref="H1059:H1090">IF(D1059="","",IF(OR(D1059="A",D1059="B"),G1059/80,IF(D1059="A&amp;B",G1059/160,"")))</f>
        <v/>
      </c>
      <c r="J1059" t="str">
        <f>IF(I1059="","",_xlfn.XLOOKUP(I1059,Lists!$C:$C,Lists!$D:$D))</f>
        <v/>
      </c>
      <c r="N1059" t="str">
        <f t="shared" si="88" ref="N1059:N1090">IF(OR(M1059="",L1059=""),"",(M1059*L1059)/100000)</f>
        <v/>
      </c>
      <c r="O1059" t="str">
        <f>IF(I1059="","",_xlfn.XLOOKUP(I1059,Lists!$C:$C,Lists!$J:$J))</f>
        <v/>
      </c>
      <c r="P1059" t="str">
        <f>IF(I1059="","",_xlfn.XLOOKUP(I1059,Lists!$C:$C,Lists!$E:$E))</f>
        <v/>
      </c>
      <c r="Q1059" s="21" t="str">
        <f t="shared" si="89" ref="Q1059:Q1090">IF(OR(A1059="",P1059=""),"",A1059+P1059+1)</f>
        <v/>
      </c>
      <c r="R1059" t="str">
        <f t="shared" si="90" ref="R1059:R1090">IF(Q1059="","",IF(Q1059&lt;=TODAY(),"Allow","Not Allow"))</f>
        <v/>
      </c>
      <c r="S1059" t="str">
        <f>IF(I1059="","",_xlfn.XLOOKUP(I1059,Lists!$C:$C,Lists!$I:$I))</f>
        <v/>
      </c>
    </row>
    <row r="1060" spans="8:8">
      <c r="C1060">
        <f>_xlfn.XLOOKUP(B1060,Lists!B:B,Lists!A:A,"")</f>
        <v>0.0</v>
      </c>
      <c r="G1060" t="str">
        <f t="shared" si="86"/>
        <v/>
      </c>
      <c r="H1060" s="20" t="str">
        <f t="shared" si="87"/>
        <v/>
      </c>
      <c r="J1060" t="str">
        <f>IF(I1060="","",_xlfn.XLOOKUP(I1060,Lists!$C:$C,Lists!$D:$D))</f>
        <v/>
      </c>
      <c r="N1060" t="str">
        <f t="shared" si="88"/>
        <v/>
      </c>
      <c r="O1060" t="str">
        <f>IF(I1060="","",_xlfn.XLOOKUP(I1060,Lists!$C:$C,Lists!$J:$J))</f>
        <v/>
      </c>
      <c r="P1060" t="str">
        <f>IF(I1060="","",_xlfn.XLOOKUP(I1060,Lists!$C:$C,Lists!$E:$E))</f>
        <v/>
      </c>
      <c r="Q1060" s="21" t="str">
        <f t="shared" si="89"/>
        <v/>
      </c>
      <c r="R1060" t="str">
        <f t="shared" si="90"/>
        <v/>
      </c>
      <c r="S1060" t="str">
        <f>IF(I1060="","",_xlfn.XLOOKUP(I1060,Lists!$C:$C,Lists!$I:$I))</f>
        <v/>
      </c>
    </row>
    <row r="1061" spans="8:8">
      <c r="C1061">
        <f>_xlfn.XLOOKUP(B1061,Lists!B:B,Lists!A:A,"")</f>
        <v>0.0</v>
      </c>
      <c r="G1061" t="str">
        <f t="shared" si="86"/>
        <v/>
      </c>
      <c r="H1061" s="20" t="str">
        <f t="shared" si="87"/>
        <v/>
      </c>
      <c r="J1061" t="str">
        <f>IF(I1061="","",_xlfn.XLOOKUP(I1061,Lists!$C:$C,Lists!$D:$D))</f>
        <v/>
      </c>
      <c r="N1061" t="str">
        <f t="shared" si="88"/>
        <v/>
      </c>
      <c r="O1061" t="str">
        <f>IF(I1061="","",_xlfn.XLOOKUP(I1061,Lists!$C:$C,Lists!$J:$J))</f>
        <v/>
      </c>
      <c r="P1061" t="str">
        <f>IF(I1061="","",_xlfn.XLOOKUP(I1061,Lists!$C:$C,Lists!$E:$E))</f>
        <v/>
      </c>
      <c r="Q1061" s="21" t="str">
        <f t="shared" si="89"/>
        <v/>
      </c>
      <c r="R1061" t="str">
        <f t="shared" si="90"/>
        <v/>
      </c>
      <c r="S1061" t="str">
        <f>IF(I1061="","",_xlfn.XLOOKUP(I1061,Lists!$C:$C,Lists!$I:$I))</f>
        <v/>
      </c>
    </row>
    <row r="1062" spans="8:8">
      <c r="C1062">
        <f>_xlfn.XLOOKUP(B1062,Lists!B:B,Lists!A:A,"")</f>
        <v>0.0</v>
      </c>
      <c r="G1062" t="str">
        <f t="shared" si="86"/>
        <v/>
      </c>
      <c r="H1062" s="20" t="str">
        <f t="shared" si="87"/>
        <v/>
      </c>
      <c r="J1062" t="str">
        <f>IF(I1062="","",_xlfn.XLOOKUP(I1062,Lists!$C:$C,Lists!$D:$D))</f>
        <v/>
      </c>
      <c r="N1062" t="str">
        <f t="shared" si="88"/>
        <v/>
      </c>
      <c r="O1062" t="str">
        <f>IF(I1062="","",_xlfn.XLOOKUP(I1062,Lists!$C:$C,Lists!$J:$J))</f>
        <v/>
      </c>
      <c r="P1062" t="str">
        <f>IF(I1062="","",_xlfn.XLOOKUP(I1062,Lists!$C:$C,Lists!$E:$E))</f>
        <v/>
      </c>
      <c r="Q1062" s="21" t="str">
        <f t="shared" si="89"/>
        <v/>
      </c>
      <c r="R1062" t="str">
        <f t="shared" si="90"/>
        <v/>
      </c>
      <c r="S1062" t="str">
        <f>IF(I1062="","",_xlfn.XLOOKUP(I1062,Lists!$C:$C,Lists!$I:$I))</f>
        <v/>
      </c>
    </row>
    <row r="1063" spans="8:8">
      <c r="C1063">
        <f>_xlfn.XLOOKUP(B1063,Lists!B:B,Lists!A:A,"")</f>
        <v>0.0</v>
      </c>
      <c r="G1063" t="str">
        <f t="shared" si="86"/>
        <v/>
      </c>
      <c r="H1063" s="20" t="str">
        <f t="shared" si="87"/>
        <v/>
      </c>
      <c r="J1063" t="str">
        <f>IF(I1063="","",_xlfn.XLOOKUP(I1063,Lists!$C:$C,Lists!$D:$D))</f>
        <v/>
      </c>
      <c r="N1063" t="str">
        <f t="shared" si="88"/>
        <v/>
      </c>
      <c r="O1063" t="str">
        <f>IF(I1063="","",_xlfn.XLOOKUP(I1063,Lists!$C:$C,Lists!$J:$J))</f>
        <v/>
      </c>
      <c r="P1063" t="str">
        <f>IF(I1063="","",_xlfn.XLOOKUP(I1063,Lists!$C:$C,Lists!$E:$E))</f>
        <v/>
      </c>
      <c r="Q1063" s="21" t="str">
        <f t="shared" si="89"/>
        <v/>
      </c>
      <c r="R1063" t="str">
        <f t="shared" si="90"/>
        <v/>
      </c>
      <c r="S1063" t="str">
        <f>IF(I1063="","",_xlfn.XLOOKUP(I1063,Lists!$C:$C,Lists!$I:$I))</f>
        <v/>
      </c>
    </row>
    <row r="1064" spans="8:8">
      <c r="C1064">
        <f>_xlfn.XLOOKUP(B1064,Lists!B:B,Lists!A:A,"")</f>
        <v>0.0</v>
      </c>
      <c r="G1064" t="str">
        <f t="shared" si="86"/>
        <v/>
      </c>
      <c r="H1064" s="20" t="str">
        <f t="shared" si="87"/>
        <v/>
      </c>
      <c r="J1064" t="str">
        <f>IF(I1064="","",_xlfn.XLOOKUP(I1064,Lists!$C:$C,Lists!$D:$D))</f>
        <v/>
      </c>
      <c r="N1064" t="str">
        <f t="shared" si="88"/>
        <v/>
      </c>
      <c r="O1064" t="str">
        <f>IF(I1064="","",_xlfn.XLOOKUP(I1064,Lists!$C:$C,Lists!$J:$J))</f>
        <v/>
      </c>
      <c r="P1064" t="str">
        <f>IF(I1064="","",_xlfn.XLOOKUP(I1064,Lists!$C:$C,Lists!$E:$E))</f>
        <v/>
      </c>
      <c r="Q1064" s="21" t="str">
        <f t="shared" si="89"/>
        <v/>
      </c>
      <c r="R1064" t="str">
        <f t="shared" si="90"/>
        <v/>
      </c>
      <c r="S1064" t="str">
        <f>IF(I1064="","",_xlfn.XLOOKUP(I1064,Lists!$C:$C,Lists!$I:$I))</f>
        <v/>
      </c>
    </row>
    <row r="1065" spans="8:8">
      <c r="C1065">
        <f>_xlfn.XLOOKUP(B1065,Lists!B:B,Lists!A:A,"")</f>
        <v>0.0</v>
      </c>
      <c r="G1065" t="str">
        <f t="shared" si="86"/>
        <v/>
      </c>
      <c r="H1065" s="20" t="str">
        <f t="shared" si="87"/>
        <v/>
      </c>
      <c r="J1065" t="str">
        <f>IF(I1065="","",_xlfn.XLOOKUP(I1065,Lists!$C:$C,Lists!$D:$D))</f>
        <v/>
      </c>
      <c r="N1065" t="str">
        <f t="shared" si="88"/>
        <v/>
      </c>
      <c r="O1065" t="str">
        <f>IF(I1065="","",_xlfn.XLOOKUP(I1065,Lists!$C:$C,Lists!$J:$J))</f>
        <v/>
      </c>
      <c r="P1065" t="str">
        <f>IF(I1065="","",_xlfn.XLOOKUP(I1065,Lists!$C:$C,Lists!$E:$E))</f>
        <v/>
      </c>
      <c r="Q1065" s="21" t="str">
        <f t="shared" si="89"/>
        <v/>
      </c>
      <c r="R1065" t="str">
        <f t="shared" si="90"/>
        <v/>
      </c>
      <c r="S1065" t="str">
        <f>IF(I1065="","",_xlfn.XLOOKUP(I1065,Lists!$C:$C,Lists!$I:$I))</f>
        <v/>
      </c>
    </row>
    <row r="1066" spans="8:8">
      <c r="C1066">
        <f>_xlfn.XLOOKUP(B1066,Lists!B:B,Lists!A:A,"")</f>
        <v>0.0</v>
      </c>
      <c r="G1066" t="str">
        <f t="shared" si="86"/>
        <v/>
      </c>
      <c r="H1066" s="20" t="str">
        <f t="shared" si="87"/>
        <v/>
      </c>
      <c r="J1066" t="str">
        <f>IF(I1066="","",_xlfn.XLOOKUP(I1066,Lists!$C:$C,Lists!$D:$D))</f>
        <v/>
      </c>
      <c r="N1066" t="str">
        <f t="shared" si="88"/>
        <v/>
      </c>
      <c r="O1066" t="str">
        <f>IF(I1066="","",_xlfn.XLOOKUP(I1066,Lists!$C:$C,Lists!$J:$J))</f>
        <v/>
      </c>
      <c r="P1066" t="str">
        <f>IF(I1066="","",_xlfn.XLOOKUP(I1066,Lists!$C:$C,Lists!$E:$E))</f>
        <v/>
      </c>
      <c r="Q1066" s="21" t="str">
        <f t="shared" si="89"/>
        <v/>
      </c>
      <c r="R1066" t="str">
        <f t="shared" si="90"/>
        <v/>
      </c>
      <c r="S1066" t="str">
        <f>IF(I1066="","",_xlfn.XLOOKUP(I1066,Lists!$C:$C,Lists!$I:$I))</f>
        <v/>
      </c>
    </row>
    <row r="1067" spans="8:8">
      <c r="C1067">
        <f>_xlfn.XLOOKUP(B1067,Lists!B:B,Lists!A:A,"")</f>
        <v>0.0</v>
      </c>
      <c r="G1067" t="str">
        <f t="shared" si="86"/>
        <v/>
      </c>
      <c r="H1067" s="20" t="str">
        <f t="shared" si="87"/>
        <v/>
      </c>
      <c r="J1067" t="str">
        <f>IF(I1067="","",_xlfn.XLOOKUP(I1067,Lists!$C:$C,Lists!$D:$D))</f>
        <v/>
      </c>
      <c r="N1067" t="str">
        <f t="shared" si="88"/>
        <v/>
      </c>
      <c r="O1067" t="str">
        <f>IF(I1067="","",_xlfn.XLOOKUP(I1067,Lists!$C:$C,Lists!$J:$J))</f>
        <v/>
      </c>
      <c r="P1067" t="str">
        <f>IF(I1067="","",_xlfn.XLOOKUP(I1067,Lists!$C:$C,Lists!$E:$E))</f>
        <v/>
      </c>
      <c r="Q1067" s="21" t="str">
        <f t="shared" si="89"/>
        <v/>
      </c>
      <c r="R1067" t="str">
        <f t="shared" si="90"/>
        <v/>
      </c>
      <c r="S1067" t="str">
        <f>IF(I1067="","",_xlfn.XLOOKUP(I1067,Lists!$C:$C,Lists!$I:$I))</f>
        <v/>
      </c>
    </row>
    <row r="1068" spans="8:8">
      <c r="C1068">
        <f>_xlfn.XLOOKUP(B1068,Lists!B:B,Lists!A:A,"")</f>
        <v>0.0</v>
      </c>
      <c r="G1068" t="str">
        <f t="shared" si="86"/>
        <v/>
      </c>
      <c r="H1068" s="20" t="str">
        <f t="shared" si="87"/>
        <v/>
      </c>
      <c r="J1068" t="str">
        <f>IF(I1068="","",_xlfn.XLOOKUP(I1068,Lists!$C:$C,Lists!$D:$D))</f>
        <v/>
      </c>
      <c r="N1068" t="str">
        <f t="shared" si="88"/>
        <v/>
      </c>
      <c r="O1068" t="str">
        <f>IF(I1068="","",_xlfn.XLOOKUP(I1068,Lists!$C:$C,Lists!$J:$J))</f>
        <v/>
      </c>
      <c r="P1068" t="str">
        <f>IF(I1068="","",_xlfn.XLOOKUP(I1068,Lists!$C:$C,Lists!$E:$E))</f>
        <v/>
      </c>
      <c r="Q1068" s="21" t="str">
        <f t="shared" si="89"/>
        <v/>
      </c>
      <c r="R1068" t="str">
        <f t="shared" si="90"/>
        <v/>
      </c>
      <c r="S1068" t="str">
        <f>IF(I1068="","",_xlfn.XLOOKUP(I1068,Lists!$C:$C,Lists!$I:$I))</f>
        <v/>
      </c>
    </row>
    <row r="1069" spans="8:8">
      <c r="C1069">
        <f>_xlfn.XLOOKUP(B1069,Lists!B:B,Lists!A:A,"")</f>
        <v>0.0</v>
      </c>
      <c r="G1069" t="str">
        <f t="shared" si="86"/>
        <v/>
      </c>
      <c r="H1069" s="20" t="str">
        <f t="shared" si="87"/>
        <v/>
      </c>
      <c r="J1069" t="str">
        <f>IF(I1069="","",_xlfn.XLOOKUP(I1069,Lists!$C:$C,Lists!$D:$D))</f>
        <v/>
      </c>
      <c r="N1069" t="str">
        <f t="shared" si="88"/>
        <v/>
      </c>
      <c r="O1069" t="str">
        <f>IF(I1069="","",_xlfn.XLOOKUP(I1069,Lists!$C:$C,Lists!$J:$J))</f>
        <v/>
      </c>
      <c r="P1069" t="str">
        <f>IF(I1069="","",_xlfn.XLOOKUP(I1069,Lists!$C:$C,Lists!$E:$E))</f>
        <v/>
      </c>
      <c r="Q1069" s="21" t="str">
        <f t="shared" si="89"/>
        <v/>
      </c>
      <c r="R1069" t="str">
        <f t="shared" si="90"/>
        <v/>
      </c>
      <c r="S1069" t="str">
        <f>IF(I1069="","",_xlfn.XLOOKUP(I1069,Lists!$C:$C,Lists!$I:$I))</f>
        <v/>
      </c>
    </row>
    <row r="1070" spans="8:8">
      <c r="C1070">
        <f>_xlfn.XLOOKUP(B1070,Lists!B:B,Lists!A:A,"")</f>
        <v>0.0</v>
      </c>
      <c r="G1070" t="str">
        <f t="shared" si="86"/>
        <v/>
      </c>
      <c r="H1070" s="20" t="str">
        <f t="shared" si="87"/>
        <v/>
      </c>
      <c r="J1070" t="str">
        <f>IF(I1070="","",_xlfn.XLOOKUP(I1070,Lists!$C:$C,Lists!$D:$D))</f>
        <v/>
      </c>
      <c r="N1070" t="str">
        <f t="shared" si="88"/>
        <v/>
      </c>
      <c r="O1070" t="str">
        <f>IF(I1070="","",_xlfn.XLOOKUP(I1070,Lists!$C:$C,Lists!$J:$J))</f>
        <v/>
      </c>
      <c r="P1070" t="str">
        <f>IF(I1070="","",_xlfn.XLOOKUP(I1070,Lists!$C:$C,Lists!$E:$E))</f>
        <v/>
      </c>
      <c r="Q1070" s="21" t="str">
        <f t="shared" si="89"/>
        <v/>
      </c>
      <c r="R1070" t="str">
        <f t="shared" si="90"/>
        <v/>
      </c>
      <c r="S1070" t="str">
        <f>IF(I1070="","",_xlfn.XLOOKUP(I1070,Lists!$C:$C,Lists!$I:$I))</f>
        <v/>
      </c>
    </row>
    <row r="1071" spans="8:8">
      <c r="C1071">
        <f>_xlfn.XLOOKUP(B1071,Lists!B:B,Lists!A:A,"")</f>
        <v>0.0</v>
      </c>
      <c r="G1071" t="str">
        <f t="shared" si="86"/>
        <v/>
      </c>
      <c r="H1071" s="20" t="str">
        <f t="shared" si="87"/>
        <v/>
      </c>
      <c r="J1071" t="str">
        <f>IF(I1071="","",_xlfn.XLOOKUP(I1071,Lists!$C:$C,Lists!$D:$D))</f>
        <v/>
      </c>
      <c r="N1071" t="str">
        <f t="shared" si="88"/>
        <v/>
      </c>
      <c r="O1071" t="str">
        <f>IF(I1071="","",_xlfn.XLOOKUP(I1071,Lists!$C:$C,Lists!$J:$J))</f>
        <v/>
      </c>
      <c r="P1071" t="str">
        <f>IF(I1071="","",_xlfn.XLOOKUP(I1071,Lists!$C:$C,Lists!$E:$E))</f>
        <v/>
      </c>
      <c r="Q1071" s="21" t="str">
        <f t="shared" si="89"/>
        <v/>
      </c>
      <c r="R1071" t="str">
        <f t="shared" si="90"/>
        <v/>
      </c>
      <c r="S1071" t="str">
        <f>IF(I1071="","",_xlfn.XLOOKUP(I1071,Lists!$C:$C,Lists!$I:$I))</f>
        <v/>
      </c>
    </row>
    <row r="1072" spans="8:8">
      <c r="C1072">
        <f>_xlfn.XLOOKUP(B1072,Lists!B:B,Lists!A:A,"")</f>
        <v>0.0</v>
      </c>
      <c r="G1072" t="str">
        <f t="shared" si="86"/>
        <v/>
      </c>
      <c r="H1072" s="20" t="str">
        <f t="shared" si="87"/>
        <v/>
      </c>
      <c r="J1072" t="str">
        <f>IF(I1072="","",_xlfn.XLOOKUP(I1072,Lists!$C:$C,Lists!$D:$D))</f>
        <v/>
      </c>
      <c r="N1072" t="str">
        <f t="shared" si="88"/>
        <v/>
      </c>
      <c r="O1072" t="str">
        <f>IF(I1072="","",_xlfn.XLOOKUP(I1072,Lists!$C:$C,Lists!$J:$J))</f>
        <v/>
      </c>
      <c r="P1072" t="str">
        <f>IF(I1072="","",_xlfn.XLOOKUP(I1072,Lists!$C:$C,Lists!$E:$E))</f>
        <v/>
      </c>
      <c r="Q1072" s="21" t="str">
        <f t="shared" si="89"/>
        <v/>
      </c>
      <c r="R1072" t="str">
        <f t="shared" si="90"/>
        <v/>
      </c>
      <c r="S1072" t="str">
        <f>IF(I1072="","",_xlfn.XLOOKUP(I1072,Lists!$C:$C,Lists!$I:$I))</f>
        <v/>
      </c>
    </row>
    <row r="1073" spans="8:8">
      <c r="C1073">
        <f>_xlfn.XLOOKUP(B1073,Lists!B:B,Lists!A:A,"")</f>
        <v>0.0</v>
      </c>
      <c r="G1073" t="str">
        <f t="shared" si="86"/>
        <v/>
      </c>
      <c r="H1073" s="20" t="str">
        <f t="shared" si="87"/>
        <v/>
      </c>
      <c r="J1073" t="str">
        <f>IF(I1073="","",_xlfn.XLOOKUP(I1073,Lists!$C:$C,Lists!$D:$D))</f>
        <v/>
      </c>
      <c r="N1073" t="str">
        <f t="shared" si="88"/>
        <v/>
      </c>
      <c r="O1073" t="str">
        <f>IF(I1073="","",_xlfn.XLOOKUP(I1073,Lists!$C:$C,Lists!$J:$J))</f>
        <v/>
      </c>
      <c r="P1073" t="str">
        <f>IF(I1073="","",_xlfn.XLOOKUP(I1073,Lists!$C:$C,Lists!$E:$E))</f>
        <v/>
      </c>
      <c r="Q1073" s="21" t="str">
        <f t="shared" si="89"/>
        <v/>
      </c>
      <c r="R1073" t="str">
        <f t="shared" si="90"/>
        <v/>
      </c>
      <c r="S1073" t="str">
        <f>IF(I1073="","",_xlfn.XLOOKUP(I1073,Lists!$C:$C,Lists!$I:$I))</f>
        <v/>
      </c>
    </row>
    <row r="1074" spans="8:8">
      <c r="C1074">
        <f>_xlfn.XLOOKUP(B1074,Lists!B:B,Lists!A:A,"")</f>
        <v>0.0</v>
      </c>
      <c r="G1074" t="str">
        <f t="shared" si="86"/>
        <v/>
      </c>
      <c r="H1074" s="20" t="str">
        <f t="shared" si="87"/>
        <v/>
      </c>
      <c r="J1074" t="str">
        <f>IF(I1074="","",_xlfn.XLOOKUP(I1074,Lists!$C:$C,Lists!$D:$D))</f>
        <v/>
      </c>
      <c r="N1074" t="str">
        <f t="shared" si="88"/>
        <v/>
      </c>
      <c r="O1074" t="str">
        <f>IF(I1074="","",_xlfn.XLOOKUP(I1074,Lists!$C:$C,Lists!$J:$J))</f>
        <v/>
      </c>
      <c r="P1074" t="str">
        <f>IF(I1074="","",_xlfn.XLOOKUP(I1074,Lists!$C:$C,Lists!$E:$E))</f>
        <v/>
      </c>
      <c r="Q1074" s="21" t="str">
        <f t="shared" si="89"/>
        <v/>
      </c>
      <c r="R1074" t="str">
        <f t="shared" si="90"/>
        <v/>
      </c>
      <c r="S1074" t="str">
        <f>IF(I1074="","",_xlfn.XLOOKUP(I1074,Lists!$C:$C,Lists!$I:$I))</f>
        <v/>
      </c>
    </row>
    <row r="1075" spans="8:8">
      <c r="C1075">
        <f>_xlfn.XLOOKUP(B1075,Lists!B:B,Lists!A:A,"")</f>
        <v>0.0</v>
      </c>
      <c r="G1075" t="str">
        <f t="shared" si="86"/>
        <v/>
      </c>
      <c r="H1075" s="20" t="str">
        <f t="shared" si="87"/>
        <v/>
      </c>
      <c r="J1075" t="str">
        <f>IF(I1075="","",_xlfn.XLOOKUP(I1075,Lists!$C:$C,Lists!$D:$D))</f>
        <v/>
      </c>
      <c r="N1075" t="str">
        <f t="shared" si="88"/>
        <v/>
      </c>
      <c r="O1075" t="str">
        <f>IF(I1075="","",_xlfn.XLOOKUP(I1075,Lists!$C:$C,Lists!$J:$J))</f>
        <v/>
      </c>
      <c r="P1075" t="str">
        <f>IF(I1075="","",_xlfn.XLOOKUP(I1075,Lists!$C:$C,Lists!$E:$E))</f>
        <v/>
      </c>
      <c r="Q1075" s="21" t="str">
        <f t="shared" si="89"/>
        <v/>
      </c>
      <c r="R1075" t="str">
        <f t="shared" si="90"/>
        <v/>
      </c>
      <c r="S1075" t="str">
        <f>IF(I1075="","",_xlfn.XLOOKUP(I1075,Lists!$C:$C,Lists!$I:$I))</f>
        <v/>
      </c>
    </row>
    <row r="1076" spans="8:8">
      <c r="C1076">
        <f>_xlfn.XLOOKUP(B1076,Lists!B:B,Lists!A:A,"")</f>
        <v>0.0</v>
      </c>
      <c r="G1076" t="str">
        <f t="shared" si="86"/>
        <v/>
      </c>
      <c r="H1076" s="20" t="str">
        <f t="shared" si="87"/>
        <v/>
      </c>
      <c r="J1076" t="str">
        <f>IF(I1076="","",_xlfn.XLOOKUP(I1076,Lists!$C:$C,Lists!$D:$D))</f>
        <v/>
      </c>
      <c r="N1076" t="str">
        <f t="shared" si="88"/>
        <v/>
      </c>
      <c r="O1076" t="str">
        <f>IF(I1076="","",_xlfn.XLOOKUP(I1076,Lists!$C:$C,Lists!$J:$J))</f>
        <v/>
      </c>
      <c r="P1076" t="str">
        <f>IF(I1076="","",_xlfn.XLOOKUP(I1076,Lists!$C:$C,Lists!$E:$E))</f>
        <v/>
      </c>
      <c r="Q1076" s="21" t="str">
        <f t="shared" si="89"/>
        <v/>
      </c>
      <c r="R1076" t="str">
        <f t="shared" si="90"/>
        <v/>
      </c>
      <c r="S1076" t="str">
        <f>IF(I1076="","",_xlfn.XLOOKUP(I1076,Lists!$C:$C,Lists!$I:$I))</f>
        <v/>
      </c>
    </row>
    <row r="1077" spans="8:8">
      <c r="C1077">
        <f>_xlfn.XLOOKUP(B1077,Lists!B:B,Lists!A:A,"")</f>
        <v>0.0</v>
      </c>
      <c r="G1077" t="str">
        <f t="shared" si="86"/>
        <v/>
      </c>
      <c r="H1077" s="20" t="str">
        <f t="shared" si="87"/>
        <v/>
      </c>
      <c r="J1077" t="str">
        <f>IF(I1077="","",_xlfn.XLOOKUP(I1077,Lists!$C:$C,Lists!$D:$D))</f>
        <v/>
      </c>
      <c r="N1077" t="str">
        <f t="shared" si="88"/>
        <v/>
      </c>
      <c r="O1077" t="str">
        <f>IF(I1077="","",_xlfn.XLOOKUP(I1077,Lists!$C:$C,Lists!$J:$J))</f>
        <v/>
      </c>
      <c r="P1077" t="str">
        <f>IF(I1077="","",_xlfn.XLOOKUP(I1077,Lists!$C:$C,Lists!$E:$E))</f>
        <v/>
      </c>
      <c r="Q1077" s="21" t="str">
        <f t="shared" si="89"/>
        <v/>
      </c>
      <c r="R1077" t="str">
        <f t="shared" si="90"/>
        <v/>
      </c>
      <c r="S1077" t="str">
        <f>IF(I1077="","",_xlfn.XLOOKUP(I1077,Lists!$C:$C,Lists!$I:$I))</f>
        <v/>
      </c>
    </row>
    <row r="1078" spans="8:8">
      <c r="C1078">
        <f>_xlfn.XLOOKUP(B1078,Lists!B:B,Lists!A:A,"")</f>
        <v>0.0</v>
      </c>
      <c r="G1078" t="str">
        <f t="shared" si="86"/>
        <v/>
      </c>
      <c r="H1078" s="20" t="str">
        <f t="shared" si="87"/>
        <v/>
      </c>
      <c r="J1078" t="str">
        <f>IF(I1078="","",_xlfn.XLOOKUP(I1078,Lists!$C:$C,Lists!$D:$D))</f>
        <v/>
      </c>
      <c r="N1078" t="str">
        <f t="shared" si="88"/>
        <v/>
      </c>
      <c r="O1078" t="str">
        <f>IF(I1078="","",_xlfn.XLOOKUP(I1078,Lists!$C:$C,Lists!$J:$J))</f>
        <v/>
      </c>
      <c r="P1078" t="str">
        <f>IF(I1078="","",_xlfn.XLOOKUP(I1078,Lists!$C:$C,Lists!$E:$E))</f>
        <v/>
      </c>
      <c r="Q1078" s="21" t="str">
        <f t="shared" si="89"/>
        <v/>
      </c>
      <c r="R1078" t="str">
        <f t="shared" si="90"/>
        <v/>
      </c>
      <c r="S1078" t="str">
        <f>IF(I1078="","",_xlfn.XLOOKUP(I1078,Lists!$C:$C,Lists!$I:$I))</f>
        <v/>
      </c>
    </row>
    <row r="1079" spans="8:8">
      <c r="C1079">
        <f>_xlfn.XLOOKUP(B1079,Lists!B:B,Lists!A:A,"")</f>
        <v>0.0</v>
      </c>
      <c r="G1079" t="str">
        <f t="shared" si="86"/>
        <v/>
      </c>
      <c r="H1079" s="20" t="str">
        <f t="shared" si="87"/>
        <v/>
      </c>
      <c r="J1079" t="str">
        <f>IF(I1079="","",_xlfn.XLOOKUP(I1079,Lists!$C:$C,Lists!$D:$D))</f>
        <v/>
      </c>
      <c r="N1079" t="str">
        <f t="shared" si="88"/>
        <v/>
      </c>
      <c r="O1079" t="str">
        <f>IF(I1079="","",_xlfn.XLOOKUP(I1079,Lists!$C:$C,Lists!$J:$J))</f>
        <v/>
      </c>
      <c r="P1079" t="str">
        <f>IF(I1079="","",_xlfn.XLOOKUP(I1079,Lists!$C:$C,Lists!$E:$E))</f>
        <v/>
      </c>
      <c r="Q1079" s="21" t="str">
        <f t="shared" si="89"/>
        <v/>
      </c>
      <c r="R1079" t="str">
        <f t="shared" si="90"/>
        <v/>
      </c>
      <c r="S1079" t="str">
        <f>IF(I1079="","",_xlfn.XLOOKUP(I1079,Lists!$C:$C,Lists!$I:$I))</f>
        <v/>
      </c>
    </row>
    <row r="1080" spans="8:8">
      <c r="C1080">
        <f>_xlfn.XLOOKUP(B1080,Lists!B:B,Lists!A:A,"")</f>
        <v>0.0</v>
      </c>
      <c r="G1080" t="str">
        <f t="shared" si="86"/>
        <v/>
      </c>
      <c r="H1080" s="20" t="str">
        <f t="shared" si="87"/>
        <v/>
      </c>
      <c r="J1080" t="str">
        <f>IF(I1080="","",_xlfn.XLOOKUP(I1080,Lists!$C:$C,Lists!$D:$D))</f>
        <v/>
      </c>
      <c r="N1080" t="str">
        <f t="shared" si="88"/>
        <v/>
      </c>
      <c r="O1080" t="str">
        <f>IF(I1080="","",_xlfn.XLOOKUP(I1080,Lists!$C:$C,Lists!$J:$J))</f>
        <v/>
      </c>
      <c r="P1080" t="str">
        <f>IF(I1080="","",_xlfn.XLOOKUP(I1080,Lists!$C:$C,Lists!$E:$E))</f>
        <v/>
      </c>
      <c r="Q1080" s="21" t="str">
        <f t="shared" si="89"/>
        <v/>
      </c>
      <c r="R1080" t="str">
        <f t="shared" si="90"/>
        <v/>
      </c>
      <c r="S1080" t="str">
        <f>IF(I1080="","",_xlfn.XLOOKUP(I1080,Lists!$C:$C,Lists!$I:$I))</f>
        <v/>
      </c>
    </row>
    <row r="1081" spans="8:8">
      <c r="C1081">
        <f>_xlfn.XLOOKUP(B1081,Lists!B:B,Lists!A:A,"")</f>
        <v>0.0</v>
      </c>
      <c r="G1081" t="str">
        <f t="shared" si="86"/>
        <v/>
      </c>
      <c r="H1081" s="20" t="str">
        <f t="shared" si="87"/>
        <v/>
      </c>
      <c r="J1081" t="str">
        <f>IF(I1081="","",_xlfn.XLOOKUP(I1081,Lists!$C:$C,Lists!$D:$D))</f>
        <v/>
      </c>
      <c r="N1081" t="str">
        <f t="shared" si="88"/>
        <v/>
      </c>
      <c r="O1081" t="str">
        <f>IF(I1081="","",_xlfn.XLOOKUP(I1081,Lists!$C:$C,Lists!$J:$J))</f>
        <v/>
      </c>
      <c r="P1081" t="str">
        <f>IF(I1081="","",_xlfn.XLOOKUP(I1081,Lists!$C:$C,Lists!$E:$E))</f>
        <v/>
      </c>
      <c r="Q1081" s="21" t="str">
        <f t="shared" si="89"/>
        <v/>
      </c>
      <c r="R1081" t="str">
        <f t="shared" si="90"/>
        <v/>
      </c>
      <c r="S1081" t="str">
        <f>IF(I1081="","",_xlfn.XLOOKUP(I1081,Lists!$C:$C,Lists!$I:$I))</f>
        <v/>
      </c>
    </row>
    <row r="1082" spans="8:8">
      <c r="C1082">
        <f>_xlfn.XLOOKUP(B1082,Lists!B:B,Lists!A:A,"")</f>
        <v>0.0</v>
      </c>
      <c r="G1082" t="str">
        <f t="shared" si="86"/>
        <v/>
      </c>
      <c r="H1082" s="20" t="str">
        <f t="shared" si="87"/>
        <v/>
      </c>
      <c r="J1082" t="str">
        <f>IF(I1082="","",_xlfn.XLOOKUP(I1082,Lists!$C:$C,Lists!$D:$D))</f>
        <v/>
      </c>
      <c r="N1082" t="str">
        <f t="shared" si="88"/>
        <v/>
      </c>
      <c r="O1082" t="str">
        <f>IF(I1082="","",_xlfn.XLOOKUP(I1082,Lists!$C:$C,Lists!$J:$J))</f>
        <v/>
      </c>
      <c r="P1082" t="str">
        <f>IF(I1082="","",_xlfn.XLOOKUP(I1082,Lists!$C:$C,Lists!$E:$E))</f>
        <v/>
      </c>
      <c r="Q1082" s="21" t="str">
        <f t="shared" si="89"/>
        <v/>
      </c>
      <c r="R1082" t="str">
        <f t="shared" si="90"/>
        <v/>
      </c>
      <c r="S1082" t="str">
        <f>IF(I1082="","",_xlfn.XLOOKUP(I1082,Lists!$C:$C,Lists!$I:$I))</f>
        <v/>
      </c>
    </row>
    <row r="1083" spans="8:8">
      <c r="C1083">
        <f>_xlfn.XLOOKUP(B1083,Lists!B:B,Lists!A:A,"")</f>
        <v>0.0</v>
      </c>
      <c r="G1083" t="str">
        <f t="shared" si="86"/>
        <v/>
      </c>
      <c r="H1083" s="20" t="str">
        <f t="shared" si="87"/>
        <v/>
      </c>
      <c r="J1083" t="str">
        <f>IF(I1083="","",_xlfn.XLOOKUP(I1083,Lists!$C:$C,Lists!$D:$D))</f>
        <v/>
      </c>
      <c r="N1083" t="str">
        <f t="shared" si="88"/>
        <v/>
      </c>
      <c r="O1083" t="str">
        <f>IF(I1083="","",_xlfn.XLOOKUP(I1083,Lists!$C:$C,Lists!$J:$J))</f>
        <v/>
      </c>
      <c r="P1083" t="str">
        <f>IF(I1083="","",_xlfn.XLOOKUP(I1083,Lists!$C:$C,Lists!$E:$E))</f>
        <v/>
      </c>
      <c r="Q1083" s="21" t="str">
        <f t="shared" si="89"/>
        <v/>
      </c>
      <c r="R1083" t="str">
        <f t="shared" si="90"/>
        <v/>
      </c>
      <c r="S1083" t="str">
        <f>IF(I1083="","",_xlfn.XLOOKUP(I1083,Lists!$C:$C,Lists!$I:$I))</f>
        <v/>
      </c>
    </row>
    <row r="1084" spans="8:8">
      <c r="C1084">
        <f>_xlfn.XLOOKUP(B1084,Lists!B:B,Lists!A:A,"")</f>
        <v>0.0</v>
      </c>
      <c r="G1084" t="str">
        <f t="shared" si="86"/>
        <v/>
      </c>
      <c r="H1084" s="20" t="str">
        <f t="shared" si="87"/>
        <v/>
      </c>
      <c r="J1084" t="str">
        <f>IF(I1084="","",_xlfn.XLOOKUP(I1084,Lists!$C:$C,Lists!$D:$D))</f>
        <v/>
      </c>
      <c r="N1084" t="str">
        <f t="shared" si="88"/>
        <v/>
      </c>
      <c r="O1084" t="str">
        <f>IF(I1084="","",_xlfn.XLOOKUP(I1084,Lists!$C:$C,Lists!$J:$J))</f>
        <v/>
      </c>
      <c r="P1084" t="str">
        <f>IF(I1084="","",_xlfn.XLOOKUP(I1084,Lists!$C:$C,Lists!$E:$E))</f>
        <v/>
      </c>
      <c r="Q1084" s="21" t="str">
        <f t="shared" si="89"/>
        <v/>
      </c>
      <c r="R1084" t="str">
        <f t="shared" si="90"/>
        <v/>
      </c>
      <c r="S1084" t="str">
        <f>IF(I1084="","",_xlfn.XLOOKUP(I1084,Lists!$C:$C,Lists!$I:$I))</f>
        <v/>
      </c>
    </row>
    <row r="1085" spans="8:8">
      <c r="C1085">
        <f>_xlfn.XLOOKUP(B1085,Lists!B:B,Lists!A:A,"")</f>
        <v>0.0</v>
      </c>
      <c r="G1085" t="str">
        <f t="shared" si="86"/>
        <v/>
      </c>
      <c r="H1085" s="20" t="str">
        <f t="shared" si="87"/>
        <v/>
      </c>
      <c r="J1085" t="str">
        <f>IF(I1085="","",_xlfn.XLOOKUP(I1085,Lists!$C:$C,Lists!$D:$D))</f>
        <v/>
      </c>
      <c r="N1085" t="str">
        <f t="shared" si="88"/>
        <v/>
      </c>
      <c r="O1085" t="str">
        <f>IF(I1085="","",_xlfn.XLOOKUP(I1085,Lists!$C:$C,Lists!$J:$J))</f>
        <v/>
      </c>
      <c r="P1085" t="str">
        <f>IF(I1085="","",_xlfn.XLOOKUP(I1085,Lists!$C:$C,Lists!$E:$E))</f>
        <v/>
      </c>
      <c r="Q1085" s="21" t="str">
        <f t="shared" si="89"/>
        <v/>
      </c>
      <c r="R1085" t="str">
        <f t="shared" si="90"/>
        <v/>
      </c>
      <c r="S1085" t="str">
        <f>IF(I1085="","",_xlfn.XLOOKUP(I1085,Lists!$C:$C,Lists!$I:$I))</f>
        <v/>
      </c>
    </row>
    <row r="1086" spans="8:8">
      <c r="C1086">
        <f>_xlfn.XLOOKUP(B1086,Lists!B:B,Lists!A:A,"")</f>
        <v>0.0</v>
      </c>
      <c r="G1086" t="str">
        <f t="shared" si="86"/>
        <v/>
      </c>
      <c r="H1086" s="20" t="str">
        <f t="shared" si="87"/>
        <v/>
      </c>
      <c r="J1086" t="str">
        <f>IF(I1086="","",_xlfn.XLOOKUP(I1086,Lists!$C:$C,Lists!$D:$D))</f>
        <v/>
      </c>
      <c r="N1086" t="str">
        <f t="shared" si="88"/>
        <v/>
      </c>
      <c r="O1086" t="str">
        <f>IF(I1086="","",_xlfn.XLOOKUP(I1086,Lists!$C:$C,Lists!$J:$J))</f>
        <v/>
      </c>
      <c r="P1086" t="str">
        <f>IF(I1086="","",_xlfn.XLOOKUP(I1086,Lists!$C:$C,Lists!$E:$E))</f>
        <v/>
      </c>
      <c r="Q1086" s="21" t="str">
        <f t="shared" si="89"/>
        <v/>
      </c>
      <c r="R1086" t="str">
        <f t="shared" si="90"/>
        <v/>
      </c>
      <c r="S1086" t="str">
        <f>IF(I1086="","",_xlfn.XLOOKUP(I1086,Lists!$C:$C,Lists!$I:$I))</f>
        <v/>
      </c>
    </row>
    <row r="1087" spans="8:8">
      <c r="C1087">
        <f>_xlfn.XLOOKUP(B1087,Lists!B:B,Lists!A:A,"")</f>
        <v>0.0</v>
      </c>
      <c r="G1087" t="str">
        <f t="shared" si="86"/>
        <v/>
      </c>
      <c r="H1087" s="20" t="str">
        <f t="shared" si="87"/>
        <v/>
      </c>
      <c r="J1087" t="str">
        <f>IF(I1087="","",_xlfn.XLOOKUP(I1087,Lists!$C:$C,Lists!$D:$D))</f>
        <v/>
      </c>
      <c r="N1087" t="str">
        <f t="shared" si="88"/>
        <v/>
      </c>
      <c r="O1087" t="str">
        <f>IF(I1087="","",_xlfn.XLOOKUP(I1087,Lists!$C:$C,Lists!$J:$J))</f>
        <v/>
      </c>
      <c r="P1087" t="str">
        <f>IF(I1087="","",_xlfn.XLOOKUP(I1087,Lists!$C:$C,Lists!$E:$E))</f>
        <v/>
      </c>
      <c r="Q1087" s="21" t="str">
        <f t="shared" si="89"/>
        <v/>
      </c>
      <c r="R1087" t="str">
        <f t="shared" si="90"/>
        <v/>
      </c>
      <c r="S1087" t="str">
        <f>IF(I1087="","",_xlfn.XLOOKUP(I1087,Lists!$C:$C,Lists!$I:$I))</f>
        <v/>
      </c>
    </row>
    <row r="1088" spans="8:8">
      <c r="C1088">
        <f>_xlfn.XLOOKUP(B1088,Lists!B:B,Lists!A:A,"")</f>
        <v>0.0</v>
      </c>
      <c r="G1088" t="str">
        <f t="shared" si="86"/>
        <v/>
      </c>
      <c r="H1088" s="20" t="str">
        <f t="shared" si="87"/>
        <v/>
      </c>
      <c r="J1088" t="str">
        <f>IF(I1088="","",_xlfn.XLOOKUP(I1088,Lists!$C:$C,Lists!$D:$D))</f>
        <v/>
      </c>
      <c r="N1088" t="str">
        <f t="shared" si="88"/>
        <v/>
      </c>
      <c r="O1088" t="str">
        <f>IF(I1088="","",_xlfn.XLOOKUP(I1088,Lists!$C:$C,Lists!$J:$J))</f>
        <v/>
      </c>
      <c r="P1088" t="str">
        <f>IF(I1088="","",_xlfn.XLOOKUP(I1088,Lists!$C:$C,Lists!$E:$E))</f>
        <v/>
      </c>
      <c r="Q1088" s="21" t="str">
        <f t="shared" si="89"/>
        <v/>
      </c>
      <c r="R1088" t="str">
        <f t="shared" si="90"/>
        <v/>
      </c>
      <c r="S1088" t="str">
        <f>IF(I1088="","",_xlfn.XLOOKUP(I1088,Lists!$C:$C,Lists!$I:$I))</f>
        <v/>
      </c>
    </row>
    <row r="1089" spans="8:8">
      <c r="C1089">
        <f>_xlfn.XLOOKUP(B1089,Lists!B:B,Lists!A:A,"")</f>
        <v>0.0</v>
      </c>
      <c r="G1089" t="str">
        <f t="shared" si="86"/>
        <v/>
      </c>
      <c r="H1089" s="20" t="str">
        <f t="shared" si="87"/>
        <v/>
      </c>
      <c r="J1089" t="str">
        <f>IF(I1089="","",_xlfn.XLOOKUP(I1089,Lists!$C:$C,Lists!$D:$D))</f>
        <v/>
      </c>
      <c r="N1089" t="str">
        <f t="shared" si="88"/>
        <v/>
      </c>
      <c r="O1089" t="str">
        <f>IF(I1089="","",_xlfn.XLOOKUP(I1089,Lists!$C:$C,Lists!$J:$J))</f>
        <v/>
      </c>
      <c r="P1089" t="str">
        <f>IF(I1089="","",_xlfn.XLOOKUP(I1089,Lists!$C:$C,Lists!$E:$E))</f>
        <v/>
      </c>
      <c r="Q1089" s="21" t="str">
        <f t="shared" si="89"/>
        <v/>
      </c>
      <c r="R1089" t="str">
        <f t="shared" si="90"/>
        <v/>
      </c>
      <c r="S1089" t="str">
        <f>IF(I1089="","",_xlfn.XLOOKUP(I1089,Lists!$C:$C,Lists!$I:$I))</f>
        <v/>
      </c>
    </row>
    <row r="1090" spans="8:8">
      <c r="C1090">
        <f>_xlfn.XLOOKUP(B1090,Lists!B:B,Lists!A:A,"")</f>
        <v>0.0</v>
      </c>
      <c r="G1090" t="str">
        <f t="shared" si="86"/>
        <v/>
      </c>
      <c r="H1090" s="20" t="str">
        <f t="shared" si="87"/>
        <v/>
      </c>
      <c r="J1090" t="str">
        <f>IF(I1090="","",_xlfn.XLOOKUP(I1090,Lists!$C:$C,Lists!$D:$D))</f>
        <v/>
      </c>
      <c r="N1090" t="str">
        <f t="shared" si="88"/>
        <v/>
      </c>
      <c r="O1090" t="str">
        <f>IF(I1090="","",_xlfn.XLOOKUP(I1090,Lists!$C:$C,Lists!$J:$J))</f>
        <v/>
      </c>
      <c r="P1090" t="str">
        <f>IF(I1090="","",_xlfn.XLOOKUP(I1090,Lists!$C:$C,Lists!$E:$E))</f>
        <v/>
      </c>
      <c r="Q1090" s="21" t="str">
        <f t="shared" si="89"/>
        <v/>
      </c>
      <c r="R1090" t="str">
        <f t="shared" si="90"/>
        <v/>
      </c>
      <c r="S1090" t="str">
        <f>IF(I1090="","",_xlfn.XLOOKUP(I1090,Lists!$C:$C,Lists!$I:$I))</f>
        <v/>
      </c>
    </row>
    <row r="1091" spans="8:8">
      <c r="C1091">
        <f>_xlfn.XLOOKUP(B1091,Lists!B:B,Lists!A:A,"")</f>
        <v>0.0</v>
      </c>
      <c r="G1091" t="str">
        <f t="shared" si="91" ref="G1091:G1122">IF(OR(E1091="",F1091=""),"",F1091-E1091+1)</f>
        <v/>
      </c>
      <c r="H1091" s="20" t="str">
        <f t="shared" si="92" ref="H1091:H1122">IF(D1091="","",IF(OR(D1091="A",D1091="B"),G1091/80,IF(D1091="A&amp;B",G1091/160,"")))</f>
        <v/>
      </c>
      <c r="J1091" t="str">
        <f>IF(I1091="","",_xlfn.XLOOKUP(I1091,Lists!$C:$C,Lists!$D:$D))</f>
        <v/>
      </c>
      <c r="N1091" t="str">
        <f t="shared" si="93" ref="N1091:N1122">IF(OR(M1091="",L1091=""),"",(M1091*L1091)/100000)</f>
        <v/>
      </c>
      <c r="O1091" t="str">
        <f>IF(I1091="","",_xlfn.XLOOKUP(I1091,Lists!$C:$C,Lists!$J:$J))</f>
        <v/>
      </c>
      <c r="P1091" t="str">
        <f>IF(I1091="","",_xlfn.XLOOKUP(I1091,Lists!$C:$C,Lists!$E:$E))</f>
        <v/>
      </c>
      <c r="Q1091" s="21" t="str">
        <f t="shared" si="94" ref="Q1091:Q1122">IF(OR(A1091="",P1091=""),"",A1091+P1091+1)</f>
        <v/>
      </c>
      <c r="R1091" t="str">
        <f t="shared" si="95" ref="R1091:R1122">IF(Q1091="","",IF(Q1091&lt;=TODAY(),"Allow","Not Allow"))</f>
        <v/>
      </c>
      <c r="S1091" t="str">
        <f>IF(I1091="","",_xlfn.XLOOKUP(I1091,Lists!$C:$C,Lists!$I:$I))</f>
        <v/>
      </c>
    </row>
    <row r="1092" spans="8:8">
      <c r="C1092">
        <f>_xlfn.XLOOKUP(B1092,Lists!B:B,Lists!A:A,"")</f>
        <v>0.0</v>
      </c>
      <c r="G1092" t="str">
        <f t="shared" si="91"/>
        <v/>
      </c>
      <c r="H1092" s="20" t="str">
        <f t="shared" si="92"/>
        <v/>
      </c>
      <c r="J1092" t="str">
        <f>IF(I1092="","",_xlfn.XLOOKUP(I1092,Lists!$C:$C,Lists!$D:$D))</f>
        <v/>
      </c>
      <c r="N1092" t="str">
        <f t="shared" si="93"/>
        <v/>
      </c>
      <c r="O1092" t="str">
        <f>IF(I1092="","",_xlfn.XLOOKUP(I1092,Lists!$C:$C,Lists!$J:$J))</f>
        <v/>
      </c>
      <c r="P1092" t="str">
        <f>IF(I1092="","",_xlfn.XLOOKUP(I1092,Lists!$C:$C,Lists!$E:$E))</f>
        <v/>
      </c>
      <c r="Q1092" s="21" t="str">
        <f t="shared" si="94"/>
        <v/>
      </c>
      <c r="R1092" t="str">
        <f t="shared" si="95"/>
        <v/>
      </c>
      <c r="S1092" t="str">
        <f>IF(I1092="","",_xlfn.XLOOKUP(I1092,Lists!$C:$C,Lists!$I:$I))</f>
        <v/>
      </c>
    </row>
    <row r="1093" spans="8:8">
      <c r="C1093">
        <f>_xlfn.XLOOKUP(B1093,Lists!B:B,Lists!A:A,"")</f>
        <v>0.0</v>
      </c>
      <c r="G1093" t="str">
        <f t="shared" si="91"/>
        <v/>
      </c>
      <c r="H1093" s="20" t="str">
        <f t="shared" si="92"/>
        <v/>
      </c>
      <c r="J1093" t="str">
        <f>IF(I1093="","",_xlfn.XLOOKUP(I1093,Lists!$C:$C,Lists!$D:$D))</f>
        <v/>
      </c>
      <c r="N1093" t="str">
        <f t="shared" si="93"/>
        <v/>
      </c>
      <c r="O1093" t="str">
        <f>IF(I1093="","",_xlfn.XLOOKUP(I1093,Lists!$C:$C,Lists!$J:$J))</f>
        <v/>
      </c>
      <c r="P1093" t="str">
        <f>IF(I1093="","",_xlfn.XLOOKUP(I1093,Lists!$C:$C,Lists!$E:$E))</f>
        <v/>
      </c>
      <c r="Q1093" s="21" t="str">
        <f t="shared" si="94"/>
        <v/>
      </c>
      <c r="R1093" t="str">
        <f t="shared" si="95"/>
        <v/>
      </c>
      <c r="S1093" t="str">
        <f>IF(I1093="","",_xlfn.XLOOKUP(I1093,Lists!$C:$C,Lists!$I:$I))</f>
        <v/>
      </c>
    </row>
    <row r="1094" spans="8:8">
      <c r="C1094">
        <f>_xlfn.XLOOKUP(B1094,Lists!B:B,Lists!A:A,"")</f>
        <v>0.0</v>
      </c>
      <c r="G1094" t="str">
        <f t="shared" si="91"/>
        <v/>
      </c>
      <c r="H1094" s="20" t="str">
        <f t="shared" si="92"/>
        <v/>
      </c>
      <c r="J1094" t="str">
        <f>IF(I1094="","",_xlfn.XLOOKUP(I1094,Lists!$C:$C,Lists!$D:$D))</f>
        <v/>
      </c>
      <c r="N1094" t="str">
        <f t="shared" si="93"/>
        <v/>
      </c>
      <c r="O1094" t="str">
        <f>IF(I1094="","",_xlfn.XLOOKUP(I1094,Lists!$C:$C,Lists!$J:$J))</f>
        <v/>
      </c>
      <c r="P1094" t="str">
        <f>IF(I1094="","",_xlfn.XLOOKUP(I1094,Lists!$C:$C,Lists!$E:$E))</f>
        <v/>
      </c>
      <c r="Q1094" s="21" t="str">
        <f t="shared" si="94"/>
        <v/>
      </c>
      <c r="R1094" t="str">
        <f t="shared" si="95"/>
        <v/>
      </c>
      <c r="S1094" t="str">
        <f>IF(I1094="","",_xlfn.XLOOKUP(I1094,Lists!$C:$C,Lists!$I:$I))</f>
        <v/>
      </c>
    </row>
    <row r="1095" spans="8:8">
      <c r="C1095">
        <f>_xlfn.XLOOKUP(B1095,Lists!B:B,Lists!A:A,"")</f>
        <v>0.0</v>
      </c>
      <c r="G1095" t="str">
        <f t="shared" si="91"/>
        <v/>
      </c>
      <c r="H1095" s="20" t="str">
        <f t="shared" si="92"/>
        <v/>
      </c>
      <c r="J1095" t="str">
        <f>IF(I1095="","",_xlfn.XLOOKUP(I1095,Lists!$C:$C,Lists!$D:$D))</f>
        <v/>
      </c>
      <c r="N1095" t="str">
        <f t="shared" si="93"/>
        <v/>
      </c>
      <c r="O1095" t="str">
        <f>IF(I1095="","",_xlfn.XLOOKUP(I1095,Lists!$C:$C,Lists!$J:$J))</f>
        <v/>
      </c>
      <c r="P1095" t="str">
        <f>IF(I1095="","",_xlfn.XLOOKUP(I1095,Lists!$C:$C,Lists!$E:$E))</f>
        <v/>
      </c>
      <c r="Q1095" s="21" t="str">
        <f t="shared" si="94"/>
        <v/>
      </c>
      <c r="R1095" t="str">
        <f t="shared" si="95"/>
        <v/>
      </c>
      <c r="S1095" t="str">
        <f>IF(I1095="","",_xlfn.XLOOKUP(I1095,Lists!$C:$C,Lists!$I:$I))</f>
        <v/>
      </c>
    </row>
    <row r="1096" spans="8:8">
      <c r="C1096">
        <f>_xlfn.XLOOKUP(B1096,Lists!B:B,Lists!A:A,"")</f>
        <v>0.0</v>
      </c>
      <c r="G1096" t="str">
        <f t="shared" si="91"/>
        <v/>
      </c>
      <c r="H1096" s="20" t="str">
        <f t="shared" si="92"/>
        <v/>
      </c>
      <c r="J1096" t="str">
        <f>IF(I1096="","",_xlfn.XLOOKUP(I1096,Lists!$C:$C,Lists!$D:$D))</f>
        <v/>
      </c>
      <c r="N1096" t="str">
        <f t="shared" si="93"/>
        <v/>
      </c>
      <c r="O1096" t="str">
        <f>IF(I1096="","",_xlfn.XLOOKUP(I1096,Lists!$C:$C,Lists!$J:$J))</f>
        <v/>
      </c>
      <c r="P1096" t="str">
        <f>IF(I1096="","",_xlfn.XLOOKUP(I1096,Lists!$C:$C,Lists!$E:$E))</f>
        <v/>
      </c>
      <c r="Q1096" s="21" t="str">
        <f t="shared" si="94"/>
        <v/>
      </c>
      <c r="R1096" t="str">
        <f t="shared" si="95"/>
        <v/>
      </c>
      <c r="S1096" t="str">
        <f>IF(I1096="","",_xlfn.XLOOKUP(I1096,Lists!$C:$C,Lists!$I:$I))</f>
        <v/>
      </c>
    </row>
    <row r="1097" spans="8:8">
      <c r="C1097">
        <f>_xlfn.XLOOKUP(B1097,Lists!B:B,Lists!A:A,"")</f>
        <v>0.0</v>
      </c>
      <c r="G1097" t="str">
        <f t="shared" si="91"/>
        <v/>
      </c>
      <c r="H1097" s="20" t="str">
        <f t="shared" si="92"/>
        <v/>
      </c>
      <c r="J1097" t="str">
        <f>IF(I1097="","",_xlfn.XLOOKUP(I1097,Lists!$C:$C,Lists!$D:$D))</f>
        <v/>
      </c>
      <c r="N1097" t="str">
        <f t="shared" si="93"/>
        <v/>
      </c>
      <c r="O1097" t="str">
        <f>IF(I1097="","",_xlfn.XLOOKUP(I1097,Lists!$C:$C,Lists!$J:$J))</f>
        <v/>
      </c>
      <c r="P1097" t="str">
        <f>IF(I1097="","",_xlfn.XLOOKUP(I1097,Lists!$C:$C,Lists!$E:$E))</f>
        <v/>
      </c>
      <c r="Q1097" s="21" t="str">
        <f t="shared" si="94"/>
        <v/>
      </c>
      <c r="R1097" t="str">
        <f t="shared" si="95"/>
        <v/>
      </c>
      <c r="S1097" t="str">
        <f>IF(I1097="","",_xlfn.XLOOKUP(I1097,Lists!$C:$C,Lists!$I:$I))</f>
        <v/>
      </c>
    </row>
    <row r="1098" spans="8:8">
      <c r="C1098">
        <f>_xlfn.XLOOKUP(B1098,Lists!B:B,Lists!A:A,"")</f>
        <v>0.0</v>
      </c>
      <c r="G1098" t="str">
        <f t="shared" si="91"/>
        <v/>
      </c>
      <c r="H1098" s="20" t="str">
        <f t="shared" si="92"/>
        <v/>
      </c>
      <c r="J1098" t="str">
        <f>IF(I1098="","",_xlfn.XLOOKUP(I1098,Lists!$C:$C,Lists!$D:$D))</f>
        <v/>
      </c>
      <c r="N1098" t="str">
        <f t="shared" si="93"/>
        <v/>
      </c>
      <c r="O1098" t="str">
        <f>IF(I1098="","",_xlfn.XLOOKUP(I1098,Lists!$C:$C,Lists!$J:$J))</f>
        <v/>
      </c>
      <c r="P1098" t="str">
        <f>IF(I1098="","",_xlfn.XLOOKUP(I1098,Lists!$C:$C,Lists!$E:$E))</f>
        <v/>
      </c>
      <c r="Q1098" s="21" t="str">
        <f t="shared" si="94"/>
        <v/>
      </c>
      <c r="R1098" t="str">
        <f t="shared" si="95"/>
        <v/>
      </c>
      <c r="S1098" t="str">
        <f>IF(I1098="","",_xlfn.XLOOKUP(I1098,Lists!$C:$C,Lists!$I:$I))</f>
        <v/>
      </c>
    </row>
    <row r="1099" spans="8:8">
      <c r="C1099">
        <f>_xlfn.XLOOKUP(B1099,Lists!B:B,Lists!A:A,"")</f>
        <v>0.0</v>
      </c>
      <c r="G1099" t="str">
        <f t="shared" si="91"/>
        <v/>
      </c>
      <c r="H1099" s="20" t="str">
        <f t="shared" si="92"/>
        <v/>
      </c>
      <c r="J1099" t="str">
        <f>IF(I1099="","",_xlfn.XLOOKUP(I1099,Lists!$C:$C,Lists!$D:$D))</f>
        <v/>
      </c>
      <c r="N1099" t="str">
        <f t="shared" si="93"/>
        <v/>
      </c>
      <c r="O1099" t="str">
        <f>IF(I1099="","",_xlfn.XLOOKUP(I1099,Lists!$C:$C,Lists!$J:$J))</f>
        <v/>
      </c>
      <c r="P1099" t="str">
        <f>IF(I1099="","",_xlfn.XLOOKUP(I1099,Lists!$C:$C,Lists!$E:$E))</f>
        <v/>
      </c>
      <c r="Q1099" s="21" t="str">
        <f t="shared" si="94"/>
        <v/>
      </c>
      <c r="R1099" t="str">
        <f t="shared" si="95"/>
        <v/>
      </c>
      <c r="S1099" t="str">
        <f>IF(I1099="","",_xlfn.XLOOKUP(I1099,Lists!$C:$C,Lists!$I:$I))</f>
        <v/>
      </c>
    </row>
    <row r="1100" spans="8:8">
      <c r="C1100">
        <f>_xlfn.XLOOKUP(B1100,Lists!B:B,Lists!A:A,"")</f>
        <v>0.0</v>
      </c>
      <c r="G1100" t="str">
        <f t="shared" si="91"/>
        <v/>
      </c>
      <c r="H1100" s="20" t="str">
        <f t="shared" si="92"/>
        <v/>
      </c>
      <c r="J1100" t="str">
        <f>IF(I1100="","",_xlfn.XLOOKUP(I1100,Lists!$C:$C,Lists!$D:$D))</f>
        <v/>
      </c>
      <c r="N1100" t="str">
        <f t="shared" si="93"/>
        <v/>
      </c>
      <c r="O1100" t="str">
        <f>IF(I1100="","",_xlfn.XLOOKUP(I1100,Lists!$C:$C,Lists!$J:$J))</f>
        <v/>
      </c>
      <c r="P1100" t="str">
        <f>IF(I1100="","",_xlfn.XLOOKUP(I1100,Lists!$C:$C,Lists!$E:$E))</f>
        <v/>
      </c>
      <c r="Q1100" s="21" t="str">
        <f t="shared" si="94"/>
        <v/>
      </c>
      <c r="R1100" t="str">
        <f t="shared" si="95"/>
        <v/>
      </c>
      <c r="S1100" t="str">
        <f>IF(I1100="","",_xlfn.XLOOKUP(I1100,Lists!$C:$C,Lists!$I:$I))</f>
        <v/>
      </c>
    </row>
    <row r="1101" spans="8:8">
      <c r="C1101">
        <f>_xlfn.XLOOKUP(B1101,Lists!B:B,Lists!A:A,"")</f>
        <v>0.0</v>
      </c>
      <c r="G1101" t="str">
        <f t="shared" si="91"/>
        <v/>
      </c>
      <c r="H1101" s="20" t="str">
        <f t="shared" si="92"/>
        <v/>
      </c>
      <c r="J1101" t="str">
        <f>IF(I1101="","",_xlfn.XLOOKUP(I1101,Lists!$C:$C,Lists!$D:$D))</f>
        <v/>
      </c>
      <c r="N1101" t="str">
        <f t="shared" si="93"/>
        <v/>
      </c>
      <c r="O1101" t="str">
        <f>IF(I1101="","",_xlfn.XLOOKUP(I1101,Lists!$C:$C,Lists!$J:$J))</f>
        <v/>
      </c>
      <c r="P1101" t="str">
        <f>IF(I1101="","",_xlfn.XLOOKUP(I1101,Lists!$C:$C,Lists!$E:$E))</f>
        <v/>
      </c>
      <c r="Q1101" s="21" t="str">
        <f t="shared" si="94"/>
        <v/>
      </c>
      <c r="R1101" t="str">
        <f t="shared" si="95"/>
        <v/>
      </c>
      <c r="S1101" t="str">
        <f>IF(I1101="","",_xlfn.XLOOKUP(I1101,Lists!$C:$C,Lists!$I:$I))</f>
        <v/>
      </c>
    </row>
    <row r="1102" spans="8:8">
      <c r="C1102">
        <f>_xlfn.XLOOKUP(B1102,Lists!B:B,Lists!A:A,"")</f>
        <v>0.0</v>
      </c>
      <c r="G1102" t="str">
        <f t="shared" si="91"/>
        <v/>
      </c>
      <c r="H1102" s="20" t="str">
        <f t="shared" si="92"/>
        <v/>
      </c>
      <c r="J1102" t="str">
        <f>IF(I1102="","",_xlfn.XLOOKUP(I1102,Lists!$C:$C,Lists!$D:$D))</f>
        <v/>
      </c>
      <c r="N1102" t="str">
        <f t="shared" si="93"/>
        <v/>
      </c>
      <c r="O1102" t="str">
        <f>IF(I1102="","",_xlfn.XLOOKUP(I1102,Lists!$C:$C,Lists!$J:$J))</f>
        <v/>
      </c>
      <c r="P1102" t="str">
        <f>IF(I1102="","",_xlfn.XLOOKUP(I1102,Lists!$C:$C,Lists!$E:$E))</f>
        <v/>
      </c>
      <c r="Q1102" s="21" t="str">
        <f t="shared" si="94"/>
        <v/>
      </c>
      <c r="R1102" t="str">
        <f t="shared" si="95"/>
        <v/>
      </c>
      <c r="S1102" t="str">
        <f>IF(I1102="","",_xlfn.XLOOKUP(I1102,Lists!$C:$C,Lists!$I:$I))</f>
        <v/>
      </c>
    </row>
    <row r="1103" spans="8:8">
      <c r="C1103">
        <f>_xlfn.XLOOKUP(B1103,Lists!B:B,Lists!A:A,"")</f>
        <v>0.0</v>
      </c>
      <c r="G1103" t="str">
        <f t="shared" si="91"/>
        <v/>
      </c>
      <c r="H1103" s="20" t="str">
        <f t="shared" si="92"/>
        <v/>
      </c>
      <c r="J1103" t="str">
        <f>IF(I1103="","",_xlfn.XLOOKUP(I1103,Lists!$C:$C,Lists!$D:$D))</f>
        <v/>
      </c>
      <c r="N1103" t="str">
        <f t="shared" si="93"/>
        <v/>
      </c>
      <c r="O1103" t="str">
        <f>IF(I1103="","",_xlfn.XLOOKUP(I1103,Lists!$C:$C,Lists!$J:$J))</f>
        <v/>
      </c>
      <c r="P1103" t="str">
        <f>IF(I1103="","",_xlfn.XLOOKUP(I1103,Lists!$C:$C,Lists!$E:$E))</f>
        <v/>
      </c>
      <c r="Q1103" s="21" t="str">
        <f t="shared" si="94"/>
        <v/>
      </c>
      <c r="R1103" t="str">
        <f t="shared" si="95"/>
        <v/>
      </c>
      <c r="S1103" t="str">
        <f>IF(I1103="","",_xlfn.XLOOKUP(I1103,Lists!$C:$C,Lists!$I:$I))</f>
        <v/>
      </c>
    </row>
    <row r="1104" spans="8:8">
      <c r="C1104">
        <f>_xlfn.XLOOKUP(B1104,Lists!B:B,Lists!A:A,"")</f>
        <v>0.0</v>
      </c>
      <c r="G1104" t="str">
        <f t="shared" si="91"/>
        <v/>
      </c>
      <c r="H1104" s="20" t="str">
        <f t="shared" si="92"/>
        <v/>
      </c>
      <c r="J1104" t="str">
        <f>IF(I1104="","",_xlfn.XLOOKUP(I1104,Lists!$C:$C,Lists!$D:$D))</f>
        <v/>
      </c>
      <c r="N1104" t="str">
        <f t="shared" si="93"/>
        <v/>
      </c>
      <c r="O1104" t="str">
        <f>IF(I1104="","",_xlfn.XLOOKUP(I1104,Lists!$C:$C,Lists!$J:$J))</f>
        <v/>
      </c>
      <c r="P1104" t="str">
        <f>IF(I1104="","",_xlfn.XLOOKUP(I1104,Lists!$C:$C,Lists!$E:$E))</f>
        <v/>
      </c>
      <c r="Q1104" s="21" t="str">
        <f t="shared" si="94"/>
        <v/>
      </c>
      <c r="R1104" t="str">
        <f t="shared" si="95"/>
        <v/>
      </c>
      <c r="S1104" t="str">
        <f>IF(I1104="","",_xlfn.XLOOKUP(I1104,Lists!$C:$C,Lists!$I:$I))</f>
        <v/>
      </c>
    </row>
    <row r="1105" spans="8:8">
      <c r="C1105">
        <f>_xlfn.XLOOKUP(B1105,Lists!B:B,Lists!A:A,"")</f>
        <v>0.0</v>
      </c>
      <c r="G1105" t="str">
        <f t="shared" si="91"/>
        <v/>
      </c>
      <c r="H1105" s="20" t="str">
        <f t="shared" si="92"/>
        <v/>
      </c>
      <c r="J1105" t="str">
        <f>IF(I1105="","",_xlfn.XLOOKUP(I1105,Lists!$C:$C,Lists!$D:$D))</f>
        <v/>
      </c>
      <c r="N1105" t="str">
        <f t="shared" si="93"/>
        <v/>
      </c>
      <c r="O1105" t="str">
        <f>IF(I1105="","",_xlfn.XLOOKUP(I1105,Lists!$C:$C,Lists!$J:$J))</f>
        <v/>
      </c>
      <c r="P1105" t="str">
        <f>IF(I1105="","",_xlfn.XLOOKUP(I1105,Lists!$C:$C,Lists!$E:$E))</f>
        <v/>
      </c>
      <c r="Q1105" s="21" t="str">
        <f t="shared" si="94"/>
        <v/>
      </c>
      <c r="R1105" t="str">
        <f t="shared" si="95"/>
        <v/>
      </c>
      <c r="S1105" t="str">
        <f>IF(I1105="","",_xlfn.XLOOKUP(I1105,Lists!$C:$C,Lists!$I:$I))</f>
        <v/>
      </c>
    </row>
    <row r="1106" spans="8:8">
      <c r="C1106">
        <f>_xlfn.XLOOKUP(B1106,Lists!B:B,Lists!A:A,"")</f>
        <v>0.0</v>
      </c>
      <c r="G1106" t="str">
        <f t="shared" si="91"/>
        <v/>
      </c>
      <c r="H1106" s="20" t="str">
        <f t="shared" si="92"/>
        <v/>
      </c>
      <c r="J1106" t="str">
        <f>IF(I1106="","",_xlfn.XLOOKUP(I1106,Lists!$C:$C,Lists!$D:$D))</f>
        <v/>
      </c>
      <c r="N1106" t="str">
        <f t="shared" si="93"/>
        <v/>
      </c>
      <c r="O1106" t="str">
        <f>IF(I1106="","",_xlfn.XLOOKUP(I1106,Lists!$C:$C,Lists!$J:$J))</f>
        <v/>
      </c>
      <c r="P1106" t="str">
        <f>IF(I1106="","",_xlfn.XLOOKUP(I1106,Lists!$C:$C,Lists!$E:$E))</f>
        <v/>
      </c>
      <c r="Q1106" s="21" t="str">
        <f t="shared" si="94"/>
        <v/>
      </c>
      <c r="R1106" t="str">
        <f t="shared" si="95"/>
        <v/>
      </c>
      <c r="S1106" t="str">
        <f>IF(I1106="","",_xlfn.XLOOKUP(I1106,Lists!$C:$C,Lists!$I:$I))</f>
        <v/>
      </c>
    </row>
    <row r="1107" spans="8:8">
      <c r="C1107">
        <f>_xlfn.XLOOKUP(B1107,Lists!B:B,Lists!A:A,"")</f>
        <v>0.0</v>
      </c>
      <c r="G1107" t="str">
        <f t="shared" si="91"/>
        <v/>
      </c>
      <c r="H1107" s="20" t="str">
        <f t="shared" si="92"/>
        <v/>
      </c>
      <c r="J1107" t="str">
        <f>IF(I1107="","",_xlfn.XLOOKUP(I1107,Lists!$C:$C,Lists!$D:$D))</f>
        <v/>
      </c>
      <c r="N1107" t="str">
        <f t="shared" si="93"/>
        <v/>
      </c>
      <c r="O1107" t="str">
        <f>IF(I1107="","",_xlfn.XLOOKUP(I1107,Lists!$C:$C,Lists!$J:$J))</f>
        <v/>
      </c>
      <c r="P1107" t="str">
        <f>IF(I1107="","",_xlfn.XLOOKUP(I1107,Lists!$C:$C,Lists!$E:$E))</f>
        <v/>
      </c>
      <c r="Q1107" s="21" t="str">
        <f t="shared" si="94"/>
        <v/>
      </c>
      <c r="R1107" t="str">
        <f t="shared" si="95"/>
        <v/>
      </c>
      <c r="S1107" t="str">
        <f>IF(I1107="","",_xlfn.XLOOKUP(I1107,Lists!$C:$C,Lists!$I:$I))</f>
        <v/>
      </c>
    </row>
    <row r="1108" spans="8:8">
      <c r="C1108">
        <f>_xlfn.XLOOKUP(B1108,Lists!B:B,Lists!A:A,"")</f>
        <v>0.0</v>
      </c>
      <c r="G1108" t="str">
        <f t="shared" si="91"/>
        <v/>
      </c>
      <c r="H1108" s="20" t="str">
        <f t="shared" si="92"/>
        <v/>
      </c>
      <c r="J1108" t="str">
        <f>IF(I1108="","",_xlfn.XLOOKUP(I1108,Lists!$C:$C,Lists!$D:$D))</f>
        <v/>
      </c>
      <c r="N1108" t="str">
        <f t="shared" si="93"/>
        <v/>
      </c>
      <c r="O1108" t="str">
        <f>IF(I1108="","",_xlfn.XLOOKUP(I1108,Lists!$C:$C,Lists!$J:$J))</f>
        <v/>
      </c>
      <c r="P1108" t="str">
        <f>IF(I1108="","",_xlfn.XLOOKUP(I1108,Lists!$C:$C,Lists!$E:$E))</f>
        <v/>
      </c>
      <c r="Q1108" s="21" t="str">
        <f t="shared" si="94"/>
        <v/>
      </c>
      <c r="R1108" t="str">
        <f t="shared" si="95"/>
        <v/>
      </c>
      <c r="S1108" t="str">
        <f>IF(I1108="","",_xlfn.XLOOKUP(I1108,Lists!$C:$C,Lists!$I:$I))</f>
        <v/>
      </c>
    </row>
    <row r="1109" spans="8:8">
      <c r="C1109">
        <f>_xlfn.XLOOKUP(B1109,Lists!B:B,Lists!A:A,"")</f>
        <v>0.0</v>
      </c>
      <c r="G1109" t="str">
        <f t="shared" si="91"/>
        <v/>
      </c>
      <c r="H1109" s="20" t="str">
        <f t="shared" si="92"/>
        <v/>
      </c>
      <c r="J1109" t="str">
        <f>IF(I1109="","",_xlfn.XLOOKUP(I1109,Lists!$C:$C,Lists!$D:$D))</f>
        <v/>
      </c>
      <c r="N1109" t="str">
        <f t="shared" si="93"/>
        <v/>
      </c>
      <c r="O1109" t="str">
        <f>IF(I1109="","",_xlfn.XLOOKUP(I1109,Lists!$C:$C,Lists!$J:$J))</f>
        <v/>
      </c>
      <c r="P1109" t="str">
        <f>IF(I1109="","",_xlfn.XLOOKUP(I1109,Lists!$C:$C,Lists!$E:$E))</f>
        <v/>
      </c>
      <c r="Q1109" s="21" t="str">
        <f t="shared" si="94"/>
        <v/>
      </c>
      <c r="R1109" t="str">
        <f t="shared" si="95"/>
        <v/>
      </c>
      <c r="S1109" t="str">
        <f>IF(I1109="","",_xlfn.XLOOKUP(I1109,Lists!$C:$C,Lists!$I:$I))</f>
        <v/>
      </c>
    </row>
    <row r="1110" spans="8:8">
      <c r="C1110">
        <f>_xlfn.XLOOKUP(B1110,Lists!B:B,Lists!A:A,"")</f>
        <v>0.0</v>
      </c>
      <c r="G1110" t="str">
        <f t="shared" si="91"/>
        <v/>
      </c>
      <c r="H1110" s="20" t="str">
        <f t="shared" si="92"/>
        <v/>
      </c>
      <c r="J1110" t="str">
        <f>IF(I1110="","",_xlfn.XLOOKUP(I1110,Lists!$C:$C,Lists!$D:$D))</f>
        <v/>
      </c>
      <c r="N1110" t="str">
        <f t="shared" si="93"/>
        <v/>
      </c>
      <c r="O1110" t="str">
        <f>IF(I1110="","",_xlfn.XLOOKUP(I1110,Lists!$C:$C,Lists!$J:$J))</f>
        <v/>
      </c>
      <c r="P1110" t="str">
        <f>IF(I1110="","",_xlfn.XLOOKUP(I1110,Lists!$C:$C,Lists!$E:$E))</f>
        <v/>
      </c>
      <c r="Q1110" s="21" t="str">
        <f t="shared" si="94"/>
        <v/>
      </c>
      <c r="R1110" t="str">
        <f t="shared" si="95"/>
        <v/>
      </c>
      <c r="S1110" t="str">
        <f>IF(I1110="","",_xlfn.XLOOKUP(I1110,Lists!$C:$C,Lists!$I:$I))</f>
        <v/>
      </c>
    </row>
    <row r="1111" spans="8:8">
      <c r="C1111">
        <f>_xlfn.XLOOKUP(B1111,Lists!B:B,Lists!A:A,"")</f>
        <v>0.0</v>
      </c>
      <c r="G1111" t="str">
        <f t="shared" si="91"/>
        <v/>
      </c>
      <c r="H1111" s="20" t="str">
        <f t="shared" si="92"/>
        <v/>
      </c>
      <c r="J1111" t="str">
        <f>IF(I1111="","",_xlfn.XLOOKUP(I1111,Lists!$C:$C,Lists!$D:$D))</f>
        <v/>
      </c>
      <c r="N1111" t="str">
        <f t="shared" si="93"/>
        <v/>
      </c>
      <c r="O1111" t="str">
        <f>IF(I1111="","",_xlfn.XLOOKUP(I1111,Lists!$C:$C,Lists!$J:$J))</f>
        <v/>
      </c>
      <c r="P1111" t="str">
        <f>IF(I1111="","",_xlfn.XLOOKUP(I1111,Lists!$C:$C,Lists!$E:$E))</f>
        <v/>
      </c>
      <c r="Q1111" s="21" t="str">
        <f t="shared" si="94"/>
        <v/>
      </c>
      <c r="R1111" t="str">
        <f t="shared" si="95"/>
        <v/>
      </c>
      <c r="S1111" t="str">
        <f>IF(I1111="","",_xlfn.XLOOKUP(I1111,Lists!$C:$C,Lists!$I:$I))</f>
        <v/>
      </c>
    </row>
    <row r="1112" spans="8:8">
      <c r="C1112">
        <f>_xlfn.XLOOKUP(B1112,Lists!B:B,Lists!A:A,"")</f>
        <v>0.0</v>
      </c>
      <c r="G1112" t="str">
        <f t="shared" si="91"/>
        <v/>
      </c>
      <c r="H1112" s="20" t="str">
        <f t="shared" si="92"/>
        <v/>
      </c>
      <c r="J1112" t="str">
        <f>IF(I1112="","",_xlfn.XLOOKUP(I1112,Lists!$C:$C,Lists!$D:$D))</f>
        <v/>
      </c>
      <c r="N1112" t="str">
        <f t="shared" si="93"/>
        <v/>
      </c>
      <c r="O1112" t="str">
        <f>IF(I1112="","",_xlfn.XLOOKUP(I1112,Lists!$C:$C,Lists!$J:$J))</f>
        <v/>
      </c>
      <c r="P1112" t="str">
        <f>IF(I1112="","",_xlfn.XLOOKUP(I1112,Lists!$C:$C,Lists!$E:$E))</f>
        <v/>
      </c>
      <c r="Q1112" s="21" t="str">
        <f t="shared" si="94"/>
        <v/>
      </c>
      <c r="R1112" t="str">
        <f t="shared" si="95"/>
        <v/>
      </c>
      <c r="S1112" t="str">
        <f>IF(I1112="","",_xlfn.XLOOKUP(I1112,Lists!$C:$C,Lists!$I:$I))</f>
        <v/>
      </c>
    </row>
    <row r="1113" spans="8:8">
      <c r="C1113">
        <f>_xlfn.XLOOKUP(B1113,Lists!B:B,Lists!A:A,"")</f>
        <v>0.0</v>
      </c>
      <c r="G1113" t="str">
        <f t="shared" si="91"/>
        <v/>
      </c>
      <c r="H1113" s="20" t="str">
        <f t="shared" si="92"/>
        <v/>
      </c>
      <c r="J1113" t="str">
        <f>IF(I1113="","",_xlfn.XLOOKUP(I1113,Lists!$C:$C,Lists!$D:$D))</f>
        <v/>
      </c>
      <c r="N1113" t="str">
        <f t="shared" si="93"/>
        <v/>
      </c>
      <c r="O1113" t="str">
        <f>IF(I1113="","",_xlfn.XLOOKUP(I1113,Lists!$C:$C,Lists!$J:$J))</f>
        <v/>
      </c>
      <c r="P1113" t="str">
        <f>IF(I1113="","",_xlfn.XLOOKUP(I1113,Lists!$C:$C,Lists!$E:$E))</f>
        <v/>
      </c>
      <c r="Q1113" s="21" t="str">
        <f t="shared" si="94"/>
        <v/>
      </c>
      <c r="R1113" t="str">
        <f t="shared" si="95"/>
        <v/>
      </c>
      <c r="S1113" t="str">
        <f>IF(I1113="","",_xlfn.XLOOKUP(I1113,Lists!$C:$C,Lists!$I:$I))</f>
        <v/>
      </c>
    </row>
    <row r="1114" spans="8:8">
      <c r="C1114">
        <f>_xlfn.XLOOKUP(B1114,Lists!B:B,Lists!A:A,"")</f>
        <v>0.0</v>
      </c>
      <c r="G1114" t="str">
        <f t="shared" si="91"/>
        <v/>
      </c>
      <c r="H1114" s="20" t="str">
        <f t="shared" si="92"/>
        <v/>
      </c>
      <c r="J1114" t="str">
        <f>IF(I1114="","",_xlfn.XLOOKUP(I1114,Lists!$C:$C,Lists!$D:$D))</f>
        <v/>
      </c>
      <c r="N1114" t="str">
        <f t="shared" si="93"/>
        <v/>
      </c>
      <c r="O1114" t="str">
        <f>IF(I1114="","",_xlfn.XLOOKUP(I1114,Lists!$C:$C,Lists!$J:$J))</f>
        <v/>
      </c>
      <c r="P1114" t="str">
        <f>IF(I1114="","",_xlfn.XLOOKUP(I1114,Lists!$C:$C,Lists!$E:$E))</f>
        <v/>
      </c>
      <c r="Q1114" s="21" t="str">
        <f t="shared" si="94"/>
        <v/>
      </c>
      <c r="R1114" t="str">
        <f t="shared" si="95"/>
        <v/>
      </c>
      <c r="S1114" t="str">
        <f>IF(I1114="","",_xlfn.XLOOKUP(I1114,Lists!$C:$C,Lists!$I:$I))</f>
        <v/>
      </c>
    </row>
    <row r="1115" spans="8:8">
      <c r="C1115">
        <f>_xlfn.XLOOKUP(B1115,Lists!B:B,Lists!A:A,"")</f>
        <v>0.0</v>
      </c>
      <c r="G1115" t="str">
        <f t="shared" si="91"/>
        <v/>
      </c>
      <c r="H1115" s="20" t="str">
        <f t="shared" si="92"/>
        <v/>
      </c>
      <c r="J1115" t="str">
        <f>IF(I1115="","",_xlfn.XLOOKUP(I1115,Lists!$C:$C,Lists!$D:$D))</f>
        <v/>
      </c>
      <c r="N1115" t="str">
        <f t="shared" si="93"/>
        <v/>
      </c>
      <c r="O1115" t="str">
        <f>IF(I1115="","",_xlfn.XLOOKUP(I1115,Lists!$C:$C,Lists!$J:$J))</f>
        <v/>
      </c>
      <c r="P1115" t="str">
        <f>IF(I1115="","",_xlfn.XLOOKUP(I1115,Lists!$C:$C,Lists!$E:$E))</f>
        <v/>
      </c>
      <c r="Q1115" s="21" t="str">
        <f t="shared" si="94"/>
        <v/>
      </c>
      <c r="R1115" t="str">
        <f t="shared" si="95"/>
        <v/>
      </c>
      <c r="S1115" t="str">
        <f>IF(I1115="","",_xlfn.XLOOKUP(I1115,Lists!$C:$C,Lists!$I:$I))</f>
        <v/>
      </c>
    </row>
    <row r="1116" spans="8:8">
      <c r="C1116">
        <f>_xlfn.XLOOKUP(B1116,Lists!B:B,Lists!A:A,"")</f>
        <v>0.0</v>
      </c>
      <c r="G1116" t="str">
        <f t="shared" si="91"/>
        <v/>
      </c>
      <c r="H1116" s="20" t="str">
        <f t="shared" si="92"/>
        <v/>
      </c>
      <c r="J1116" t="str">
        <f>IF(I1116="","",_xlfn.XLOOKUP(I1116,Lists!$C:$C,Lists!$D:$D))</f>
        <v/>
      </c>
      <c r="N1116" t="str">
        <f t="shared" si="93"/>
        <v/>
      </c>
      <c r="O1116" t="str">
        <f>IF(I1116="","",_xlfn.XLOOKUP(I1116,Lists!$C:$C,Lists!$J:$J))</f>
        <v/>
      </c>
      <c r="P1116" t="str">
        <f>IF(I1116="","",_xlfn.XLOOKUP(I1116,Lists!$C:$C,Lists!$E:$E))</f>
        <v/>
      </c>
      <c r="Q1116" s="21" t="str">
        <f t="shared" si="94"/>
        <v/>
      </c>
      <c r="R1116" t="str">
        <f t="shared" si="95"/>
        <v/>
      </c>
      <c r="S1116" t="str">
        <f>IF(I1116="","",_xlfn.XLOOKUP(I1116,Lists!$C:$C,Lists!$I:$I))</f>
        <v/>
      </c>
    </row>
    <row r="1117" spans="8:8">
      <c r="C1117">
        <f>_xlfn.XLOOKUP(B1117,Lists!B:B,Lists!A:A,"")</f>
        <v>0.0</v>
      </c>
      <c r="G1117" t="str">
        <f t="shared" si="91"/>
        <v/>
      </c>
      <c r="H1117" s="20" t="str">
        <f t="shared" si="92"/>
        <v/>
      </c>
      <c r="J1117" t="str">
        <f>IF(I1117="","",_xlfn.XLOOKUP(I1117,Lists!$C:$C,Lists!$D:$D))</f>
        <v/>
      </c>
      <c r="N1117" t="str">
        <f t="shared" si="93"/>
        <v/>
      </c>
      <c r="O1117" t="str">
        <f>IF(I1117="","",_xlfn.XLOOKUP(I1117,Lists!$C:$C,Lists!$J:$J))</f>
        <v/>
      </c>
      <c r="P1117" t="str">
        <f>IF(I1117="","",_xlfn.XLOOKUP(I1117,Lists!$C:$C,Lists!$E:$E))</f>
        <v/>
      </c>
      <c r="Q1117" s="21" t="str">
        <f t="shared" si="94"/>
        <v/>
      </c>
      <c r="R1117" t="str">
        <f t="shared" si="95"/>
        <v/>
      </c>
      <c r="S1117" t="str">
        <f>IF(I1117="","",_xlfn.XLOOKUP(I1117,Lists!$C:$C,Lists!$I:$I))</f>
        <v/>
      </c>
    </row>
    <row r="1118" spans="8:8">
      <c r="C1118">
        <f>_xlfn.XLOOKUP(B1118,Lists!B:B,Lists!A:A,"")</f>
        <v>0.0</v>
      </c>
      <c r="G1118" t="str">
        <f t="shared" si="91"/>
        <v/>
      </c>
      <c r="H1118" s="20" t="str">
        <f t="shared" si="92"/>
        <v/>
      </c>
      <c r="J1118" t="str">
        <f>IF(I1118="","",_xlfn.XLOOKUP(I1118,Lists!$C:$C,Lists!$D:$D))</f>
        <v/>
      </c>
      <c r="N1118" t="str">
        <f t="shared" si="93"/>
        <v/>
      </c>
      <c r="O1118" t="str">
        <f>IF(I1118="","",_xlfn.XLOOKUP(I1118,Lists!$C:$C,Lists!$J:$J))</f>
        <v/>
      </c>
      <c r="P1118" t="str">
        <f>IF(I1118="","",_xlfn.XLOOKUP(I1118,Lists!$C:$C,Lists!$E:$E))</f>
        <v/>
      </c>
      <c r="Q1118" s="21" t="str">
        <f t="shared" si="94"/>
        <v/>
      </c>
      <c r="R1118" t="str">
        <f t="shared" si="95"/>
        <v/>
      </c>
      <c r="S1118" t="str">
        <f>IF(I1118="","",_xlfn.XLOOKUP(I1118,Lists!$C:$C,Lists!$I:$I))</f>
        <v/>
      </c>
    </row>
    <row r="1119" spans="8:8">
      <c r="C1119">
        <f>_xlfn.XLOOKUP(B1119,Lists!B:B,Lists!A:A,"")</f>
        <v>0.0</v>
      </c>
      <c r="G1119" t="str">
        <f t="shared" si="91"/>
        <v/>
      </c>
      <c r="H1119" s="20" t="str">
        <f t="shared" si="92"/>
        <v/>
      </c>
      <c r="J1119" t="str">
        <f>IF(I1119="","",_xlfn.XLOOKUP(I1119,Lists!$C:$C,Lists!$D:$D))</f>
        <v/>
      </c>
      <c r="N1119" t="str">
        <f t="shared" si="93"/>
        <v/>
      </c>
      <c r="O1119" t="str">
        <f>IF(I1119="","",_xlfn.XLOOKUP(I1119,Lists!$C:$C,Lists!$J:$J))</f>
        <v/>
      </c>
      <c r="P1119" t="str">
        <f>IF(I1119="","",_xlfn.XLOOKUP(I1119,Lists!$C:$C,Lists!$E:$E))</f>
        <v/>
      </c>
      <c r="Q1119" s="21" t="str">
        <f t="shared" si="94"/>
        <v/>
      </c>
      <c r="R1119" t="str">
        <f t="shared" si="95"/>
        <v/>
      </c>
      <c r="S1119" t="str">
        <f>IF(I1119="","",_xlfn.XLOOKUP(I1119,Lists!$C:$C,Lists!$I:$I))</f>
        <v/>
      </c>
    </row>
    <row r="1120" spans="8:8">
      <c r="C1120">
        <f>_xlfn.XLOOKUP(B1120,Lists!B:B,Lists!A:A,"")</f>
        <v>0.0</v>
      </c>
      <c r="G1120" t="str">
        <f t="shared" si="91"/>
        <v/>
      </c>
      <c r="H1120" s="20" t="str">
        <f t="shared" si="92"/>
        <v/>
      </c>
      <c r="J1120" t="str">
        <f>IF(I1120="","",_xlfn.XLOOKUP(I1120,Lists!$C:$C,Lists!$D:$D))</f>
        <v/>
      </c>
      <c r="N1120" t="str">
        <f t="shared" si="93"/>
        <v/>
      </c>
      <c r="O1120" t="str">
        <f>IF(I1120="","",_xlfn.XLOOKUP(I1120,Lists!$C:$C,Lists!$J:$J))</f>
        <v/>
      </c>
      <c r="P1120" t="str">
        <f>IF(I1120="","",_xlfn.XLOOKUP(I1120,Lists!$C:$C,Lists!$E:$E))</f>
        <v/>
      </c>
      <c r="Q1120" s="21" t="str">
        <f t="shared" si="94"/>
        <v/>
      </c>
      <c r="R1120" t="str">
        <f t="shared" si="95"/>
        <v/>
      </c>
      <c r="S1120" t="str">
        <f>IF(I1120="","",_xlfn.XLOOKUP(I1120,Lists!$C:$C,Lists!$I:$I))</f>
        <v/>
      </c>
    </row>
    <row r="1121" spans="8:8">
      <c r="C1121">
        <f>_xlfn.XLOOKUP(B1121,Lists!B:B,Lists!A:A,"")</f>
        <v>0.0</v>
      </c>
      <c r="G1121" t="str">
        <f t="shared" si="91"/>
        <v/>
      </c>
      <c r="H1121" s="20" t="str">
        <f t="shared" si="92"/>
        <v/>
      </c>
      <c r="J1121" t="str">
        <f>IF(I1121="","",_xlfn.XLOOKUP(I1121,Lists!$C:$C,Lists!$D:$D))</f>
        <v/>
      </c>
      <c r="N1121" t="str">
        <f t="shared" si="93"/>
        <v/>
      </c>
      <c r="O1121" t="str">
        <f>IF(I1121="","",_xlfn.XLOOKUP(I1121,Lists!$C:$C,Lists!$J:$J))</f>
        <v/>
      </c>
      <c r="P1121" t="str">
        <f>IF(I1121="","",_xlfn.XLOOKUP(I1121,Lists!$C:$C,Lists!$E:$E))</f>
        <v/>
      </c>
      <c r="Q1121" s="21" t="str">
        <f t="shared" si="94"/>
        <v/>
      </c>
      <c r="R1121" t="str">
        <f t="shared" si="95"/>
        <v/>
      </c>
      <c r="S1121" t="str">
        <f>IF(I1121="","",_xlfn.XLOOKUP(I1121,Lists!$C:$C,Lists!$I:$I))</f>
        <v/>
      </c>
    </row>
    <row r="1122" spans="8:8">
      <c r="C1122">
        <f>_xlfn.XLOOKUP(B1122,Lists!B:B,Lists!A:A,"")</f>
        <v>0.0</v>
      </c>
      <c r="G1122" t="str">
        <f t="shared" si="91"/>
        <v/>
      </c>
      <c r="H1122" s="20" t="str">
        <f t="shared" si="92"/>
        <v/>
      </c>
      <c r="J1122" t="str">
        <f>IF(I1122="","",_xlfn.XLOOKUP(I1122,Lists!$C:$C,Lists!$D:$D))</f>
        <v/>
      </c>
      <c r="N1122" t="str">
        <f t="shared" si="93"/>
        <v/>
      </c>
      <c r="O1122" t="str">
        <f>IF(I1122="","",_xlfn.XLOOKUP(I1122,Lists!$C:$C,Lists!$J:$J))</f>
        <v/>
      </c>
      <c r="P1122" t="str">
        <f>IF(I1122="","",_xlfn.XLOOKUP(I1122,Lists!$C:$C,Lists!$E:$E))</f>
        <v/>
      </c>
      <c r="Q1122" s="21" t="str">
        <f t="shared" si="94"/>
        <v/>
      </c>
      <c r="R1122" t="str">
        <f t="shared" si="95"/>
        <v/>
      </c>
      <c r="S1122" t="str">
        <f>IF(I1122="","",_xlfn.XLOOKUP(I1122,Lists!$C:$C,Lists!$I:$I))</f>
        <v/>
      </c>
    </row>
    <row r="1123" spans="8:8">
      <c r="C1123">
        <f>_xlfn.XLOOKUP(B1123,Lists!B:B,Lists!A:A,"")</f>
        <v>0.0</v>
      </c>
      <c r="G1123" t="str">
        <f t="shared" si="96" ref="G1123:G1154">IF(OR(E1123="",F1123=""),"",F1123-E1123+1)</f>
        <v/>
      </c>
      <c r="H1123" s="20" t="str">
        <f t="shared" si="97" ref="H1123:H1154">IF(D1123="","",IF(OR(D1123="A",D1123="B"),G1123/80,IF(D1123="A&amp;B",G1123/160,"")))</f>
        <v/>
      </c>
      <c r="J1123" t="str">
        <f>IF(I1123="","",_xlfn.XLOOKUP(I1123,Lists!$C:$C,Lists!$D:$D))</f>
        <v/>
      </c>
      <c r="N1123" t="str">
        <f t="shared" si="98" ref="N1123:N1154">IF(OR(M1123="",L1123=""),"",(M1123*L1123)/100000)</f>
        <v/>
      </c>
      <c r="O1123" t="str">
        <f>IF(I1123="","",_xlfn.XLOOKUP(I1123,Lists!$C:$C,Lists!$J:$J))</f>
        <v/>
      </c>
      <c r="P1123" t="str">
        <f>IF(I1123="","",_xlfn.XLOOKUP(I1123,Lists!$C:$C,Lists!$E:$E))</f>
        <v/>
      </c>
      <c r="Q1123" s="21" t="str">
        <f t="shared" si="99" ref="Q1123:Q1154">IF(OR(A1123="",P1123=""),"",A1123+P1123+1)</f>
        <v/>
      </c>
      <c r="R1123" t="str">
        <f t="shared" si="100" ref="R1123:R1154">IF(Q1123="","",IF(Q1123&lt;=TODAY(),"Allow","Not Allow"))</f>
        <v/>
      </c>
      <c r="S1123" t="str">
        <f>IF(I1123="","",_xlfn.XLOOKUP(I1123,Lists!$C:$C,Lists!$I:$I))</f>
        <v/>
      </c>
    </row>
    <row r="1124" spans="8:8">
      <c r="C1124">
        <f>_xlfn.XLOOKUP(B1124,Lists!B:B,Lists!A:A,"")</f>
        <v>0.0</v>
      </c>
      <c r="G1124" t="str">
        <f t="shared" si="96"/>
        <v/>
      </c>
      <c r="H1124" s="20" t="str">
        <f t="shared" si="97"/>
        <v/>
      </c>
      <c r="J1124" t="str">
        <f>IF(I1124="","",_xlfn.XLOOKUP(I1124,Lists!$C:$C,Lists!$D:$D))</f>
        <v/>
      </c>
      <c r="N1124" t="str">
        <f t="shared" si="98"/>
        <v/>
      </c>
      <c r="O1124" t="str">
        <f>IF(I1124="","",_xlfn.XLOOKUP(I1124,Lists!$C:$C,Lists!$J:$J))</f>
        <v/>
      </c>
      <c r="P1124" t="str">
        <f>IF(I1124="","",_xlfn.XLOOKUP(I1124,Lists!$C:$C,Lists!$E:$E))</f>
        <v/>
      </c>
      <c r="Q1124" s="21" t="str">
        <f t="shared" si="99"/>
        <v/>
      </c>
      <c r="R1124" t="str">
        <f t="shared" si="100"/>
        <v/>
      </c>
      <c r="S1124" t="str">
        <f>IF(I1124="","",_xlfn.XLOOKUP(I1124,Lists!$C:$C,Lists!$I:$I))</f>
        <v/>
      </c>
    </row>
    <row r="1125" spans="8:8">
      <c r="C1125">
        <f>_xlfn.XLOOKUP(B1125,Lists!B:B,Lists!A:A,"")</f>
        <v>0.0</v>
      </c>
      <c r="G1125" t="str">
        <f t="shared" si="96"/>
        <v/>
      </c>
      <c r="H1125" s="20" t="str">
        <f t="shared" si="97"/>
        <v/>
      </c>
      <c r="J1125" t="str">
        <f>IF(I1125="","",_xlfn.XLOOKUP(I1125,Lists!$C:$C,Lists!$D:$D))</f>
        <v/>
      </c>
      <c r="N1125" t="str">
        <f t="shared" si="98"/>
        <v/>
      </c>
      <c r="O1125" t="str">
        <f>IF(I1125="","",_xlfn.XLOOKUP(I1125,Lists!$C:$C,Lists!$J:$J))</f>
        <v/>
      </c>
      <c r="P1125" t="str">
        <f>IF(I1125="","",_xlfn.XLOOKUP(I1125,Lists!$C:$C,Lists!$E:$E))</f>
        <v/>
      </c>
      <c r="Q1125" s="21" t="str">
        <f t="shared" si="99"/>
        <v/>
      </c>
      <c r="R1125" t="str">
        <f t="shared" si="100"/>
        <v/>
      </c>
      <c r="S1125" t="str">
        <f>IF(I1125="","",_xlfn.XLOOKUP(I1125,Lists!$C:$C,Lists!$I:$I))</f>
        <v/>
      </c>
    </row>
    <row r="1126" spans="8:8">
      <c r="C1126">
        <f>_xlfn.XLOOKUP(B1126,Lists!B:B,Lists!A:A,"")</f>
        <v>0.0</v>
      </c>
      <c r="G1126" t="str">
        <f t="shared" si="96"/>
        <v/>
      </c>
      <c r="H1126" s="20" t="str">
        <f t="shared" si="97"/>
        <v/>
      </c>
      <c r="J1126" t="str">
        <f>IF(I1126="","",_xlfn.XLOOKUP(I1126,Lists!$C:$C,Lists!$D:$D))</f>
        <v/>
      </c>
      <c r="N1126" t="str">
        <f t="shared" si="98"/>
        <v/>
      </c>
      <c r="O1126" t="str">
        <f>IF(I1126="","",_xlfn.XLOOKUP(I1126,Lists!$C:$C,Lists!$J:$J))</f>
        <v/>
      </c>
      <c r="P1126" t="str">
        <f>IF(I1126="","",_xlfn.XLOOKUP(I1126,Lists!$C:$C,Lists!$E:$E))</f>
        <v/>
      </c>
      <c r="Q1126" s="21" t="str">
        <f t="shared" si="99"/>
        <v/>
      </c>
      <c r="R1126" t="str">
        <f t="shared" si="100"/>
        <v/>
      </c>
      <c r="S1126" t="str">
        <f>IF(I1126="","",_xlfn.XLOOKUP(I1126,Lists!$C:$C,Lists!$I:$I))</f>
        <v/>
      </c>
    </row>
    <row r="1127" spans="8:8">
      <c r="C1127">
        <f>_xlfn.XLOOKUP(B1127,Lists!B:B,Lists!A:A,"")</f>
        <v>0.0</v>
      </c>
      <c r="G1127" t="str">
        <f t="shared" si="96"/>
        <v/>
      </c>
      <c r="H1127" s="20" t="str">
        <f t="shared" si="97"/>
        <v/>
      </c>
      <c r="J1127" t="str">
        <f>IF(I1127="","",_xlfn.XLOOKUP(I1127,Lists!$C:$C,Lists!$D:$D))</f>
        <v/>
      </c>
      <c r="N1127" t="str">
        <f t="shared" si="98"/>
        <v/>
      </c>
      <c r="O1127" t="str">
        <f>IF(I1127="","",_xlfn.XLOOKUP(I1127,Lists!$C:$C,Lists!$J:$J))</f>
        <v/>
      </c>
      <c r="P1127" t="str">
        <f>IF(I1127="","",_xlfn.XLOOKUP(I1127,Lists!$C:$C,Lists!$E:$E))</f>
        <v/>
      </c>
      <c r="Q1127" s="21" t="str">
        <f t="shared" si="99"/>
        <v/>
      </c>
      <c r="R1127" t="str">
        <f t="shared" si="100"/>
        <v/>
      </c>
      <c r="S1127" t="str">
        <f>IF(I1127="","",_xlfn.XLOOKUP(I1127,Lists!$C:$C,Lists!$I:$I))</f>
        <v/>
      </c>
    </row>
    <row r="1128" spans="8:8">
      <c r="C1128">
        <f>_xlfn.XLOOKUP(B1128,Lists!B:B,Lists!A:A,"")</f>
        <v>0.0</v>
      </c>
      <c r="G1128" t="str">
        <f t="shared" si="96"/>
        <v/>
      </c>
      <c r="H1128" s="20" t="str">
        <f t="shared" si="97"/>
        <v/>
      </c>
      <c r="J1128" t="str">
        <f>IF(I1128="","",_xlfn.XLOOKUP(I1128,Lists!$C:$C,Lists!$D:$D))</f>
        <v/>
      </c>
      <c r="N1128" t="str">
        <f t="shared" si="98"/>
        <v/>
      </c>
      <c r="O1128" t="str">
        <f>IF(I1128="","",_xlfn.XLOOKUP(I1128,Lists!$C:$C,Lists!$J:$J))</f>
        <v/>
      </c>
      <c r="P1128" t="str">
        <f>IF(I1128="","",_xlfn.XLOOKUP(I1128,Lists!$C:$C,Lists!$E:$E))</f>
        <v/>
      </c>
      <c r="Q1128" s="21" t="str">
        <f t="shared" si="99"/>
        <v/>
      </c>
      <c r="R1128" t="str">
        <f t="shared" si="100"/>
        <v/>
      </c>
      <c r="S1128" t="str">
        <f>IF(I1128="","",_xlfn.XLOOKUP(I1128,Lists!$C:$C,Lists!$I:$I))</f>
        <v/>
      </c>
    </row>
    <row r="1129" spans="8:8">
      <c r="C1129">
        <f>_xlfn.XLOOKUP(B1129,Lists!B:B,Lists!A:A,"")</f>
        <v>0.0</v>
      </c>
      <c r="G1129" t="str">
        <f t="shared" si="96"/>
        <v/>
      </c>
      <c r="H1129" s="20" t="str">
        <f t="shared" si="97"/>
        <v/>
      </c>
      <c r="J1129" t="str">
        <f>IF(I1129="","",_xlfn.XLOOKUP(I1129,Lists!$C:$C,Lists!$D:$D))</f>
        <v/>
      </c>
      <c r="N1129" t="str">
        <f t="shared" si="98"/>
        <v/>
      </c>
      <c r="O1129" t="str">
        <f>IF(I1129="","",_xlfn.XLOOKUP(I1129,Lists!$C:$C,Lists!$J:$J))</f>
        <v/>
      </c>
      <c r="P1129" t="str">
        <f>IF(I1129="","",_xlfn.XLOOKUP(I1129,Lists!$C:$C,Lists!$E:$E))</f>
        <v/>
      </c>
      <c r="Q1129" s="21" t="str">
        <f t="shared" si="99"/>
        <v/>
      </c>
      <c r="R1129" t="str">
        <f t="shared" si="100"/>
        <v/>
      </c>
      <c r="S1129" t="str">
        <f>IF(I1129="","",_xlfn.XLOOKUP(I1129,Lists!$C:$C,Lists!$I:$I))</f>
        <v/>
      </c>
    </row>
    <row r="1130" spans="8:8">
      <c r="C1130">
        <f>_xlfn.XLOOKUP(B1130,Lists!B:B,Lists!A:A,"")</f>
        <v>0.0</v>
      </c>
      <c r="G1130" t="str">
        <f t="shared" si="96"/>
        <v/>
      </c>
      <c r="H1130" s="20" t="str">
        <f t="shared" si="97"/>
        <v/>
      </c>
      <c r="J1130" t="str">
        <f>IF(I1130="","",_xlfn.XLOOKUP(I1130,Lists!$C:$C,Lists!$D:$D))</f>
        <v/>
      </c>
      <c r="N1130" t="str">
        <f t="shared" si="98"/>
        <v/>
      </c>
      <c r="O1130" t="str">
        <f>IF(I1130="","",_xlfn.XLOOKUP(I1130,Lists!$C:$C,Lists!$J:$J))</f>
        <v/>
      </c>
      <c r="P1130" t="str">
        <f>IF(I1130="","",_xlfn.XLOOKUP(I1130,Lists!$C:$C,Lists!$E:$E))</f>
        <v/>
      </c>
      <c r="Q1130" s="21" t="str">
        <f t="shared" si="99"/>
        <v/>
      </c>
      <c r="R1130" t="str">
        <f t="shared" si="100"/>
        <v/>
      </c>
      <c r="S1130" t="str">
        <f>IF(I1130="","",_xlfn.XLOOKUP(I1130,Lists!$C:$C,Lists!$I:$I))</f>
        <v/>
      </c>
    </row>
    <row r="1131" spans="8:8">
      <c r="C1131">
        <f>_xlfn.XLOOKUP(B1131,Lists!B:B,Lists!A:A,"")</f>
        <v>0.0</v>
      </c>
      <c r="G1131" t="str">
        <f t="shared" si="96"/>
        <v/>
      </c>
      <c r="H1131" s="20" t="str">
        <f t="shared" si="97"/>
        <v/>
      </c>
      <c r="J1131" t="str">
        <f>IF(I1131="","",_xlfn.XLOOKUP(I1131,Lists!$C:$C,Lists!$D:$D))</f>
        <v/>
      </c>
      <c r="N1131" t="str">
        <f t="shared" si="98"/>
        <v/>
      </c>
      <c r="O1131" t="str">
        <f>IF(I1131="","",_xlfn.XLOOKUP(I1131,Lists!$C:$C,Lists!$J:$J))</f>
        <v/>
      </c>
      <c r="P1131" t="str">
        <f>IF(I1131="","",_xlfn.XLOOKUP(I1131,Lists!$C:$C,Lists!$E:$E))</f>
        <v/>
      </c>
      <c r="Q1131" s="21" t="str">
        <f t="shared" si="99"/>
        <v/>
      </c>
      <c r="R1131" t="str">
        <f t="shared" si="100"/>
        <v/>
      </c>
      <c r="S1131" t="str">
        <f>IF(I1131="","",_xlfn.XLOOKUP(I1131,Lists!$C:$C,Lists!$I:$I))</f>
        <v/>
      </c>
    </row>
    <row r="1132" spans="8:8">
      <c r="C1132">
        <f>_xlfn.XLOOKUP(B1132,Lists!B:B,Lists!A:A,"")</f>
        <v>0.0</v>
      </c>
      <c r="G1132" t="str">
        <f t="shared" si="96"/>
        <v/>
      </c>
      <c r="H1132" s="20" t="str">
        <f t="shared" si="97"/>
        <v/>
      </c>
      <c r="J1132" t="str">
        <f>IF(I1132="","",_xlfn.XLOOKUP(I1132,Lists!$C:$C,Lists!$D:$D))</f>
        <v/>
      </c>
      <c r="N1132" t="str">
        <f t="shared" si="98"/>
        <v/>
      </c>
      <c r="O1132" t="str">
        <f>IF(I1132="","",_xlfn.XLOOKUP(I1132,Lists!$C:$C,Lists!$J:$J))</f>
        <v/>
      </c>
      <c r="P1132" t="str">
        <f>IF(I1132="","",_xlfn.XLOOKUP(I1132,Lists!$C:$C,Lists!$E:$E))</f>
        <v/>
      </c>
      <c r="Q1132" s="21" t="str">
        <f t="shared" si="99"/>
        <v/>
      </c>
      <c r="R1132" t="str">
        <f t="shared" si="100"/>
        <v/>
      </c>
      <c r="S1132" t="str">
        <f>IF(I1132="","",_xlfn.XLOOKUP(I1132,Lists!$C:$C,Lists!$I:$I))</f>
        <v/>
      </c>
    </row>
    <row r="1133" spans="8:8">
      <c r="C1133">
        <f>_xlfn.XLOOKUP(B1133,Lists!B:B,Lists!A:A,"")</f>
        <v>0.0</v>
      </c>
      <c r="G1133" t="str">
        <f t="shared" si="96"/>
        <v/>
      </c>
      <c r="H1133" s="20" t="str">
        <f t="shared" si="97"/>
        <v/>
      </c>
      <c r="J1133" t="str">
        <f>IF(I1133="","",_xlfn.XLOOKUP(I1133,Lists!$C:$C,Lists!$D:$D))</f>
        <v/>
      </c>
      <c r="N1133" t="str">
        <f t="shared" si="98"/>
        <v/>
      </c>
      <c r="O1133" t="str">
        <f>IF(I1133="","",_xlfn.XLOOKUP(I1133,Lists!$C:$C,Lists!$J:$J))</f>
        <v/>
      </c>
      <c r="P1133" t="str">
        <f>IF(I1133="","",_xlfn.XLOOKUP(I1133,Lists!$C:$C,Lists!$E:$E))</f>
        <v/>
      </c>
      <c r="Q1133" s="21" t="str">
        <f t="shared" si="99"/>
        <v/>
      </c>
      <c r="R1133" t="str">
        <f t="shared" si="100"/>
        <v/>
      </c>
      <c r="S1133" t="str">
        <f>IF(I1133="","",_xlfn.XLOOKUP(I1133,Lists!$C:$C,Lists!$I:$I))</f>
        <v/>
      </c>
    </row>
    <row r="1134" spans="8:8">
      <c r="C1134">
        <f>_xlfn.XLOOKUP(B1134,Lists!B:B,Lists!A:A,"")</f>
        <v>0.0</v>
      </c>
      <c r="G1134" t="str">
        <f t="shared" si="96"/>
        <v/>
      </c>
      <c r="H1134" s="20" t="str">
        <f t="shared" si="97"/>
        <v/>
      </c>
      <c r="J1134" t="str">
        <f>IF(I1134="","",_xlfn.XLOOKUP(I1134,Lists!$C:$C,Lists!$D:$D))</f>
        <v/>
      </c>
      <c r="N1134" t="str">
        <f t="shared" si="98"/>
        <v/>
      </c>
      <c r="O1134" t="str">
        <f>IF(I1134="","",_xlfn.XLOOKUP(I1134,Lists!$C:$C,Lists!$J:$J))</f>
        <v/>
      </c>
      <c r="P1134" t="str">
        <f>IF(I1134="","",_xlfn.XLOOKUP(I1134,Lists!$C:$C,Lists!$E:$E))</f>
        <v/>
      </c>
      <c r="Q1134" s="21" t="str">
        <f t="shared" si="99"/>
        <v/>
      </c>
      <c r="R1134" t="str">
        <f t="shared" si="100"/>
        <v/>
      </c>
      <c r="S1134" t="str">
        <f>IF(I1134="","",_xlfn.XLOOKUP(I1134,Lists!$C:$C,Lists!$I:$I))</f>
        <v/>
      </c>
    </row>
    <row r="1135" spans="8:8">
      <c r="C1135">
        <f>_xlfn.XLOOKUP(B1135,Lists!B:B,Lists!A:A,"")</f>
        <v>0.0</v>
      </c>
      <c r="G1135" t="str">
        <f t="shared" si="96"/>
        <v/>
      </c>
      <c r="H1135" s="20" t="str">
        <f t="shared" si="97"/>
        <v/>
      </c>
      <c r="J1135" t="str">
        <f>IF(I1135="","",_xlfn.XLOOKUP(I1135,Lists!$C:$C,Lists!$D:$D))</f>
        <v/>
      </c>
      <c r="N1135" t="str">
        <f t="shared" si="98"/>
        <v/>
      </c>
      <c r="O1135" t="str">
        <f>IF(I1135="","",_xlfn.XLOOKUP(I1135,Lists!$C:$C,Lists!$J:$J))</f>
        <v/>
      </c>
      <c r="P1135" t="str">
        <f>IF(I1135="","",_xlfn.XLOOKUP(I1135,Lists!$C:$C,Lists!$E:$E))</f>
        <v/>
      </c>
      <c r="Q1135" s="21" t="str">
        <f t="shared" si="99"/>
        <v/>
      </c>
      <c r="R1135" t="str">
        <f t="shared" si="100"/>
        <v/>
      </c>
      <c r="S1135" t="str">
        <f>IF(I1135="","",_xlfn.XLOOKUP(I1135,Lists!$C:$C,Lists!$I:$I))</f>
        <v/>
      </c>
    </row>
    <row r="1136" spans="8:8">
      <c r="C1136">
        <f>_xlfn.XLOOKUP(B1136,Lists!B:B,Lists!A:A,"")</f>
        <v>0.0</v>
      </c>
      <c r="G1136" t="str">
        <f t="shared" si="96"/>
        <v/>
      </c>
      <c r="H1136" s="20" t="str">
        <f t="shared" si="97"/>
        <v/>
      </c>
      <c r="J1136" t="str">
        <f>IF(I1136="","",_xlfn.XLOOKUP(I1136,Lists!$C:$C,Lists!$D:$D))</f>
        <v/>
      </c>
      <c r="N1136" t="str">
        <f t="shared" si="98"/>
        <v/>
      </c>
      <c r="O1136" t="str">
        <f>IF(I1136="","",_xlfn.XLOOKUP(I1136,Lists!$C:$C,Lists!$J:$J))</f>
        <v/>
      </c>
      <c r="P1136" t="str">
        <f>IF(I1136="","",_xlfn.XLOOKUP(I1136,Lists!$C:$C,Lists!$E:$E))</f>
        <v/>
      </c>
      <c r="Q1136" s="21" t="str">
        <f t="shared" si="99"/>
        <v/>
      </c>
      <c r="R1136" t="str">
        <f t="shared" si="100"/>
        <v/>
      </c>
      <c r="S1136" t="str">
        <f>IF(I1136="","",_xlfn.XLOOKUP(I1136,Lists!$C:$C,Lists!$I:$I))</f>
        <v/>
      </c>
    </row>
    <row r="1137" spans="8:8">
      <c r="C1137">
        <f>_xlfn.XLOOKUP(B1137,Lists!B:B,Lists!A:A,"")</f>
        <v>0.0</v>
      </c>
      <c r="G1137" t="str">
        <f t="shared" si="96"/>
        <v/>
      </c>
      <c r="H1137" s="20" t="str">
        <f t="shared" si="97"/>
        <v/>
      </c>
      <c r="J1137" t="str">
        <f>IF(I1137="","",_xlfn.XLOOKUP(I1137,Lists!$C:$C,Lists!$D:$D))</f>
        <v/>
      </c>
      <c r="N1137" t="str">
        <f t="shared" si="98"/>
        <v/>
      </c>
      <c r="O1137" t="str">
        <f>IF(I1137="","",_xlfn.XLOOKUP(I1137,Lists!$C:$C,Lists!$J:$J))</f>
        <v/>
      </c>
      <c r="P1137" t="str">
        <f>IF(I1137="","",_xlfn.XLOOKUP(I1137,Lists!$C:$C,Lists!$E:$E))</f>
        <v/>
      </c>
      <c r="Q1137" s="21" t="str">
        <f t="shared" si="99"/>
        <v/>
      </c>
      <c r="R1137" t="str">
        <f t="shared" si="100"/>
        <v/>
      </c>
      <c r="S1137" t="str">
        <f>IF(I1137="","",_xlfn.XLOOKUP(I1137,Lists!$C:$C,Lists!$I:$I))</f>
        <v/>
      </c>
    </row>
    <row r="1138" spans="8:8">
      <c r="C1138">
        <f>_xlfn.XLOOKUP(B1138,Lists!B:B,Lists!A:A,"")</f>
        <v>0.0</v>
      </c>
      <c r="G1138" t="str">
        <f t="shared" si="96"/>
        <v/>
      </c>
      <c r="H1138" s="20" t="str">
        <f t="shared" si="97"/>
        <v/>
      </c>
      <c r="J1138" t="str">
        <f>IF(I1138="","",_xlfn.XLOOKUP(I1138,Lists!$C:$C,Lists!$D:$D))</f>
        <v/>
      </c>
      <c r="N1138" t="str">
        <f t="shared" si="98"/>
        <v/>
      </c>
      <c r="O1138" t="str">
        <f>IF(I1138="","",_xlfn.XLOOKUP(I1138,Lists!$C:$C,Lists!$J:$J))</f>
        <v/>
      </c>
      <c r="P1138" t="str">
        <f>IF(I1138="","",_xlfn.XLOOKUP(I1138,Lists!$C:$C,Lists!$E:$E))</f>
        <v/>
      </c>
      <c r="Q1138" s="21" t="str">
        <f t="shared" si="99"/>
        <v/>
      </c>
      <c r="R1138" t="str">
        <f t="shared" si="100"/>
        <v/>
      </c>
      <c r="S1138" t="str">
        <f>IF(I1138="","",_xlfn.XLOOKUP(I1138,Lists!$C:$C,Lists!$I:$I))</f>
        <v/>
      </c>
    </row>
    <row r="1139" spans="8:8">
      <c r="C1139">
        <f>_xlfn.XLOOKUP(B1139,Lists!B:B,Lists!A:A,"")</f>
        <v>0.0</v>
      </c>
      <c r="G1139" t="str">
        <f t="shared" si="96"/>
        <v/>
      </c>
      <c r="H1139" s="20" t="str">
        <f t="shared" si="97"/>
        <v/>
      </c>
      <c r="J1139" t="str">
        <f>IF(I1139="","",_xlfn.XLOOKUP(I1139,Lists!$C:$C,Lists!$D:$D))</f>
        <v/>
      </c>
      <c r="N1139" t="str">
        <f t="shared" si="98"/>
        <v/>
      </c>
      <c r="O1139" t="str">
        <f>IF(I1139="","",_xlfn.XLOOKUP(I1139,Lists!$C:$C,Lists!$J:$J))</f>
        <v/>
      </c>
      <c r="P1139" t="str">
        <f>IF(I1139="","",_xlfn.XLOOKUP(I1139,Lists!$C:$C,Lists!$E:$E))</f>
        <v/>
      </c>
      <c r="Q1139" s="21" t="str">
        <f t="shared" si="99"/>
        <v/>
      </c>
      <c r="R1139" t="str">
        <f t="shared" si="100"/>
        <v/>
      </c>
      <c r="S1139" t="str">
        <f>IF(I1139="","",_xlfn.XLOOKUP(I1139,Lists!$C:$C,Lists!$I:$I))</f>
        <v/>
      </c>
    </row>
    <row r="1140" spans="8:8">
      <c r="C1140">
        <f>_xlfn.XLOOKUP(B1140,Lists!B:B,Lists!A:A,"")</f>
        <v>0.0</v>
      </c>
      <c r="G1140" t="str">
        <f t="shared" si="96"/>
        <v/>
      </c>
      <c r="H1140" s="20" t="str">
        <f t="shared" si="97"/>
        <v/>
      </c>
      <c r="J1140" t="str">
        <f>IF(I1140="","",_xlfn.XLOOKUP(I1140,Lists!$C:$C,Lists!$D:$D))</f>
        <v/>
      </c>
      <c r="N1140" t="str">
        <f t="shared" si="98"/>
        <v/>
      </c>
      <c r="O1140" t="str">
        <f>IF(I1140="","",_xlfn.XLOOKUP(I1140,Lists!$C:$C,Lists!$J:$J))</f>
        <v/>
      </c>
      <c r="P1140" t="str">
        <f>IF(I1140="","",_xlfn.XLOOKUP(I1140,Lists!$C:$C,Lists!$E:$E))</f>
        <v/>
      </c>
      <c r="Q1140" s="21" t="str">
        <f t="shared" si="99"/>
        <v/>
      </c>
      <c r="R1140" t="str">
        <f t="shared" si="100"/>
        <v/>
      </c>
      <c r="S1140" t="str">
        <f>IF(I1140="","",_xlfn.XLOOKUP(I1140,Lists!$C:$C,Lists!$I:$I))</f>
        <v/>
      </c>
    </row>
    <row r="1141" spans="8:8">
      <c r="C1141">
        <f>_xlfn.XLOOKUP(B1141,Lists!B:B,Lists!A:A,"")</f>
        <v>0.0</v>
      </c>
      <c r="G1141" t="str">
        <f t="shared" si="96"/>
        <v/>
      </c>
      <c r="H1141" s="20" t="str">
        <f t="shared" si="97"/>
        <v/>
      </c>
      <c r="J1141" t="str">
        <f>IF(I1141="","",_xlfn.XLOOKUP(I1141,Lists!$C:$C,Lists!$D:$D))</f>
        <v/>
      </c>
      <c r="N1141" t="str">
        <f t="shared" si="98"/>
        <v/>
      </c>
      <c r="O1141" t="str">
        <f>IF(I1141="","",_xlfn.XLOOKUP(I1141,Lists!$C:$C,Lists!$J:$J))</f>
        <v/>
      </c>
      <c r="P1141" t="str">
        <f>IF(I1141="","",_xlfn.XLOOKUP(I1141,Lists!$C:$C,Lists!$E:$E))</f>
        <v/>
      </c>
      <c r="Q1141" s="21" t="str">
        <f t="shared" si="99"/>
        <v/>
      </c>
      <c r="R1141" t="str">
        <f t="shared" si="100"/>
        <v/>
      </c>
      <c r="S1141" t="str">
        <f>IF(I1141="","",_xlfn.XLOOKUP(I1141,Lists!$C:$C,Lists!$I:$I))</f>
        <v/>
      </c>
    </row>
    <row r="1142" spans="8:8">
      <c r="C1142">
        <f>_xlfn.XLOOKUP(B1142,Lists!B:B,Lists!A:A,"")</f>
        <v>0.0</v>
      </c>
      <c r="G1142" t="str">
        <f t="shared" si="96"/>
        <v/>
      </c>
      <c r="H1142" s="20" t="str">
        <f t="shared" si="97"/>
        <v/>
      </c>
      <c r="J1142" t="str">
        <f>IF(I1142="","",_xlfn.XLOOKUP(I1142,Lists!$C:$C,Lists!$D:$D))</f>
        <v/>
      </c>
      <c r="N1142" t="str">
        <f t="shared" si="98"/>
        <v/>
      </c>
      <c r="O1142" t="str">
        <f>IF(I1142="","",_xlfn.XLOOKUP(I1142,Lists!$C:$C,Lists!$J:$J))</f>
        <v/>
      </c>
      <c r="P1142" t="str">
        <f>IF(I1142="","",_xlfn.XLOOKUP(I1142,Lists!$C:$C,Lists!$E:$E))</f>
        <v/>
      </c>
      <c r="Q1142" s="21" t="str">
        <f t="shared" si="99"/>
        <v/>
      </c>
      <c r="R1142" t="str">
        <f t="shared" si="100"/>
        <v/>
      </c>
      <c r="S1142" t="str">
        <f>IF(I1142="","",_xlfn.XLOOKUP(I1142,Lists!$C:$C,Lists!$I:$I))</f>
        <v/>
      </c>
    </row>
    <row r="1143" spans="8:8">
      <c r="C1143">
        <f>_xlfn.XLOOKUP(B1143,Lists!B:B,Lists!A:A,"")</f>
        <v>0.0</v>
      </c>
      <c r="G1143" t="str">
        <f t="shared" si="96"/>
        <v/>
      </c>
      <c r="H1143" s="20" t="str">
        <f t="shared" si="97"/>
        <v/>
      </c>
      <c r="J1143" t="str">
        <f>IF(I1143="","",_xlfn.XLOOKUP(I1143,Lists!$C:$C,Lists!$D:$D))</f>
        <v/>
      </c>
      <c r="N1143" t="str">
        <f t="shared" si="98"/>
        <v/>
      </c>
      <c r="O1143" t="str">
        <f>IF(I1143="","",_xlfn.XLOOKUP(I1143,Lists!$C:$C,Lists!$J:$J))</f>
        <v/>
      </c>
      <c r="P1143" t="str">
        <f>IF(I1143="","",_xlfn.XLOOKUP(I1143,Lists!$C:$C,Lists!$E:$E))</f>
        <v/>
      </c>
      <c r="Q1143" s="21" t="str">
        <f t="shared" si="99"/>
        <v/>
      </c>
      <c r="R1143" t="str">
        <f t="shared" si="100"/>
        <v/>
      </c>
      <c r="S1143" t="str">
        <f>IF(I1143="","",_xlfn.XLOOKUP(I1143,Lists!$C:$C,Lists!$I:$I))</f>
        <v/>
      </c>
    </row>
    <row r="1144" spans="8:8">
      <c r="C1144">
        <f>_xlfn.XLOOKUP(B1144,Lists!B:B,Lists!A:A,"")</f>
        <v>0.0</v>
      </c>
      <c r="G1144" t="str">
        <f t="shared" si="96"/>
        <v/>
      </c>
      <c r="H1144" s="20" t="str">
        <f t="shared" si="97"/>
        <v/>
      </c>
      <c r="J1144" t="str">
        <f>IF(I1144="","",_xlfn.XLOOKUP(I1144,Lists!$C:$C,Lists!$D:$D))</f>
        <v/>
      </c>
      <c r="N1144" t="str">
        <f t="shared" si="98"/>
        <v/>
      </c>
      <c r="O1144" t="str">
        <f>IF(I1144="","",_xlfn.XLOOKUP(I1144,Lists!$C:$C,Lists!$J:$J))</f>
        <v/>
      </c>
      <c r="P1144" t="str">
        <f>IF(I1144="","",_xlfn.XLOOKUP(I1144,Lists!$C:$C,Lists!$E:$E))</f>
        <v/>
      </c>
      <c r="Q1144" s="21" t="str">
        <f t="shared" si="99"/>
        <v/>
      </c>
      <c r="R1144" t="str">
        <f t="shared" si="100"/>
        <v/>
      </c>
      <c r="S1144" t="str">
        <f>IF(I1144="","",_xlfn.XLOOKUP(I1144,Lists!$C:$C,Lists!$I:$I))</f>
        <v/>
      </c>
    </row>
    <row r="1145" spans="8:8">
      <c r="C1145">
        <f>_xlfn.XLOOKUP(B1145,Lists!B:B,Lists!A:A,"")</f>
        <v>0.0</v>
      </c>
      <c r="G1145" t="str">
        <f t="shared" si="96"/>
        <v/>
      </c>
      <c r="H1145" s="20" t="str">
        <f t="shared" si="97"/>
        <v/>
      </c>
      <c r="J1145" t="str">
        <f>IF(I1145="","",_xlfn.XLOOKUP(I1145,Lists!$C:$C,Lists!$D:$D))</f>
        <v/>
      </c>
      <c r="N1145" t="str">
        <f t="shared" si="98"/>
        <v/>
      </c>
      <c r="O1145" t="str">
        <f>IF(I1145="","",_xlfn.XLOOKUP(I1145,Lists!$C:$C,Lists!$J:$J))</f>
        <v/>
      </c>
      <c r="P1145" t="str">
        <f>IF(I1145="","",_xlfn.XLOOKUP(I1145,Lists!$C:$C,Lists!$E:$E))</f>
        <v/>
      </c>
      <c r="Q1145" s="21" t="str">
        <f t="shared" si="99"/>
        <v/>
      </c>
      <c r="R1145" t="str">
        <f t="shared" si="100"/>
        <v/>
      </c>
      <c r="S1145" t="str">
        <f>IF(I1145="","",_xlfn.XLOOKUP(I1145,Lists!$C:$C,Lists!$I:$I))</f>
        <v/>
      </c>
    </row>
    <row r="1146" spans="8:8">
      <c r="C1146">
        <f>_xlfn.XLOOKUP(B1146,Lists!B:B,Lists!A:A,"")</f>
        <v>0.0</v>
      </c>
      <c r="G1146" t="str">
        <f t="shared" si="96"/>
        <v/>
      </c>
      <c r="H1146" s="20" t="str">
        <f t="shared" si="97"/>
        <v/>
      </c>
      <c r="J1146" t="str">
        <f>IF(I1146="","",_xlfn.XLOOKUP(I1146,Lists!$C:$C,Lists!$D:$D))</f>
        <v/>
      </c>
      <c r="N1146" t="str">
        <f t="shared" si="98"/>
        <v/>
      </c>
      <c r="O1146" t="str">
        <f>IF(I1146="","",_xlfn.XLOOKUP(I1146,Lists!$C:$C,Lists!$J:$J))</f>
        <v/>
      </c>
      <c r="P1146" t="str">
        <f>IF(I1146="","",_xlfn.XLOOKUP(I1146,Lists!$C:$C,Lists!$E:$E))</f>
        <v/>
      </c>
      <c r="Q1146" s="21" t="str">
        <f t="shared" si="99"/>
        <v/>
      </c>
      <c r="R1146" t="str">
        <f t="shared" si="100"/>
        <v/>
      </c>
      <c r="S1146" t="str">
        <f>IF(I1146="","",_xlfn.XLOOKUP(I1146,Lists!$C:$C,Lists!$I:$I))</f>
        <v/>
      </c>
    </row>
    <row r="1147" spans="8:8">
      <c r="C1147">
        <f>_xlfn.XLOOKUP(B1147,Lists!B:B,Lists!A:A,"")</f>
        <v>0.0</v>
      </c>
      <c r="G1147" t="str">
        <f t="shared" si="96"/>
        <v/>
      </c>
      <c r="H1147" s="20" t="str">
        <f t="shared" si="97"/>
        <v/>
      </c>
      <c r="J1147" t="str">
        <f>IF(I1147="","",_xlfn.XLOOKUP(I1147,Lists!$C:$C,Lists!$D:$D))</f>
        <v/>
      </c>
      <c r="N1147" t="str">
        <f t="shared" si="98"/>
        <v/>
      </c>
      <c r="O1147" t="str">
        <f>IF(I1147="","",_xlfn.XLOOKUP(I1147,Lists!$C:$C,Lists!$J:$J))</f>
        <v/>
      </c>
      <c r="P1147" t="str">
        <f>IF(I1147="","",_xlfn.XLOOKUP(I1147,Lists!$C:$C,Lists!$E:$E))</f>
        <v/>
      </c>
      <c r="Q1147" s="21" t="str">
        <f t="shared" si="99"/>
        <v/>
      </c>
      <c r="R1147" t="str">
        <f t="shared" si="100"/>
        <v/>
      </c>
      <c r="S1147" t="str">
        <f>IF(I1147="","",_xlfn.XLOOKUP(I1147,Lists!$C:$C,Lists!$I:$I))</f>
        <v/>
      </c>
    </row>
    <row r="1148" spans="8:8">
      <c r="C1148">
        <f>_xlfn.XLOOKUP(B1148,Lists!B:B,Lists!A:A,"")</f>
        <v>0.0</v>
      </c>
      <c r="G1148" t="str">
        <f t="shared" si="96"/>
        <v/>
      </c>
      <c r="H1148" s="20" t="str">
        <f t="shared" si="97"/>
        <v/>
      </c>
      <c r="J1148" t="str">
        <f>IF(I1148="","",_xlfn.XLOOKUP(I1148,Lists!$C:$C,Lists!$D:$D))</f>
        <v/>
      </c>
      <c r="N1148" t="str">
        <f t="shared" si="98"/>
        <v/>
      </c>
      <c r="O1148" t="str">
        <f>IF(I1148="","",_xlfn.XLOOKUP(I1148,Lists!$C:$C,Lists!$J:$J))</f>
        <v/>
      </c>
      <c r="P1148" t="str">
        <f>IF(I1148="","",_xlfn.XLOOKUP(I1148,Lists!$C:$C,Lists!$E:$E))</f>
        <v/>
      </c>
      <c r="Q1148" s="21" t="str">
        <f t="shared" si="99"/>
        <v/>
      </c>
      <c r="R1148" t="str">
        <f t="shared" si="100"/>
        <v/>
      </c>
      <c r="S1148" t="str">
        <f>IF(I1148="","",_xlfn.XLOOKUP(I1148,Lists!$C:$C,Lists!$I:$I))</f>
        <v/>
      </c>
    </row>
    <row r="1149" spans="8:8">
      <c r="C1149">
        <f>_xlfn.XLOOKUP(B1149,Lists!B:B,Lists!A:A,"")</f>
        <v>0.0</v>
      </c>
      <c r="G1149" t="str">
        <f t="shared" si="96"/>
        <v/>
      </c>
      <c r="H1149" s="20" t="str">
        <f t="shared" si="97"/>
        <v/>
      </c>
      <c r="J1149" t="str">
        <f>IF(I1149="","",_xlfn.XLOOKUP(I1149,Lists!$C:$C,Lists!$D:$D))</f>
        <v/>
      </c>
      <c r="N1149" t="str">
        <f t="shared" si="98"/>
        <v/>
      </c>
      <c r="O1149" t="str">
        <f>IF(I1149="","",_xlfn.XLOOKUP(I1149,Lists!$C:$C,Lists!$J:$J))</f>
        <v/>
      </c>
      <c r="P1149" t="str">
        <f>IF(I1149="","",_xlfn.XLOOKUP(I1149,Lists!$C:$C,Lists!$E:$E))</f>
        <v/>
      </c>
      <c r="Q1149" s="21" t="str">
        <f t="shared" si="99"/>
        <v/>
      </c>
      <c r="R1149" t="str">
        <f t="shared" si="100"/>
        <v/>
      </c>
      <c r="S1149" t="str">
        <f>IF(I1149="","",_xlfn.XLOOKUP(I1149,Lists!$C:$C,Lists!$I:$I))</f>
        <v/>
      </c>
    </row>
    <row r="1150" spans="8:8">
      <c r="C1150">
        <f>_xlfn.XLOOKUP(B1150,Lists!B:B,Lists!A:A,"")</f>
        <v>0.0</v>
      </c>
      <c r="G1150" t="str">
        <f t="shared" si="96"/>
        <v/>
      </c>
      <c r="H1150" s="20" t="str">
        <f t="shared" si="97"/>
        <v/>
      </c>
      <c r="J1150" t="str">
        <f>IF(I1150="","",_xlfn.XLOOKUP(I1150,Lists!$C:$C,Lists!$D:$D))</f>
        <v/>
      </c>
      <c r="N1150" t="str">
        <f t="shared" si="98"/>
        <v/>
      </c>
      <c r="O1150" t="str">
        <f>IF(I1150="","",_xlfn.XLOOKUP(I1150,Lists!$C:$C,Lists!$J:$J))</f>
        <v/>
      </c>
      <c r="P1150" t="str">
        <f>IF(I1150="","",_xlfn.XLOOKUP(I1150,Lists!$C:$C,Lists!$E:$E))</f>
        <v/>
      </c>
      <c r="Q1150" s="21" t="str">
        <f t="shared" si="99"/>
        <v/>
      </c>
      <c r="R1150" t="str">
        <f t="shared" si="100"/>
        <v/>
      </c>
      <c r="S1150" t="str">
        <f>IF(I1150="","",_xlfn.XLOOKUP(I1150,Lists!$C:$C,Lists!$I:$I))</f>
        <v/>
      </c>
    </row>
    <row r="1151" spans="8:8">
      <c r="C1151">
        <f>_xlfn.XLOOKUP(B1151,Lists!B:B,Lists!A:A,"")</f>
        <v>0.0</v>
      </c>
      <c r="G1151" t="str">
        <f t="shared" si="96"/>
        <v/>
      </c>
      <c r="H1151" s="20" t="str">
        <f t="shared" si="97"/>
        <v/>
      </c>
      <c r="J1151" t="str">
        <f>IF(I1151="","",_xlfn.XLOOKUP(I1151,Lists!$C:$C,Lists!$D:$D))</f>
        <v/>
      </c>
      <c r="N1151" t="str">
        <f t="shared" si="98"/>
        <v/>
      </c>
      <c r="O1151" t="str">
        <f>IF(I1151="","",_xlfn.XLOOKUP(I1151,Lists!$C:$C,Lists!$J:$J))</f>
        <v/>
      </c>
      <c r="P1151" t="str">
        <f>IF(I1151="","",_xlfn.XLOOKUP(I1151,Lists!$C:$C,Lists!$E:$E))</f>
        <v/>
      </c>
      <c r="Q1151" s="21" t="str">
        <f t="shared" si="99"/>
        <v/>
      </c>
      <c r="R1151" t="str">
        <f t="shared" si="100"/>
        <v/>
      </c>
      <c r="S1151" t="str">
        <f>IF(I1151="","",_xlfn.XLOOKUP(I1151,Lists!$C:$C,Lists!$I:$I))</f>
        <v/>
      </c>
    </row>
    <row r="1152" spans="8:8">
      <c r="C1152">
        <f>_xlfn.XLOOKUP(B1152,Lists!B:B,Lists!A:A,"")</f>
        <v>0.0</v>
      </c>
      <c r="G1152" t="str">
        <f t="shared" si="96"/>
        <v/>
      </c>
      <c r="H1152" s="20" t="str">
        <f t="shared" si="97"/>
        <v/>
      </c>
      <c r="J1152" t="str">
        <f>IF(I1152="","",_xlfn.XLOOKUP(I1152,Lists!$C:$C,Lists!$D:$D))</f>
        <v/>
      </c>
      <c r="N1152" t="str">
        <f t="shared" si="98"/>
        <v/>
      </c>
      <c r="O1152" t="str">
        <f>IF(I1152="","",_xlfn.XLOOKUP(I1152,Lists!$C:$C,Lists!$J:$J))</f>
        <v/>
      </c>
      <c r="P1152" t="str">
        <f>IF(I1152="","",_xlfn.XLOOKUP(I1152,Lists!$C:$C,Lists!$E:$E))</f>
        <v/>
      </c>
      <c r="Q1152" s="21" t="str">
        <f t="shared" si="99"/>
        <v/>
      </c>
      <c r="R1152" t="str">
        <f t="shared" si="100"/>
        <v/>
      </c>
      <c r="S1152" t="str">
        <f>IF(I1152="","",_xlfn.XLOOKUP(I1152,Lists!$C:$C,Lists!$I:$I))</f>
        <v/>
      </c>
    </row>
    <row r="1153" spans="8:8">
      <c r="C1153">
        <f>_xlfn.XLOOKUP(B1153,Lists!B:B,Lists!A:A,"")</f>
        <v>0.0</v>
      </c>
      <c r="G1153" t="str">
        <f t="shared" si="96"/>
        <v/>
      </c>
      <c r="H1153" s="20" t="str">
        <f t="shared" si="97"/>
        <v/>
      </c>
      <c r="J1153" t="str">
        <f>IF(I1153="","",_xlfn.XLOOKUP(I1153,Lists!$C:$C,Lists!$D:$D))</f>
        <v/>
      </c>
      <c r="N1153" t="str">
        <f t="shared" si="98"/>
        <v/>
      </c>
      <c r="O1153" t="str">
        <f>IF(I1153="","",_xlfn.XLOOKUP(I1153,Lists!$C:$C,Lists!$J:$J))</f>
        <v/>
      </c>
      <c r="P1153" t="str">
        <f>IF(I1153="","",_xlfn.XLOOKUP(I1153,Lists!$C:$C,Lists!$E:$E))</f>
        <v/>
      </c>
      <c r="Q1153" s="21" t="str">
        <f t="shared" si="99"/>
        <v/>
      </c>
      <c r="R1153" t="str">
        <f t="shared" si="100"/>
        <v/>
      </c>
      <c r="S1153" t="str">
        <f>IF(I1153="","",_xlfn.XLOOKUP(I1153,Lists!$C:$C,Lists!$I:$I))</f>
        <v/>
      </c>
    </row>
    <row r="1154" spans="8:8">
      <c r="C1154">
        <f>_xlfn.XLOOKUP(B1154,Lists!B:B,Lists!A:A,"")</f>
        <v>0.0</v>
      </c>
      <c r="G1154" t="str">
        <f t="shared" si="96"/>
        <v/>
      </c>
      <c r="H1154" s="20" t="str">
        <f t="shared" si="97"/>
        <v/>
      </c>
      <c r="J1154" t="str">
        <f>IF(I1154="","",_xlfn.XLOOKUP(I1154,Lists!$C:$C,Lists!$D:$D))</f>
        <v/>
      </c>
      <c r="N1154" t="str">
        <f t="shared" si="98"/>
        <v/>
      </c>
      <c r="O1154" t="str">
        <f>IF(I1154="","",_xlfn.XLOOKUP(I1154,Lists!$C:$C,Lists!$J:$J))</f>
        <v/>
      </c>
      <c r="P1154" t="str">
        <f>IF(I1154="","",_xlfn.XLOOKUP(I1154,Lists!$C:$C,Lists!$E:$E))</f>
        <v/>
      </c>
      <c r="Q1154" s="21" t="str">
        <f t="shared" si="99"/>
        <v/>
      </c>
      <c r="R1154" t="str">
        <f t="shared" si="100"/>
        <v/>
      </c>
      <c r="S1154" t="str">
        <f>IF(I1154="","",_xlfn.XLOOKUP(I1154,Lists!$C:$C,Lists!$I:$I))</f>
        <v/>
      </c>
    </row>
    <row r="1155" spans="8:8">
      <c r="C1155">
        <f>_xlfn.XLOOKUP(B1155,Lists!B:B,Lists!A:A,"")</f>
        <v>0.0</v>
      </c>
      <c r="G1155" t="str">
        <f t="shared" si="101" ref="G1155:G1182">IF(OR(E1155="",F1155=""),"",F1155-E1155+1)</f>
        <v/>
      </c>
      <c r="H1155" s="20" t="str">
        <f t="shared" si="102" ref="H1155:H1182">IF(D1155="","",IF(OR(D1155="A",D1155="B"),G1155/80,IF(D1155="A&amp;B",G1155/160,"")))</f>
        <v/>
      </c>
      <c r="J1155" t="str">
        <f>IF(I1155="","",_xlfn.XLOOKUP(I1155,Lists!$C:$C,Lists!$D:$D))</f>
        <v/>
      </c>
      <c r="N1155" t="str">
        <f t="shared" si="103" ref="N1155:N1182">IF(OR(M1155="",L1155=""),"",(M1155*L1155)/100000)</f>
        <v/>
      </c>
      <c r="O1155" t="str">
        <f>IF(I1155="","",_xlfn.XLOOKUP(I1155,Lists!$C:$C,Lists!$J:$J))</f>
        <v/>
      </c>
      <c r="P1155" t="str">
        <f>IF(I1155="","",_xlfn.XLOOKUP(I1155,Lists!$C:$C,Lists!$E:$E))</f>
        <v/>
      </c>
      <c r="Q1155" s="21" t="str">
        <f t="shared" si="104" ref="Q1155:Q1182">IF(OR(A1155="",P1155=""),"",A1155+P1155+1)</f>
        <v/>
      </c>
      <c r="R1155" t="str">
        <f t="shared" si="105" ref="R1155:R1182">IF(Q1155="","",IF(Q1155&lt;=TODAY(),"Allow","Not Allow"))</f>
        <v/>
      </c>
      <c r="S1155" t="str">
        <f>IF(I1155="","",_xlfn.XLOOKUP(I1155,Lists!$C:$C,Lists!$I:$I))</f>
        <v/>
      </c>
    </row>
    <row r="1156" spans="8:8">
      <c r="C1156">
        <f>_xlfn.XLOOKUP(B1156,Lists!B:B,Lists!A:A,"")</f>
        <v>0.0</v>
      </c>
      <c r="G1156" t="str">
        <f t="shared" si="101"/>
        <v/>
      </c>
      <c r="H1156" s="20" t="str">
        <f t="shared" si="102"/>
        <v/>
      </c>
      <c r="J1156" t="str">
        <f>IF(I1156="","",_xlfn.XLOOKUP(I1156,Lists!$C:$C,Lists!$D:$D))</f>
        <v/>
      </c>
      <c r="N1156" t="str">
        <f t="shared" si="103"/>
        <v/>
      </c>
      <c r="O1156" t="str">
        <f>IF(I1156="","",_xlfn.XLOOKUP(I1156,Lists!$C:$C,Lists!$J:$J))</f>
        <v/>
      </c>
      <c r="P1156" t="str">
        <f>IF(I1156="","",_xlfn.XLOOKUP(I1156,Lists!$C:$C,Lists!$E:$E))</f>
        <v/>
      </c>
      <c r="Q1156" s="21" t="str">
        <f t="shared" si="104"/>
        <v/>
      </c>
      <c r="R1156" t="str">
        <f t="shared" si="105"/>
        <v/>
      </c>
      <c r="S1156" t="str">
        <f>IF(I1156="","",_xlfn.XLOOKUP(I1156,Lists!$C:$C,Lists!$I:$I))</f>
        <v/>
      </c>
    </row>
    <row r="1157" spans="8:8">
      <c r="C1157">
        <f>_xlfn.XLOOKUP(B1157,Lists!B:B,Lists!A:A,"")</f>
        <v>0.0</v>
      </c>
      <c r="G1157" t="str">
        <f t="shared" si="101"/>
        <v/>
      </c>
      <c r="H1157" s="20" t="str">
        <f t="shared" si="102"/>
        <v/>
      </c>
      <c r="J1157" t="str">
        <f>IF(I1157="","",_xlfn.XLOOKUP(I1157,Lists!$C:$C,Lists!$D:$D))</f>
        <v/>
      </c>
      <c r="N1157" t="str">
        <f t="shared" si="103"/>
        <v/>
      </c>
      <c r="O1157" t="str">
        <f>IF(I1157="","",_xlfn.XLOOKUP(I1157,Lists!$C:$C,Lists!$J:$J))</f>
        <v/>
      </c>
      <c r="P1157" t="str">
        <f>IF(I1157="","",_xlfn.XLOOKUP(I1157,Lists!$C:$C,Lists!$E:$E))</f>
        <v/>
      </c>
      <c r="Q1157" s="21" t="str">
        <f t="shared" si="104"/>
        <v/>
      </c>
      <c r="R1157" t="str">
        <f t="shared" si="105"/>
        <v/>
      </c>
      <c r="S1157" t="str">
        <f>IF(I1157="","",_xlfn.XLOOKUP(I1157,Lists!$C:$C,Lists!$I:$I))</f>
        <v/>
      </c>
    </row>
    <row r="1158" spans="8:8">
      <c r="C1158">
        <f>_xlfn.XLOOKUP(B1158,Lists!B:B,Lists!A:A,"")</f>
        <v>0.0</v>
      </c>
      <c r="G1158" t="str">
        <f t="shared" si="101"/>
        <v/>
      </c>
      <c r="H1158" s="20" t="str">
        <f t="shared" si="102"/>
        <v/>
      </c>
      <c r="J1158" t="str">
        <f>IF(I1158="","",_xlfn.XLOOKUP(I1158,Lists!$C:$C,Lists!$D:$D))</f>
        <v/>
      </c>
      <c r="N1158" t="str">
        <f t="shared" si="103"/>
        <v/>
      </c>
      <c r="O1158" t="str">
        <f>IF(I1158="","",_xlfn.XLOOKUP(I1158,Lists!$C:$C,Lists!$J:$J))</f>
        <v/>
      </c>
      <c r="P1158" t="str">
        <f>IF(I1158="","",_xlfn.XLOOKUP(I1158,Lists!$C:$C,Lists!$E:$E))</f>
        <v/>
      </c>
      <c r="Q1158" s="21" t="str">
        <f t="shared" si="104"/>
        <v/>
      </c>
      <c r="R1158" t="str">
        <f t="shared" si="105"/>
        <v/>
      </c>
      <c r="S1158" t="str">
        <f>IF(I1158="","",_xlfn.XLOOKUP(I1158,Lists!$C:$C,Lists!$I:$I))</f>
        <v/>
      </c>
    </row>
    <row r="1159" spans="8:8">
      <c r="C1159">
        <f>_xlfn.XLOOKUP(B1159,Lists!B:B,Lists!A:A,"")</f>
        <v>0.0</v>
      </c>
      <c r="G1159" t="str">
        <f t="shared" si="101"/>
        <v/>
      </c>
      <c r="H1159" s="20" t="str">
        <f t="shared" si="102"/>
        <v/>
      </c>
      <c r="J1159" t="str">
        <f>IF(I1159="","",_xlfn.XLOOKUP(I1159,Lists!$C:$C,Lists!$D:$D))</f>
        <v/>
      </c>
      <c r="N1159" t="str">
        <f t="shared" si="103"/>
        <v/>
      </c>
      <c r="O1159" t="str">
        <f>IF(I1159="","",_xlfn.XLOOKUP(I1159,Lists!$C:$C,Lists!$J:$J))</f>
        <v/>
      </c>
      <c r="P1159" t="str">
        <f>IF(I1159="","",_xlfn.XLOOKUP(I1159,Lists!$C:$C,Lists!$E:$E))</f>
        <v/>
      </c>
      <c r="Q1159" s="21" t="str">
        <f t="shared" si="104"/>
        <v/>
      </c>
      <c r="R1159" t="str">
        <f t="shared" si="105"/>
        <v/>
      </c>
      <c r="S1159" t="str">
        <f>IF(I1159="","",_xlfn.XLOOKUP(I1159,Lists!$C:$C,Lists!$I:$I))</f>
        <v/>
      </c>
    </row>
    <row r="1160" spans="8:8">
      <c r="C1160">
        <f>_xlfn.XLOOKUP(B1160,Lists!B:B,Lists!A:A,"")</f>
        <v>0.0</v>
      </c>
      <c r="G1160" t="str">
        <f t="shared" si="101"/>
        <v/>
      </c>
      <c r="H1160" s="20" t="str">
        <f t="shared" si="102"/>
        <v/>
      </c>
      <c r="J1160" t="str">
        <f>IF(I1160="","",_xlfn.XLOOKUP(I1160,Lists!$C:$C,Lists!$D:$D))</f>
        <v/>
      </c>
      <c r="N1160" t="str">
        <f t="shared" si="103"/>
        <v/>
      </c>
      <c r="O1160" t="str">
        <f>IF(I1160="","",_xlfn.XLOOKUP(I1160,Lists!$C:$C,Lists!$J:$J))</f>
        <v/>
      </c>
      <c r="P1160" t="str">
        <f>IF(I1160="","",_xlfn.XLOOKUP(I1160,Lists!$C:$C,Lists!$E:$E))</f>
        <v/>
      </c>
      <c r="Q1160" s="21" t="str">
        <f t="shared" si="104"/>
        <v/>
      </c>
      <c r="R1160" t="str">
        <f t="shared" si="105"/>
        <v/>
      </c>
      <c r="S1160" t="str">
        <f>IF(I1160="","",_xlfn.XLOOKUP(I1160,Lists!$C:$C,Lists!$I:$I))</f>
        <v/>
      </c>
    </row>
    <row r="1161" spans="8:8">
      <c r="C1161">
        <f>_xlfn.XLOOKUP(B1161,Lists!B:B,Lists!A:A,"")</f>
        <v>0.0</v>
      </c>
      <c r="G1161" t="str">
        <f t="shared" si="101"/>
        <v/>
      </c>
      <c r="H1161" s="20" t="str">
        <f t="shared" si="102"/>
        <v/>
      </c>
      <c r="J1161" t="str">
        <f>IF(I1161="","",_xlfn.XLOOKUP(I1161,Lists!$C:$C,Lists!$D:$D))</f>
        <v/>
      </c>
      <c r="N1161" t="str">
        <f t="shared" si="103"/>
        <v/>
      </c>
      <c r="O1161" t="str">
        <f>IF(I1161="","",_xlfn.XLOOKUP(I1161,Lists!$C:$C,Lists!$J:$J))</f>
        <v/>
      </c>
      <c r="P1161" t="str">
        <f>IF(I1161="","",_xlfn.XLOOKUP(I1161,Lists!$C:$C,Lists!$E:$E))</f>
        <v/>
      </c>
      <c r="Q1161" s="21" t="str">
        <f t="shared" si="104"/>
        <v/>
      </c>
      <c r="R1161" t="str">
        <f t="shared" si="105"/>
        <v/>
      </c>
      <c r="S1161" t="str">
        <f>IF(I1161="","",_xlfn.XLOOKUP(I1161,Lists!$C:$C,Lists!$I:$I))</f>
        <v/>
      </c>
    </row>
    <row r="1162" spans="8:8">
      <c r="C1162">
        <f>_xlfn.XLOOKUP(B1162,Lists!B:B,Lists!A:A,"")</f>
        <v>0.0</v>
      </c>
      <c r="G1162" t="str">
        <f t="shared" si="101"/>
        <v/>
      </c>
      <c r="H1162" s="20" t="str">
        <f t="shared" si="102"/>
        <v/>
      </c>
      <c r="J1162" t="str">
        <f>IF(I1162="","",_xlfn.XLOOKUP(I1162,Lists!$C:$C,Lists!$D:$D))</f>
        <v/>
      </c>
      <c r="N1162" t="str">
        <f t="shared" si="103"/>
        <v/>
      </c>
      <c r="O1162" t="str">
        <f>IF(I1162="","",_xlfn.XLOOKUP(I1162,Lists!$C:$C,Lists!$J:$J))</f>
        <v/>
      </c>
      <c r="P1162" t="str">
        <f>IF(I1162="","",_xlfn.XLOOKUP(I1162,Lists!$C:$C,Lists!$E:$E))</f>
        <v/>
      </c>
      <c r="Q1162" s="21" t="str">
        <f t="shared" si="104"/>
        <v/>
      </c>
      <c r="R1162" t="str">
        <f t="shared" si="105"/>
        <v/>
      </c>
      <c r="S1162" t="str">
        <f>IF(I1162="","",_xlfn.XLOOKUP(I1162,Lists!$C:$C,Lists!$I:$I))</f>
        <v/>
      </c>
    </row>
    <row r="1163" spans="8:8">
      <c r="C1163">
        <f>_xlfn.XLOOKUP(B1163,Lists!B:B,Lists!A:A,"")</f>
        <v>0.0</v>
      </c>
      <c r="G1163" t="str">
        <f t="shared" si="101"/>
        <v/>
      </c>
      <c r="H1163" s="20" t="str">
        <f t="shared" si="102"/>
        <v/>
      </c>
      <c r="J1163" t="str">
        <f>IF(I1163="","",_xlfn.XLOOKUP(I1163,Lists!$C:$C,Lists!$D:$D))</f>
        <v/>
      </c>
      <c r="N1163" t="str">
        <f t="shared" si="103"/>
        <v/>
      </c>
      <c r="O1163" t="str">
        <f>IF(I1163="","",_xlfn.XLOOKUP(I1163,Lists!$C:$C,Lists!$J:$J))</f>
        <v/>
      </c>
      <c r="P1163" t="str">
        <f>IF(I1163="","",_xlfn.XLOOKUP(I1163,Lists!$C:$C,Lists!$E:$E))</f>
        <v/>
      </c>
      <c r="Q1163" s="21" t="str">
        <f t="shared" si="104"/>
        <v/>
      </c>
      <c r="R1163" t="str">
        <f t="shared" si="105"/>
        <v/>
      </c>
      <c r="S1163" t="str">
        <f>IF(I1163="","",_xlfn.XLOOKUP(I1163,Lists!$C:$C,Lists!$I:$I))</f>
        <v/>
      </c>
    </row>
    <row r="1164" spans="8:8">
      <c r="C1164">
        <f>_xlfn.XLOOKUP(B1164,Lists!B:B,Lists!A:A,"")</f>
        <v>0.0</v>
      </c>
      <c r="G1164" t="str">
        <f t="shared" si="101"/>
        <v/>
      </c>
      <c r="H1164" s="20" t="str">
        <f t="shared" si="102"/>
        <v/>
      </c>
      <c r="J1164" t="str">
        <f>IF(I1164="","",_xlfn.XLOOKUP(I1164,Lists!$C:$C,Lists!$D:$D))</f>
        <v/>
      </c>
      <c r="N1164" t="str">
        <f t="shared" si="103"/>
        <v/>
      </c>
      <c r="O1164" t="str">
        <f>IF(I1164="","",_xlfn.XLOOKUP(I1164,Lists!$C:$C,Lists!$J:$J))</f>
        <v/>
      </c>
      <c r="P1164" t="str">
        <f>IF(I1164="","",_xlfn.XLOOKUP(I1164,Lists!$C:$C,Lists!$E:$E))</f>
        <v/>
      </c>
      <c r="Q1164" s="21" t="str">
        <f t="shared" si="104"/>
        <v/>
      </c>
      <c r="R1164" t="str">
        <f t="shared" si="105"/>
        <v/>
      </c>
      <c r="S1164" t="str">
        <f>IF(I1164="","",_xlfn.XLOOKUP(I1164,Lists!$C:$C,Lists!$I:$I))</f>
        <v/>
      </c>
    </row>
    <row r="1165" spans="8:8">
      <c r="C1165">
        <f>_xlfn.XLOOKUP(B1165,Lists!B:B,Lists!A:A,"")</f>
        <v>0.0</v>
      </c>
      <c r="G1165" t="str">
        <f t="shared" si="101"/>
        <v/>
      </c>
      <c r="H1165" s="20" t="str">
        <f t="shared" si="102"/>
        <v/>
      </c>
      <c r="J1165" t="str">
        <f>IF(I1165="","",_xlfn.XLOOKUP(I1165,Lists!$C:$C,Lists!$D:$D))</f>
        <v/>
      </c>
      <c r="N1165" t="str">
        <f t="shared" si="103"/>
        <v/>
      </c>
      <c r="O1165" t="str">
        <f>IF(I1165="","",_xlfn.XLOOKUP(I1165,Lists!$C:$C,Lists!$J:$J))</f>
        <v/>
      </c>
      <c r="P1165" t="str">
        <f>IF(I1165="","",_xlfn.XLOOKUP(I1165,Lists!$C:$C,Lists!$E:$E))</f>
        <v/>
      </c>
      <c r="Q1165" s="21" t="str">
        <f t="shared" si="104"/>
        <v/>
      </c>
      <c r="R1165" t="str">
        <f t="shared" si="105"/>
        <v/>
      </c>
      <c r="S1165" t="str">
        <f>IF(I1165="","",_xlfn.XLOOKUP(I1165,Lists!$C:$C,Lists!$I:$I))</f>
        <v/>
      </c>
    </row>
    <row r="1166" spans="8:8">
      <c r="C1166">
        <f>_xlfn.XLOOKUP(B1166,Lists!B:B,Lists!A:A,"")</f>
        <v>0.0</v>
      </c>
      <c r="G1166" t="str">
        <f t="shared" si="101"/>
        <v/>
      </c>
      <c r="H1166" s="20" t="str">
        <f t="shared" si="102"/>
        <v/>
      </c>
      <c r="J1166" t="str">
        <f>IF(I1166="","",_xlfn.XLOOKUP(I1166,Lists!$C:$C,Lists!$D:$D))</f>
        <v/>
      </c>
      <c r="N1166" t="str">
        <f t="shared" si="103"/>
        <v/>
      </c>
      <c r="O1166" t="str">
        <f>IF(I1166="","",_xlfn.XLOOKUP(I1166,Lists!$C:$C,Lists!$J:$J))</f>
        <v/>
      </c>
      <c r="P1166" t="str">
        <f>IF(I1166="","",_xlfn.XLOOKUP(I1166,Lists!$C:$C,Lists!$E:$E))</f>
        <v/>
      </c>
      <c r="Q1166" s="21" t="str">
        <f t="shared" si="104"/>
        <v/>
      </c>
      <c r="R1166" t="str">
        <f t="shared" si="105"/>
        <v/>
      </c>
      <c r="S1166" t="str">
        <f>IF(I1166="","",_xlfn.XLOOKUP(I1166,Lists!$C:$C,Lists!$I:$I))</f>
        <v/>
      </c>
    </row>
    <row r="1167" spans="8:8">
      <c r="C1167">
        <f>_xlfn.XLOOKUP(B1167,Lists!B:B,Lists!A:A,"")</f>
        <v>0.0</v>
      </c>
      <c r="G1167" t="str">
        <f t="shared" si="101"/>
        <v/>
      </c>
      <c r="H1167" s="20" t="str">
        <f t="shared" si="102"/>
        <v/>
      </c>
      <c r="J1167" t="str">
        <f>IF(I1167="","",_xlfn.XLOOKUP(I1167,Lists!$C:$C,Lists!$D:$D))</f>
        <v/>
      </c>
      <c r="N1167" t="str">
        <f t="shared" si="103"/>
        <v/>
      </c>
      <c r="O1167" t="str">
        <f>IF(I1167="","",_xlfn.XLOOKUP(I1167,Lists!$C:$C,Lists!$J:$J))</f>
        <v/>
      </c>
      <c r="P1167" t="str">
        <f>IF(I1167="","",_xlfn.XLOOKUP(I1167,Lists!$C:$C,Lists!$E:$E))</f>
        <v/>
      </c>
      <c r="Q1167" s="21" t="str">
        <f t="shared" si="104"/>
        <v/>
      </c>
      <c r="R1167" t="str">
        <f t="shared" si="105"/>
        <v/>
      </c>
      <c r="S1167" t="str">
        <f>IF(I1167="","",_xlfn.XLOOKUP(I1167,Lists!$C:$C,Lists!$I:$I))</f>
        <v/>
      </c>
    </row>
    <row r="1168" spans="8:8">
      <c r="C1168">
        <f>_xlfn.XLOOKUP(B1168,Lists!B:B,Lists!A:A,"")</f>
        <v>0.0</v>
      </c>
      <c r="G1168" t="str">
        <f t="shared" si="101"/>
        <v/>
      </c>
      <c r="H1168" s="20" t="str">
        <f t="shared" si="102"/>
        <v/>
      </c>
      <c r="J1168" t="str">
        <f>IF(I1168="","",_xlfn.XLOOKUP(I1168,Lists!$C:$C,Lists!$D:$D))</f>
        <v/>
      </c>
      <c r="N1168" t="str">
        <f t="shared" si="103"/>
        <v/>
      </c>
      <c r="O1168" t="str">
        <f>IF(I1168="","",_xlfn.XLOOKUP(I1168,Lists!$C:$C,Lists!$J:$J))</f>
        <v/>
      </c>
      <c r="P1168" t="str">
        <f>IF(I1168="","",_xlfn.XLOOKUP(I1168,Lists!$C:$C,Lists!$E:$E))</f>
        <v/>
      </c>
      <c r="Q1168" s="21" t="str">
        <f t="shared" si="104"/>
        <v/>
      </c>
      <c r="R1168" t="str">
        <f t="shared" si="105"/>
        <v/>
      </c>
      <c r="S1168" t="str">
        <f>IF(I1168="","",_xlfn.XLOOKUP(I1168,Lists!$C:$C,Lists!$I:$I))</f>
        <v/>
      </c>
    </row>
    <row r="1169" spans="8:8">
      <c r="C1169">
        <f>_xlfn.XLOOKUP(B1169,Lists!B:B,Lists!A:A,"")</f>
        <v>0.0</v>
      </c>
      <c r="G1169" t="str">
        <f t="shared" si="101"/>
        <v/>
      </c>
      <c r="H1169" s="20" t="str">
        <f t="shared" si="102"/>
        <v/>
      </c>
      <c r="J1169" t="str">
        <f>IF(I1169="","",_xlfn.XLOOKUP(I1169,Lists!$C:$C,Lists!$D:$D))</f>
        <v/>
      </c>
      <c r="N1169" t="str">
        <f t="shared" si="103"/>
        <v/>
      </c>
      <c r="O1169" t="str">
        <f>IF(I1169="","",_xlfn.XLOOKUP(I1169,Lists!$C:$C,Lists!$J:$J))</f>
        <v/>
      </c>
      <c r="P1169" t="str">
        <f>IF(I1169="","",_xlfn.XLOOKUP(I1169,Lists!$C:$C,Lists!$E:$E))</f>
        <v/>
      </c>
      <c r="Q1169" s="21" t="str">
        <f t="shared" si="104"/>
        <v/>
      </c>
      <c r="R1169" t="str">
        <f t="shared" si="105"/>
        <v/>
      </c>
      <c r="S1169" t="str">
        <f>IF(I1169="","",_xlfn.XLOOKUP(I1169,Lists!$C:$C,Lists!$I:$I))</f>
        <v/>
      </c>
    </row>
    <row r="1170" spans="8:8">
      <c r="C1170">
        <f>_xlfn.XLOOKUP(B1170,Lists!B:B,Lists!A:A,"")</f>
        <v>0.0</v>
      </c>
      <c r="G1170" t="str">
        <f t="shared" si="101"/>
        <v/>
      </c>
      <c r="H1170" s="20" t="str">
        <f t="shared" si="102"/>
        <v/>
      </c>
      <c r="J1170" t="str">
        <f>IF(I1170="","",_xlfn.XLOOKUP(I1170,Lists!$C:$C,Lists!$D:$D))</f>
        <v/>
      </c>
      <c r="N1170" t="str">
        <f t="shared" si="103"/>
        <v/>
      </c>
      <c r="O1170" t="str">
        <f>IF(I1170="","",_xlfn.XLOOKUP(I1170,Lists!$C:$C,Lists!$J:$J))</f>
        <v/>
      </c>
      <c r="P1170" t="str">
        <f>IF(I1170="","",_xlfn.XLOOKUP(I1170,Lists!$C:$C,Lists!$E:$E))</f>
        <v/>
      </c>
      <c r="Q1170" s="21" t="str">
        <f t="shared" si="104"/>
        <v/>
      </c>
      <c r="R1170" t="str">
        <f t="shared" si="105"/>
        <v/>
      </c>
      <c r="S1170" t="str">
        <f>IF(I1170="","",_xlfn.XLOOKUP(I1170,Lists!$C:$C,Lists!$I:$I))</f>
        <v/>
      </c>
    </row>
    <row r="1171" spans="8:8">
      <c r="C1171">
        <f>_xlfn.XLOOKUP(B1171,Lists!B:B,Lists!A:A,"")</f>
        <v>0.0</v>
      </c>
      <c r="G1171" t="str">
        <f t="shared" si="101"/>
        <v/>
      </c>
      <c r="H1171" s="20" t="str">
        <f t="shared" si="102"/>
        <v/>
      </c>
      <c r="J1171" t="str">
        <f>IF(I1171="","",_xlfn.XLOOKUP(I1171,Lists!$C:$C,Lists!$D:$D))</f>
        <v/>
      </c>
      <c r="N1171" t="str">
        <f t="shared" si="103"/>
        <v/>
      </c>
      <c r="O1171" t="str">
        <f>IF(I1171="","",_xlfn.XLOOKUP(I1171,Lists!$C:$C,Lists!$J:$J))</f>
        <v/>
      </c>
      <c r="P1171" t="str">
        <f>IF(I1171="","",_xlfn.XLOOKUP(I1171,Lists!$C:$C,Lists!$E:$E))</f>
        <v/>
      </c>
      <c r="Q1171" s="21" t="str">
        <f t="shared" si="104"/>
        <v/>
      </c>
      <c r="R1171" t="str">
        <f t="shared" si="105"/>
        <v/>
      </c>
      <c r="S1171" t="str">
        <f>IF(I1171="","",_xlfn.XLOOKUP(I1171,Lists!$C:$C,Lists!$I:$I))</f>
        <v/>
      </c>
    </row>
    <row r="1172" spans="8:8">
      <c r="C1172">
        <f>_xlfn.XLOOKUP(B1172,Lists!B:B,Lists!A:A,"")</f>
        <v>0.0</v>
      </c>
      <c r="G1172" t="str">
        <f t="shared" si="101"/>
        <v/>
      </c>
      <c r="H1172" s="20" t="str">
        <f t="shared" si="102"/>
        <v/>
      </c>
      <c r="J1172" t="str">
        <f>IF(I1172="","",_xlfn.XLOOKUP(I1172,Lists!$C:$C,Lists!$D:$D))</f>
        <v/>
      </c>
      <c r="N1172" t="str">
        <f t="shared" si="103"/>
        <v/>
      </c>
      <c r="O1172" t="str">
        <f>IF(I1172="","",_xlfn.XLOOKUP(I1172,Lists!$C:$C,Lists!$J:$J))</f>
        <v/>
      </c>
      <c r="P1172" t="str">
        <f>IF(I1172="","",_xlfn.XLOOKUP(I1172,Lists!$C:$C,Lists!$E:$E))</f>
        <v/>
      </c>
      <c r="Q1172" s="21" t="str">
        <f t="shared" si="104"/>
        <v/>
      </c>
      <c r="R1172" t="str">
        <f t="shared" si="105"/>
        <v/>
      </c>
      <c r="S1172" t="str">
        <f>IF(I1172="","",_xlfn.XLOOKUP(I1172,Lists!$C:$C,Lists!$I:$I))</f>
        <v/>
      </c>
    </row>
    <row r="1173" spans="8:8">
      <c r="C1173">
        <f>_xlfn.XLOOKUP(B1173,Lists!B:B,Lists!A:A,"")</f>
        <v>0.0</v>
      </c>
      <c r="G1173" t="str">
        <f t="shared" si="101"/>
        <v/>
      </c>
      <c r="H1173" s="20" t="str">
        <f t="shared" si="102"/>
        <v/>
      </c>
      <c r="J1173" t="str">
        <f>IF(I1173="","",_xlfn.XLOOKUP(I1173,Lists!$C:$C,Lists!$D:$D))</f>
        <v/>
      </c>
      <c r="N1173" t="str">
        <f t="shared" si="103"/>
        <v/>
      </c>
      <c r="O1173" t="str">
        <f>IF(I1173="","",_xlfn.XLOOKUP(I1173,Lists!$C:$C,Lists!$J:$J))</f>
        <v/>
      </c>
      <c r="P1173" t="str">
        <f>IF(I1173="","",_xlfn.XLOOKUP(I1173,Lists!$C:$C,Lists!$E:$E))</f>
        <v/>
      </c>
      <c r="Q1173" s="21" t="str">
        <f t="shared" si="104"/>
        <v/>
      </c>
      <c r="R1173" t="str">
        <f t="shared" si="105"/>
        <v/>
      </c>
      <c r="S1173" t="str">
        <f>IF(I1173="","",_xlfn.XLOOKUP(I1173,Lists!$C:$C,Lists!$I:$I))</f>
        <v/>
      </c>
    </row>
    <row r="1174" spans="8:8">
      <c r="C1174">
        <f>_xlfn.XLOOKUP(B1174,Lists!B:B,Lists!A:A,"")</f>
        <v>0.0</v>
      </c>
      <c r="G1174" t="str">
        <f t="shared" si="101"/>
        <v/>
      </c>
      <c r="H1174" s="20" t="str">
        <f t="shared" si="102"/>
        <v/>
      </c>
      <c r="J1174" t="str">
        <f>IF(I1174="","",_xlfn.XLOOKUP(I1174,Lists!$C:$C,Lists!$D:$D))</f>
        <v/>
      </c>
      <c r="N1174" t="str">
        <f t="shared" si="103"/>
        <v/>
      </c>
      <c r="O1174" t="str">
        <f>IF(I1174="","",_xlfn.XLOOKUP(I1174,Lists!$C:$C,Lists!$J:$J))</f>
        <v/>
      </c>
      <c r="P1174" t="str">
        <f>IF(I1174="","",_xlfn.XLOOKUP(I1174,Lists!$C:$C,Lists!$E:$E))</f>
        <v/>
      </c>
      <c r="Q1174" s="21" t="str">
        <f t="shared" si="104"/>
        <v/>
      </c>
      <c r="R1174" t="str">
        <f t="shared" si="105"/>
        <v/>
      </c>
      <c r="S1174" t="str">
        <f>IF(I1174="","",_xlfn.XLOOKUP(I1174,Lists!$C:$C,Lists!$I:$I))</f>
        <v/>
      </c>
    </row>
    <row r="1175" spans="8:8">
      <c r="C1175">
        <f>_xlfn.XLOOKUP(B1175,Lists!B:B,Lists!A:A,"")</f>
        <v>0.0</v>
      </c>
      <c r="G1175" t="str">
        <f t="shared" si="101"/>
        <v/>
      </c>
      <c r="H1175" s="20" t="str">
        <f t="shared" si="102"/>
        <v/>
      </c>
      <c r="J1175" t="str">
        <f>IF(I1175="","",_xlfn.XLOOKUP(I1175,Lists!$C:$C,Lists!$D:$D))</f>
        <v/>
      </c>
      <c r="N1175" t="str">
        <f t="shared" si="103"/>
        <v/>
      </c>
      <c r="O1175" t="str">
        <f>IF(I1175="","",_xlfn.XLOOKUP(I1175,Lists!$C:$C,Lists!$J:$J))</f>
        <v/>
      </c>
      <c r="P1175" t="str">
        <f>IF(I1175="","",_xlfn.XLOOKUP(I1175,Lists!$C:$C,Lists!$E:$E))</f>
        <v/>
      </c>
      <c r="Q1175" s="21" t="str">
        <f t="shared" si="104"/>
        <v/>
      </c>
      <c r="R1175" t="str">
        <f t="shared" si="105"/>
        <v/>
      </c>
      <c r="S1175" t="str">
        <f>IF(I1175="","",_xlfn.XLOOKUP(I1175,Lists!$C:$C,Lists!$I:$I))</f>
        <v/>
      </c>
    </row>
    <row r="1176" spans="8:8">
      <c r="C1176">
        <f>_xlfn.XLOOKUP(B1176,Lists!B:B,Lists!A:A,"")</f>
        <v>0.0</v>
      </c>
      <c r="G1176" t="str">
        <f t="shared" si="101"/>
        <v/>
      </c>
      <c r="H1176" s="20" t="str">
        <f t="shared" si="102"/>
        <v/>
      </c>
      <c r="J1176" t="str">
        <f>IF(I1176="","",_xlfn.XLOOKUP(I1176,Lists!$C:$C,Lists!$D:$D))</f>
        <v/>
      </c>
      <c r="N1176" t="str">
        <f t="shared" si="103"/>
        <v/>
      </c>
      <c r="O1176" t="str">
        <f>IF(I1176="","",_xlfn.XLOOKUP(I1176,Lists!$C:$C,Lists!$J:$J))</f>
        <v/>
      </c>
      <c r="P1176" t="str">
        <f>IF(I1176="","",_xlfn.XLOOKUP(I1176,Lists!$C:$C,Lists!$E:$E))</f>
        <v/>
      </c>
      <c r="Q1176" s="21" t="str">
        <f t="shared" si="104"/>
        <v/>
      </c>
      <c r="R1176" t="str">
        <f t="shared" si="105"/>
        <v/>
      </c>
      <c r="S1176" t="str">
        <f>IF(I1176="","",_xlfn.XLOOKUP(I1176,Lists!$C:$C,Lists!$I:$I))</f>
        <v/>
      </c>
    </row>
    <row r="1177" spans="8:8">
      <c r="C1177">
        <f>_xlfn.XLOOKUP(B1177,Lists!B:B,Lists!A:A,"")</f>
        <v>0.0</v>
      </c>
      <c r="G1177" t="str">
        <f t="shared" si="101"/>
        <v/>
      </c>
      <c r="H1177" s="20" t="str">
        <f t="shared" si="102"/>
        <v/>
      </c>
      <c r="J1177" t="str">
        <f>IF(I1177="","",_xlfn.XLOOKUP(I1177,Lists!$C:$C,Lists!$D:$D))</f>
        <v/>
      </c>
      <c r="N1177" t="str">
        <f t="shared" si="103"/>
        <v/>
      </c>
      <c r="O1177" t="str">
        <f>IF(I1177="","",_xlfn.XLOOKUP(I1177,Lists!$C:$C,Lists!$J:$J))</f>
        <v/>
      </c>
      <c r="P1177" t="str">
        <f>IF(I1177="","",_xlfn.XLOOKUP(I1177,Lists!$C:$C,Lists!$E:$E))</f>
        <v/>
      </c>
      <c r="Q1177" s="21" t="str">
        <f t="shared" si="104"/>
        <v/>
      </c>
      <c r="R1177" t="str">
        <f t="shared" si="105"/>
        <v/>
      </c>
      <c r="S1177" t="str">
        <f>IF(I1177="","",_xlfn.XLOOKUP(I1177,Lists!$C:$C,Lists!$I:$I))</f>
        <v/>
      </c>
    </row>
    <row r="1178" spans="8:8">
      <c r="C1178">
        <f>_xlfn.XLOOKUP(B1178,Lists!B:B,Lists!A:A,"")</f>
        <v>0.0</v>
      </c>
      <c r="G1178" t="str">
        <f t="shared" si="101"/>
        <v/>
      </c>
      <c r="H1178" s="20" t="str">
        <f t="shared" si="102"/>
        <v/>
      </c>
      <c r="J1178" t="str">
        <f>IF(I1178="","",_xlfn.XLOOKUP(I1178,Lists!$C:$C,Lists!$D:$D))</f>
        <v/>
      </c>
      <c r="N1178" t="str">
        <f t="shared" si="103"/>
        <v/>
      </c>
      <c r="O1178" t="str">
        <f>IF(I1178="","",_xlfn.XLOOKUP(I1178,Lists!$C:$C,Lists!$J:$J))</f>
        <v/>
      </c>
      <c r="P1178" t="str">
        <f>IF(I1178="","",_xlfn.XLOOKUP(I1178,Lists!$C:$C,Lists!$E:$E))</f>
        <v/>
      </c>
      <c r="Q1178" s="21" t="str">
        <f t="shared" si="104"/>
        <v/>
      </c>
      <c r="R1178" t="str">
        <f t="shared" si="105"/>
        <v/>
      </c>
      <c r="S1178" t="str">
        <f>IF(I1178="","",_xlfn.XLOOKUP(I1178,Lists!$C:$C,Lists!$I:$I))</f>
        <v/>
      </c>
    </row>
    <row r="1179" spans="8:8">
      <c r="C1179">
        <f>_xlfn.XLOOKUP(B1179,Lists!B:B,Lists!A:A,"")</f>
        <v>0.0</v>
      </c>
      <c r="G1179" t="str">
        <f t="shared" si="101"/>
        <v/>
      </c>
      <c r="H1179" s="20" t="str">
        <f t="shared" si="102"/>
        <v/>
      </c>
      <c r="J1179" t="str">
        <f>IF(I1179="","",_xlfn.XLOOKUP(I1179,Lists!$C:$C,Lists!$D:$D))</f>
        <v/>
      </c>
      <c r="N1179" t="str">
        <f t="shared" si="103"/>
        <v/>
      </c>
      <c r="O1179" t="str">
        <f>IF(I1179="","",_xlfn.XLOOKUP(I1179,Lists!$C:$C,Lists!$J:$J))</f>
        <v/>
      </c>
      <c r="P1179" t="str">
        <f>IF(I1179="","",_xlfn.XLOOKUP(I1179,Lists!$C:$C,Lists!$E:$E))</f>
        <v/>
      </c>
      <c r="Q1179" s="21" t="str">
        <f t="shared" si="104"/>
        <v/>
      </c>
      <c r="R1179" t="str">
        <f t="shared" si="105"/>
        <v/>
      </c>
      <c r="S1179" t="str">
        <f>IF(I1179="","",_xlfn.XLOOKUP(I1179,Lists!$C:$C,Lists!$I:$I))</f>
        <v/>
      </c>
    </row>
    <row r="1180" spans="8:8">
      <c r="C1180">
        <f>_xlfn.XLOOKUP(B1180,Lists!B:B,Lists!A:A,"")</f>
        <v>0.0</v>
      </c>
      <c r="G1180" t="str">
        <f t="shared" si="101"/>
        <v/>
      </c>
      <c r="H1180" s="20" t="str">
        <f t="shared" si="102"/>
        <v/>
      </c>
      <c r="J1180" t="str">
        <f>IF(I1180="","",_xlfn.XLOOKUP(I1180,Lists!$C:$C,Lists!$D:$D))</f>
        <v/>
      </c>
      <c r="N1180" t="str">
        <f t="shared" si="103"/>
        <v/>
      </c>
      <c r="O1180" t="str">
        <f>IF(I1180="","",_xlfn.XLOOKUP(I1180,Lists!$C:$C,Lists!$J:$J))</f>
        <v/>
      </c>
      <c r="P1180" t="str">
        <f>IF(I1180="","",_xlfn.XLOOKUP(I1180,Lists!$C:$C,Lists!$E:$E))</f>
        <v/>
      </c>
      <c r="Q1180" s="21" t="str">
        <f t="shared" si="104"/>
        <v/>
      </c>
      <c r="R1180" t="str">
        <f t="shared" si="105"/>
        <v/>
      </c>
      <c r="S1180" t="str">
        <f>IF(I1180="","",_xlfn.XLOOKUP(I1180,Lists!$C:$C,Lists!$I:$I))</f>
        <v/>
      </c>
    </row>
    <row r="1181" spans="8:8">
      <c r="C1181">
        <f>_xlfn.XLOOKUP(B1181,Lists!B:B,Lists!A:A,"")</f>
        <v>0.0</v>
      </c>
      <c r="G1181" t="str">
        <f t="shared" si="101"/>
        <v/>
      </c>
      <c r="H1181" s="20" t="str">
        <f t="shared" si="102"/>
        <v/>
      </c>
      <c r="J1181" t="str">
        <f>IF(I1181="","",_xlfn.XLOOKUP(I1181,Lists!$C:$C,Lists!$D:$D))</f>
        <v/>
      </c>
      <c r="N1181" t="str">
        <f t="shared" si="103"/>
        <v/>
      </c>
      <c r="O1181" t="str">
        <f>IF(I1181="","",_xlfn.XLOOKUP(I1181,Lists!$C:$C,Lists!$J:$J))</f>
        <v/>
      </c>
      <c r="P1181" t="str">
        <f>IF(I1181="","",_xlfn.XLOOKUP(I1181,Lists!$C:$C,Lists!$E:$E))</f>
        <v/>
      </c>
      <c r="Q1181" s="21" t="str">
        <f t="shared" si="104"/>
        <v/>
      </c>
      <c r="R1181" t="str">
        <f t="shared" si="105"/>
        <v/>
      </c>
      <c r="S1181" t="str">
        <f>IF(I1181="","",_xlfn.XLOOKUP(I1181,Lists!$C:$C,Lists!$I:$I))</f>
        <v/>
      </c>
    </row>
    <row r="1182" spans="8:8">
      <c r="C1182">
        <f>_xlfn.XLOOKUP(B1182,Lists!B:B,Lists!A:A,"")</f>
        <v>0.0</v>
      </c>
      <c r="G1182" t="str">
        <f t="shared" si="101"/>
        <v/>
      </c>
      <c r="H1182" s="20" t="str">
        <f t="shared" si="102"/>
        <v/>
      </c>
      <c r="J1182" t="str">
        <f>IF(I1182="","",_xlfn.XLOOKUP(I1182,Lists!$C:$C,Lists!$D:$D))</f>
        <v/>
      </c>
      <c r="N1182" t="str">
        <f t="shared" si="103"/>
        <v/>
      </c>
      <c r="O1182" t="str">
        <f>IF(I1182="","",_xlfn.XLOOKUP(I1182,Lists!$C:$C,Lists!$J:$J))</f>
        <v/>
      </c>
      <c r="P1182" t="str">
        <f>IF(I1182="","",_xlfn.XLOOKUP(I1182,Lists!$C:$C,Lists!$E:$E))</f>
        <v/>
      </c>
      <c r="Q1182" s="21" t="str">
        <f t="shared" si="104"/>
        <v/>
      </c>
      <c r="R1182" t="str">
        <f t="shared" si="105"/>
        <v/>
      </c>
      <c r="S1182" t="str">
        <f>IF(I1182="","",_xlfn.XLOOKUP(I1182,Lists!$C:$C,Lists!$I:$I))</f>
        <v/>
      </c>
    </row>
    <row r="1183" spans="8:8">
      <c r="C1183">
        <f>_xlfn.XLOOKUP(B1183,Lists!B:B,Lists!A:A,"")</f>
        <v>0.0</v>
      </c>
      <c r="G1183" t="str">
        <f t="shared" si="106" ref="G1183:G1214">IF(OR(E1183="",F1183=""),"",F1183-E1183+1)</f>
        <v/>
      </c>
      <c r="H1183" s="20" t="str">
        <f t="shared" si="107" ref="H1183:H1214">IF(D1183="","",IF(OR(D1183="A",D1183="B"),G1183/80,IF(D1183="A&amp;B",G1183/160,"")))</f>
        <v/>
      </c>
      <c r="J1183" t="str">
        <f>IF(I1183="","",_xlfn.XLOOKUP(I1183,Lists!$C:$C,Lists!$D:$D))</f>
        <v/>
      </c>
      <c r="N1183" t="str">
        <f t="shared" si="108" ref="N1183:N1214">IF(OR(M1183="",L1183=""),"",(M1183*L1183)/100000)</f>
        <v/>
      </c>
      <c r="O1183" t="str">
        <f>IF(I1183="","",_xlfn.XLOOKUP(I1183,Lists!$C:$C,Lists!$J:$J))</f>
        <v/>
      </c>
      <c r="P1183" t="str">
        <f>IF(I1183="","",_xlfn.XLOOKUP(I1183,Lists!$C:$C,Lists!$E:$E))</f>
        <v/>
      </c>
      <c r="Q1183" s="21" t="str">
        <f t="shared" si="109" ref="Q1183:Q1214">IF(OR(A1183="",P1183=""),"",A1183+P1183+1)</f>
        <v/>
      </c>
      <c r="R1183" t="str">
        <f t="shared" si="110" ref="R1183:R1214">IF(Q1183="","",IF(Q1183&lt;=TODAY(),"Allow","Not Allow"))</f>
        <v/>
      </c>
      <c r="S1183" t="str">
        <f>IF(I1183="","",_xlfn.XLOOKUP(I1183,Lists!$C:$C,Lists!$I:$I))</f>
        <v/>
      </c>
    </row>
    <row r="1184" spans="8:8">
      <c r="C1184">
        <f>_xlfn.XLOOKUP(B1184,Lists!B:B,Lists!A:A,"")</f>
        <v>0.0</v>
      </c>
      <c r="G1184" t="str">
        <f t="shared" si="106"/>
        <v/>
      </c>
      <c r="H1184" s="20" t="str">
        <f t="shared" si="107"/>
        <v/>
      </c>
      <c r="J1184" t="str">
        <f>IF(I1184="","",_xlfn.XLOOKUP(I1184,Lists!$C:$C,Lists!$D:$D))</f>
        <v/>
      </c>
      <c r="N1184" t="str">
        <f t="shared" si="108"/>
        <v/>
      </c>
      <c r="O1184" t="str">
        <f>IF(I1184="","",_xlfn.XLOOKUP(I1184,Lists!$C:$C,Lists!$J:$J))</f>
        <v/>
      </c>
      <c r="P1184" t="str">
        <f>IF(I1184="","",_xlfn.XLOOKUP(I1184,Lists!$C:$C,Lists!$E:$E))</f>
        <v/>
      </c>
      <c r="Q1184" s="21" t="str">
        <f t="shared" si="109"/>
        <v/>
      </c>
      <c r="R1184" t="str">
        <f t="shared" si="110"/>
        <v/>
      </c>
      <c r="S1184" t="str">
        <f>IF(I1184="","",_xlfn.XLOOKUP(I1184,Lists!$C:$C,Lists!$I:$I))</f>
        <v/>
      </c>
    </row>
    <row r="1185" spans="8:8">
      <c r="C1185">
        <f>_xlfn.XLOOKUP(B1185,Lists!B:B,Lists!A:A,"")</f>
        <v>0.0</v>
      </c>
      <c r="G1185" t="str">
        <f t="shared" si="106"/>
        <v/>
      </c>
      <c r="H1185" s="20" t="str">
        <f t="shared" si="107"/>
        <v/>
      </c>
      <c r="J1185" t="str">
        <f>IF(I1185="","",_xlfn.XLOOKUP(I1185,Lists!$C:$C,Lists!$D:$D))</f>
        <v/>
      </c>
      <c r="N1185" t="str">
        <f t="shared" si="108"/>
        <v/>
      </c>
      <c r="O1185" t="str">
        <f>IF(I1185="","",_xlfn.XLOOKUP(I1185,Lists!$C:$C,Lists!$J:$J))</f>
        <v/>
      </c>
      <c r="P1185" t="str">
        <f>IF(I1185="","",_xlfn.XLOOKUP(I1185,Lists!$C:$C,Lists!$E:$E))</f>
        <v/>
      </c>
      <c r="Q1185" s="21" t="str">
        <f t="shared" si="109"/>
        <v/>
      </c>
      <c r="R1185" t="str">
        <f t="shared" si="110"/>
        <v/>
      </c>
      <c r="S1185" t="str">
        <f>IF(I1185="","",_xlfn.XLOOKUP(I1185,Lists!$C:$C,Lists!$I:$I))</f>
        <v/>
      </c>
    </row>
    <row r="1186" spans="8:8">
      <c r="C1186">
        <f>_xlfn.XLOOKUP(B1186,Lists!B:B,Lists!A:A,"")</f>
        <v>0.0</v>
      </c>
      <c r="G1186" t="str">
        <f t="shared" si="106"/>
        <v/>
      </c>
      <c r="H1186" s="20" t="str">
        <f t="shared" si="107"/>
        <v/>
      </c>
      <c r="J1186" t="str">
        <f>IF(I1186="","",_xlfn.XLOOKUP(I1186,Lists!$C:$C,Lists!$D:$D))</f>
        <v/>
      </c>
      <c r="N1186" t="str">
        <f t="shared" si="108"/>
        <v/>
      </c>
      <c r="O1186" t="str">
        <f>IF(I1186="","",_xlfn.XLOOKUP(I1186,Lists!$C:$C,Lists!$J:$J))</f>
        <v/>
      </c>
      <c r="P1186" t="str">
        <f>IF(I1186="","",_xlfn.XLOOKUP(I1186,Lists!$C:$C,Lists!$E:$E))</f>
        <v/>
      </c>
      <c r="Q1186" s="21" t="str">
        <f t="shared" si="109"/>
        <v/>
      </c>
      <c r="R1186" t="str">
        <f t="shared" si="110"/>
        <v/>
      </c>
      <c r="S1186" t="str">
        <f>IF(I1186="","",_xlfn.XLOOKUP(I1186,Lists!$C:$C,Lists!$I:$I))</f>
        <v/>
      </c>
    </row>
    <row r="1187" spans="8:8">
      <c r="C1187">
        <f>_xlfn.XLOOKUP(B1187,Lists!B:B,Lists!A:A,"")</f>
        <v>0.0</v>
      </c>
      <c r="G1187" t="str">
        <f t="shared" si="106"/>
        <v/>
      </c>
      <c r="H1187" s="20" t="str">
        <f t="shared" si="107"/>
        <v/>
      </c>
      <c r="J1187" t="str">
        <f>IF(I1187="","",_xlfn.XLOOKUP(I1187,Lists!$C:$C,Lists!$D:$D))</f>
        <v/>
      </c>
      <c r="N1187" t="str">
        <f t="shared" si="108"/>
        <v/>
      </c>
      <c r="O1187" t="str">
        <f>IF(I1187="","",_xlfn.XLOOKUP(I1187,Lists!$C:$C,Lists!$J:$J))</f>
        <v/>
      </c>
      <c r="P1187" t="str">
        <f>IF(I1187="","",_xlfn.XLOOKUP(I1187,Lists!$C:$C,Lists!$E:$E))</f>
        <v/>
      </c>
      <c r="Q1187" s="21" t="str">
        <f t="shared" si="109"/>
        <v/>
      </c>
      <c r="R1187" t="str">
        <f t="shared" si="110"/>
        <v/>
      </c>
      <c r="S1187" t="str">
        <f>IF(I1187="","",_xlfn.XLOOKUP(I1187,Lists!$C:$C,Lists!$I:$I))</f>
        <v/>
      </c>
    </row>
    <row r="1188" spans="8:8">
      <c r="C1188">
        <f>_xlfn.XLOOKUP(B1188,Lists!B:B,Lists!A:A,"")</f>
        <v>0.0</v>
      </c>
      <c r="G1188" t="str">
        <f t="shared" si="106"/>
        <v/>
      </c>
      <c r="H1188" s="20" t="str">
        <f t="shared" si="107"/>
        <v/>
      </c>
      <c r="J1188" t="str">
        <f>IF(I1188="","",_xlfn.XLOOKUP(I1188,Lists!$C:$C,Lists!$D:$D))</f>
        <v/>
      </c>
      <c r="N1188" t="str">
        <f t="shared" si="108"/>
        <v/>
      </c>
      <c r="O1188" t="str">
        <f>IF(I1188="","",_xlfn.XLOOKUP(I1188,Lists!$C:$C,Lists!$J:$J))</f>
        <v/>
      </c>
      <c r="P1188" t="str">
        <f>IF(I1188="","",_xlfn.XLOOKUP(I1188,Lists!$C:$C,Lists!$E:$E))</f>
        <v/>
      </c>
      <c r="Q1188" s="21" t="str">
        <f t="shared" si="109"/>
        <v/>
      </c>
      <c r="R1188" t="str">
        <f t="shared" si="110"/>
        <v/>
      </c>
      <c r="S1188" t="str">
        <f>IF(I1188="","",_xlfn.XLOOKUP(I1188,Lists!$C:$C,Lists!$I:$I))</f>
        <v/>
      </c>
    </row>
    <row r="1189" spans="8:8">
      <c r="C1189">
        <f>_xlfn.XLOOKUP(B1189,Lists!B:B,Lists!A:A,"")</f>
        <v>0.0</v>
      </c>
      <c r="G1189" t="str">
        <f t="shared" si="106"/>
        <v/>
      </c>
      <c r="H1189" s="20" t="str">
        <f t="shared" si="107"/>
        <v/>
      </c>
      <c r="J1189" t="str">
        <f>IF(I1189="","",_xlfn.XLOOKUP(I1189,Lists!$C:$C,Lists!$D:$D))</f>
        <v/>
      </c>
      <c r="N1189" t="str">
        <f t="shared" si="108"/>
        <v/>
      </c>
      <c r="O1189" t="str">
        <f>IF(I1189="","",_xlfn.XLOOKUP(I1189,Lists!$C:$C,Lists!$J:$J))</f>
        <v/>
      </c>
      <c r="P1189" t="str">
        <f>IF(I1189="","",_xlfn.XLOOKUP(I1189,Lists!$C:$C,Lists!$E:$E))</f>
        <v/>
      </c>
      <c r="Q1189" s="21" t="str">
        <f t="shared" si="109"/>
        <v/>
      </c>
      <c r="R1189" t="str">
        <f t="shared" si="110"/>
        <v/>
      </c>
      <c r="S1189" t="str">
        <f>IF(I1189="","",_xlfn.XLOOKUP(I1189,Lists!$C:$C,Lists!$I:$I))</f>
        <v/>
      </c>
    </row>
    <row r="1190" spans="8:8">
      <c r="C1190">
        <f>_xlfn.XLOOKUP(B1190,Lists!B:B,Lists!A:A,"")</f>
        <v>0.0</v>
      </c>
      <c r="G1190" t="str">
        <f t="shared" si="106"/>
        <v/>
      </c>
      <c r="H1190" s="20" t="str">
        <f t="shared" si="107"/>
        <v/>
      </c>
      <c r="J1190" t="str">
        <f>IF(I1190="","",_xlfn.XLOOKUP(I1190,Lists!$C:$C,Lists!$D:$D))</f>
        <v/>
      </c>
      <c r="N1190" t="str">
        <f t="shared" si="108"/>
        <v/>
      </c>
      <c r="O1190" t="str">
        <f>IF(I1190="","",_xlfn.XLOOKUP(I1190,Lists!$C:$C,Lists!$J:$J))</f>
        <v/>
      </c>
      <c r="P1190" t="str">
        <f>IF(I1190="","",_xlfn.XLOOKUP(I1190,Lists!$C:$C,Lists!$E:$E))</f>
        <v/>
      </c>
      <c r="Q1190" s="21" t="str">
        <f t="shared" si="109"/>
        <v/>
      </c>
      <c r="R1190" t="str">
        <f t="shared" si="110"/>
        <v/>
      </c>
      <c r="S1190" t="str">
        <f>IF(I1190="","",_xlfn.XLOOKUP(I1190,Lists!$C:$C,Lists!$I:$I))</f>
        <v/>
      </c>
    </row>
    <row r="1191" spans="8:8">
      <c r="C1191">
        <f>_xlfn.XLOOKUP(B1191,Lists!B:B,Lists!A:A,"")</f>
        <v>0.0</v>
      </c>
      <c r="G1191" t="str">
        <f t="shared" si="106"/>
        <v/>
      </c>
      <c r="H1191" s="20" t="str">
        <f t="shared" si="107"/>
        <v/>
      </c>
      <c r="J1191" t="str">
        <f>IF(I1191="","",_xlfn.XLOOKUP(I1191,Lists!$C:$C,Lists!$D:$D))</f>
        <v/>
      </c>
      <c r="N1191" t="str">
        <f t="shared" si="108"/>
        <v/>
      </c>
      <c r="O1191" t="str">
        <f>IF(I1191="","",_xlfn.XLOOKUP(I1191,Lists!$C:$C,Lists!$J:$J))</f>
        <v/>
      </c>
      <c r="P1191" t="str">
        <f>IF(I1191="","",_xlfn.XLOOKUP(I1191,Lists!$C:$C,Lists!$E:$E))</f>
        <v/>
      </c>
      <c r="Q1191" s="21" t="str">
        <f t="shared" si="109"/>
        <v/>
      </c>
      <c r="R1191" t="str">
        <f t="shared" si="110"/>
        <v/>
      </c>
      <c r="S1191" t="str">
        <f>IF(I1191="","",_xlfn.XLOOKUP(I1191,Lists!$C:$C,Lists!$I:$I))</f>
        <v/>
      </c>
    </row>
    <row r="1192" spans="8:8">
      <c r="C1192">
        <f>_xlfn.XLOOKUP(B1192,Lists!B:B,Lists!A:A,"")</f>
        <v>0.0</v>
      </c>
      <c r="G1192" t="str">
        <f t="shared" si="106"/>
        <v/>
      </c>
      <c r="H1192" s="20" t="str">
        <f t="shared" si="107"/>
        <v/>
      </c>
      <c r="J1192" t="str">
        <f>IF(I1192="","",_xlfn.XLOOKUP(I1192,Lists!$C:$C,Lists!$D:$D))</f>
        <v/>
      </c>
      <c r="N1192" t="str">
        <f t="shared" si="108"/>
        <v/>
      </c>
      <c r="O1192" t="str">
        <f>IF(I1192="","",_xlfn.XLOOKUP(I1192,Lists!$C:$C,Lists!$J:$J))</f>
        <v/>
      </c>
      <c r="P1192" t="str">
        <f>IF(I1192="","",_xlfn.XLOOKUP(I1192,Lists!$C:$C,Lists!$E:$E))</f>
        <v/>
      </c>
      <c r="Q1192" s="21" t="str">
        <f t="shared" si="109"/>
        <v/>
      </c>
      <c r="R1192" t="str">
        <f t="shared" si="110"/>
        <v/>
      </c>
      <c r="S1192" t="str">
        <f>IF(I1192="","",_xlfn.XLOOKUP(I1192,Lists!$C:$C,Lists!$I:$I))</f>
        <v/>
      </c>
    </row>
    <row r="1193" spans="8:8">
      <c r="C1193">
        <f>_xlfn.XLOOKUP(B1193,Lists!B:B,Lists!A:A,"")</f>
        <v>0.0</v>
      </c>
      <c r="G1193" t="str">
        <f t="shared" si="106"/>
        <v/>
      </c>
      <c r="H1193" s="20" t="str">
        <f t="shared" si="107"/>
        <v/>
      </c>
      <c r="J1193" t="str">
        <f>IF(I1193="","",_xlfn.XLOOKUP(I1193,Lists!$C:$C,Lists!$D:$D))</f>
        <v/>
      </c>
      <c r="N1193" t="str">
        <f t="shared" si="108"/>
        <v/>
      </c>
      <c r="O1193" t="str">
        <f>IF(I1193="","",_xlfn.XLOOKUP(I1193,Lists!$C:$C,Lists!$J:$J))</f>
        <v/>
      </c>
      <c r="P1193" t="str">
        <f>IF(I1193="","",_xlfn.XLOOKUP(I1193,Lists!$C:$C,Lists!$E:$E))</f>
        <v/>
      </c>
      <c r="Q1193" s="21" t="str">
        <f t="shared" si="109"/>
        <v/>
      </c>
      <c r="R1193" t="str">
        <f t="shared" si="110"/>
        <v/>
      </c>
      <c r="S1193" t="str">
        <f>IF(I1193="","",_xlfn.XLOOKUP(I1193,Lists!$C:$C,Lists!$I:$I))</f>
        <v/>
      </c>
    </row>
    <row r="1194" spans="8:8">
      <c r="C1194">
        <f>_xlfn.XLOOKUP(B1194,Lists!B:B,Lists!A:A,"")</f>
        <v>0.0</v>
      </c>
      <c r="G1194" t="str">
        <f t="shared" si="106"/>
        <v/>
      </c>
      <c r="H1194" s="20" t="str">
        <f t="shared" si="107"/>
        <v/>
      </c>
      <c r="J1194" t="str">
        <f>IF(I1194="","",_xlfn.XLOOKUP(I1194,Lists!$C:$C,Lists!$D:$D))</f>
        <v/>
      </c>
      <c r="N1194" t="str">
        <f t="shared" si="108"/>
        <v/>
      </c>
      <c r="O1194" t="str">
        <f>IF(I1194="","",_xlfn.XLOOKUP(I1194,Lists!$C:$C,Lists!$J:$J))</f>
        <v/>
      </c>
      <c r="P1194" t="str">
        <f>IF(I1194="","",_xlfn.XLOOKUP(I1194,Lists!$C:$C,Lists!$E:$E))</f>
        <v/>
      </c>
      <c r="Q1194" s="21" t="str">
        <f t="shared" si="109"/>
        <v/>
      </c>
      <c r="R1194" t="str">
        <f t="shared" si="110"/>
        <v/>
      </c>
      <c r="S1194" t="str">
        <f>IF(I1194="","",_xlfn.XLOOKUP(I1194,Lists!$C:$C,Lists!$I:$I))</f>
        <v/>
      </c>
    </row>
    <row r="1195" spans="8:8">
      <c r="C1195">
        <f>_xlfn.XLOOKUP(B1195,Lists!B:B,Lists!A:A,"")</f>
        <v>0.0</v>
      </c>
      <c r="G1195" t="str">
        <f t="shared" si="106"/>
        <v/>
      </c>
      <c r="H1195" s="20" t="str">
        <f t="shared" si="107"/>
        <v/>
      </c>
      <c r="J1195" t="str">
        <f>IF(I1195="","",_xlfn.XLOOKUP(I1195,Lists!$C:$C,Lists!$D:$D))</f>
        <v/>
      </c>
      <c r="N1195" t="str">
        <f t="shared" si="108"/>
        <v/>
      </c>
      <c r="O1195" t="str">
        <f>IF(I1195="","",_xlfn.XLOOKUP(I1195,Lists!$C:$C,Lists!$J:$J))</f>
        <v/>
      </c>
      <c r="P1195" t="str">
        <f>IF(I1195="","",_xlfn.XLOOKUP(I1195,Lists!$C:$C,Lists!$E:$E))</f>
        <v/>
      </c>
      <c r="Q1195" s="21" t="str">
        <f t="shared" si="109"/>
        <v/>
      </c>
      <c r="R1195" t="str">
        <f t="shared" si="110"/>
        <v/>
      </c>
      <c r="S1195" t="str">
        <f>IF(I1195="","",_xlfn.XLOOKUP(I1195,Lists!$C:$C,Lists!$I:$I))</f>
        <v/>
      </c>
    </row>
    <row r="1196" spans="8:8">
      <c r="C1196">
        <f>_xlfn.XLOOKUP(B1196,Lists!B:B,Lists!A:A,"")</f>
        <v>0.0</v>
      </c>
      <c r="G1196" t="str">
        <f t="shared" si="106"/>
        <v/>
      </c>
      <c r="H1196" s="20" t="str">
        <f t="shared" si="107"/>
        <v/>
      </c>
      <c r="J1196" t="str">
        <f>IF(I1196="","",_xlfn.XLOOKUP(I1196,Lists!$C:$C,Lists!$D:$D))</f>
        <v/>
      </c>
      <c r="N1196" t="str">
        <f t="shared" si="108"/>
        <v/>
      </c>
      <c r="O1196" t="str">
        <f>IF(I1196="","",_xlfn.XLOOKUP(I1196,Lists!$C:$C,Lists!$J:$J))</f>
        <v/>
      </c>
      <c r="P1196" t="str">
        <f>IF(I1196="","",_xlfn.XLOOKUP(I1196,Lists!$C:$C,Lists!$E:$E))</f>
        <v/>
      </c>
      <c r="Q1196" s="21" t="str">
        <f t="shared" si="109"/>
        <v/>
      </c>
      <c r="R1196" t="str">
        <f t="shared" si="110"/>
        <v/>
      </c>
      <c r="S1196" t="str">
        <f>IF(I1196="","",_xlfn.XLOOKUP(I1196,Lists!$C:$C,Lists!$I:$I))</f>
        <v/>
      </c>
    </row>
    <row r="1197" spans="8:8">
      <c r="C1197">
        <f>_xlfn.XLOOKUP(B1197,Lists!B:B,Lists!A:A,"")</f>
        <v>0.0</v>
      </c>
      <c r="G1197" t="str">
        <f t="shared" si="106"/>
        <v/>
      </c>
      <c r="H1197" s="20" t="str">
        <f t="shared" si="107"/>
        <v/>
      </c>
      <c r="J1197" t="str">
        <f>IF(I1197="","",_xlfn.XLOOKUP(I1197,Lists!$C:$C,Lists!$D:$D))</f>
        <v/>
      </c>
      <c r="N1197" t="str">
        <f t="shared" si="108"/>
        <v/>
      </c>
      <c r="O1197" t="str">
        <f>IF(I1197="","",_xlfn.XLOOKUP(I1197,Lists!$C:$C,Lists!$J:$J))</f>
        <v/>
      </c>
      <c r="P1197" t="str">
        <f>IF(I1197="","",_xlfn.XLOOKUP(I1197,Lists!$C:$C,Lists!$E:$E))</f>
        <v/>
      </c>
      <c r="Q1197" s="21" t="str">
        <f t="shared" si="109"/>
        <v/>
      </c>
      <c r="R1197" t="str">
        <f t="shared" si="110"/>
        <v/>
      </c>
      <c r="S1197" t="str">
        <f>IF(I1197="","",_xlfn.XLOOKUP(I1197,Lists!$C:$C,Lists!$I:$I))</f>
        <v/>
      </c>
    </row>
    <row r="1198" spans="8:8">
      <c r="C1198">
        <f>_xlfn.XLOOKUP(B1198,Lists!B:B,Lists!A:A,"")</f>
        <v>0.0</v>
      </c>
      <c r="G1198" t="str">
        <f t="shared" si="106"/>
        <v/>
      </c>
      <c r="H1198" s="20" t="str">
        <f t="shared" si="107"/>
        <v/>
      </c>
      <c r="J1198" t="str">
        <f>IF(I1198="","",_xlfn.XLOOKUP(I1198,Lists!$C:$C,Lists!$D:$D))</f>
        <v/>
      </c>
      <c r="N1198" t="str">
        <f t="shared" si="108"/>
        <v/>
      </c>
      <c r="O1198" t="str">
        <f>IF(I1198="","",_xlfn.XLOOKUP(I1198,Lists!$C:$C,Lists!$J:$J))</f>
        <v/>
      </c>
      <c r="P1198" t="str">
        <f>IF(I1198="","",_xlfn.XLOOKUP(I1198,Lists!$C:$C,Lists!$E:$E))</f>
        <v/>
      </c>
      <c r="Q1198" s="21" t="str">
        <f t="shared" si="109"/>
        <v/>
      </c>
      <c r="R1198" t="str">
        <f t="shared" si="110"/>
        <v/>
      </c>
      <c r="S1198" t="str">
        <f>IF(I1198="","",_xlfn.XLOOKUP(I1198,Lists!$C:$C,Lists!$I:$I))</f>
        <v/>
      </c>
    </row>
    <row r="1199" spans="8:8">
      <c r="C1199">
        <f>_xlfn.XLOOKUP(B1199,Lists!B:B,Lists!A:A,"")</f>
        <v>0.0</v>
      </c>
      <c r="G1199" t="str">
        <f t="shared" si="106"/>
        <v/>
      </c>
      <c r="H1199" s="20" t="str">
        <f t="shared" si="107"/>
        <v/>
      </c>
      <c r="J1199" t="str">
        <f>IF(I1199="","",_xlfn.XLOOKUP(I1199,Lists!$C:$C,Lists!$D:$D))</f>
        <v/>
      </c>
      <c r="N1199" t="str">
        <f t="shared" si="108"/>
        <v/>
      </c>
      <c r="O1199" t="str">
        <f>IF(I1199="","",_xlfn.XLOOKUP(I1199,Lists!$C:$C,Lists!$J:$J))</f>
        <v/>
      </c>
      <c r="P1199" t="str">
        <f>IF(I1199="","",_xlfn.XLOOKUP(I1199,Lists!$C:$C,Lists!$E:$E))</f>
        <v/>
      </c>
      <c r="Q1199" s="21" t="str">
        <f t="shared" si="109"/>
        <v/>
      </c>
      <c r="R1199" t="str">
        <f t="shared" si="110"/>
        <v/>
      </c>
      <c r="S1199" t="str">
        <f>IF(I1199="","",_xlfn.XLOOKUP(I1199,Lists!$C:$C,Lists!$I:$I))</f>
        <v/>
      </c>
    </row>
    <row r="1200" spans="8:8">
      <c r="C1200">
        <f>_xlfn.XLOOKUP(B1200,Lists!B:B,Lists!A:A,"")</f>
        <v>0.0</v>
      </c>
      <c r="G1200" t="str">
        <f t="shared" si="106"/>
        <v/>
      </c>
      <c r="H1200" s="20" t="str">
        <f t="shared" si="107"/>
        <v/>
      </c>
      <c r="J1200" t="str">
        <f>IF(I1200="","",_xlfn.XLOOKUP(I1200,Lists!$C:$C,Lists!$D:$D))</f>
        <v/>
      </c>
      <c r="N1200" t="str">
        <f t="shared" si="108"/>
        <v/>
      </c>
      <c r="O1200" t="str">
        <f>IF(I1200="","",_xlfn.XLOOKUP(I1200,Lists!$C:$C,Lists!$J:$J))</f>
        <v/>
      </c>
      <c r="P1200" t="str">
        <f>IF(I1200="","",_xlfn.XLOOKUP(I1200,Lists!$C:$C,Lists!$E:$E))</f>
        <v/>
      </c>
      <c r="Q1200" s="21" t="str">
        <f t="shared" si="109"/>
        <v/>
      </c>
      <c r="R1200" t="str">
        <f t="shared" si="110"/>
        <v/>
      </c>
      <c r="S1200" t="str">
        <f>IF(I1200="","",_xlfn.XLOOKUP(I1200,Lists!$C:$C,Lists!$I:$I))</f>
        <v/>
      </c>
    </row>
    <row r="1201" spans="8:8">
      <c r="C1201">
        <f>_xlfn.XLOOKUP(B1201,Lists!B:B,Lists!A:A,"")</f>
        <v>0.0</v>
      </c>
      <c r="G1201" t="str">
        <f t="shared" si="106"/>
        <v/>
      </c>
      <c r="H1201" s="20" t="str">
        <f t="shared" si="107"/>
        <v/>
      </c>
      <c r="J1201" t="str">
        <f>IF(I1201="","",_xlfn.XLOOKUP(I1201,Lists!$C:$C,Lists!$D:$D))</f>
        <v/>
      </c>
      <c r="N1201" t="str">
        <f t="shared" si="108"/>
        <v/>
      </c>
      <c r="O1201" t="str">
        <f>IF(I1201="","",_xlfn.XLOOKUP(I1201,Lists!$C:$C,Lists!$J:$J))</f>
        <v/>
      </c>
      <c r="P1201" t="str">
        <f>IF(I1201="","",_xlfn.XLOOKUP(I1201,Lists!$C:$C,Lists!$E:$E))</f>
        <v/>
      </c>
      <c r="Q1201" s="21" t="str">
        <f t="shared" si="109"/>
        <v/>
      </c>
      <c r="R1201" t="str">
        <f t="shared" si="110"/>
        <v/>
      </c>
      <c r="S1201" t="str">
        <f>IF(I1201="","",_xlfn.XLOOKUP(I1201,Lists!$C:$C,Lists!$I:$I))</f>
        <v/>
      </c>
    </row>
    <row r="1202" spans="8:8">
      <c r="C1202">
        <f>_xlfn.XLOOKUP(B1202,Lists!B:B,Lists!A:A,"")</f>
        <v>0.0</v>
      </c>
      <c r="G1202" t="str">
        <f t="shared" si="106"/>
        <v/>
      </c>
      <c r="H1202" s="20" t="str">
        <f t="shared" si="107"/>
        <v/>
      </c>
      <c r="J1202" t="str">
        <f>IF(I1202="","",_xlfn.XLOOKUP(I1202,Lists!$C:$C,Lists!$D:$D))</f>
        <v/>
      </c>
      <c r="N1202" t="str">
        <f t="shared" si="108"/>
        <v/>
      </c>
      <c r="O1202" t="str">
        <f>IF(I1202="","",_xlfn.XLOOKUP(I1202,Lists!$C:$C,Lists!$J:$J))</f>
        <v/>
      </c>
      <c r="P1202" t="str">
        <f>IF(I1202="","",_xlfn.XLOOKUP(I1202,Lists!$C:$C,Lists!$E:$E))</f>
        <v/>
      </c>
      <c r="Q1202" s="21" t="str">
        <f t="shared" si="109"/>
        <v/>
      </c>
      <c r="R1202" t="str">
        <f t="shared" si="110"/>
        <v/>
      </c>
      <c r="S1202" t="str">
        <f>IF(I1202="","",_xlfn.XLOOKUP(I1202,Lists!$C:$C,Lists!$I:$I))</f>
        <v/>
      </c>
    </row>
    <row r="1203" spans="8:8">
      <c r="C1203">
        <f>_xlfn.XLOOKUP(B1203,Lists!B:B,Lists!A:A,"")</f>
        <v>0.0</v>
      </c>
      <c r="G1203" t="str">
        <f t="shared" si="106"/>
        <v/>
      </c>
      <c r="H1203" s="20" t="str">
        <f t="shared" si="107"/>
        <v/>
      </c>
      <c r="J1203" t="str">
        <f>IF(I1203="","",_xlfn.XLOOKUP(I1203,Lists!$C:$C,Lists!$D:$D))</f>
        <v/>
      </c>
      <c r="N1203" t="str">
        <f t="shared" si="108"/>
        <v/>
      </c>
      <c r="O1203" t="str">
        <f>IF(I1203="","",_xlfn.XLOOKUP(I1203,Lists!$C:$C,Lists!$J:$J))</f>
        <v/>
      </c>
      <c r="P1203" t="str">
        <f>IF(I1203="","",_xlfn.XLOOKUP(I1203,Lists!$C:$C,Lists!$E:$E))</f>
        <v/>
      </c>
      <c r="Q1203" s="21" t="str">
        <f t="shared" si="109"/>
        <v/>
      </c>
      <c r="R1203" t="str">
        <f t="shared" si="110"/>
        <v/>
      </c>
      <c r="S1203" t="str">
        <f>IF(I1203="","",_xlfn.XLOOKUP(I1203,Lists!$C:$C,Lists!$I:$I))</f>
        <v/>
      </c>
    </row>
    <row r="1204" spans="8:8">
      <c r="C1204">
        <f>_xlfn.XLOOKUP(B1204,Lists!B:B,Lists!A:A,"")</f>
        <v>0.0</v>
      </c>
      <c r="G1204" t="str">
        <f t="shared" si="106"/>
        <v/>
      </c>
      <c r="H1204" s="20" t="str">
        <f t="shared" si="107"/>
        <v/>
      </c>
      <c r="J1204" t="str">
        <f>IF(I1204="","",_xlfn.XLOOKUP(I1204,Lists!$C:$C,Lists!$D:$D))</f>
        <v/>
      </c>
      <c r="N1204" t="str">
        <f t="shared" si="108"/>
        <v/>
      </c>
      <c r="O1204" t="str">
        <f>IF(I1204="","",_xlfn.XLOOKUP(I1204,Lists!$C:$C,Lists!$J:$J))</f>
        <v/>
      </c>
      <c r="P1204" t="str">
        <f>IF(I1204="","",_xlfn.XLOOKUP(I1204,Lists!$C:$C,Lists!$E:$E))</f>
        <v/>
      </c>
      <c r="Q1204" s="21" t="str">
        <f t="shared" si="109"/>
        <v/>
      </c>
      <c r="R1204" t="str">
        <f t="shared" si="110"/>
        <v/>
      </c>
      <c r="S1204" t="str">
        <f>IF(I1204="","",_xlfn.XLOOKUP(I1204,Lists!$C:$C,Lists!$I:$I))</f>
        <v/>
      </c>
    </row>
    <row r="1205" spans="8:8">
      <c r="C1205">
        <f>_xlfn.XLOOKUP(B1205,Lists!B:B,Lists!A:A,"")</f>
        <v>0.0</v>
      </c>
      <c r="G1205" t="str">
        <f t="shared" si="106"/>
        <v/>
      </c>
      <c r="H1205" s="20" t="str">
        <f t="shared" si="107"/>
        <v/>
      </c>
      <c r="J1205" t="str">
        <f>IF(I1205="","",_xlfn.XLOOKUP(I1205,Lists!$C:$C,Lists!$D:$D))</f>
        <v/>
      </c>
      <c r="N1205" t="str">
        <f t="shared" si="108"/>
        <v/>
      </c>
      <c r="O1205" t="str">
        <f>IF(I1205="","",_xlfn.XLOOKUP(I1205,Lists!$C:$C,Lists!$J:$J))</f>
        <v/>
      </c>
      <c r="P1205" t="str">
        <f>IF(I1205="","",_xlfn.XLOOKUP(I1205,Lists!$C:$C,Lists!$E:$E))</f>
        <v/>
      </c>
      <c r="Q1205" s="21" t="str">
        <f t="shared" si="109"/>
        <v/>
      </c>
      <c r="R1205" t="str">
        <f t="shared" si="110"/>
        <v/>
      </c>
      <c r="S1205" t="str">
        <f>IF(I1205="","",_xlfn.XLOOKUP(I1205,Lists!$C:$C,Lists!$I:$I))</f>
        <v/>
      </c>
    </row>
    <row r="1206" spans="8:8">
      <c r="C1206">
        <f>_xlfn.XLOOKUP(B1206,Lists!B:B,Lists!A:A,"")</f>
        <v>0.0</v>
      </c>
      <c r="G1206" t="str">
        <f t="shared" si="106"/>
        <v/>
      </c>
      <c r="H1206" s="20" t="str">
        <f t="shared" si="107"/>
        <v/>
      </c>
      <c r="J1206" t="str">
        <f>IF(I1206="","",_xlfn.XLOOKUP(I1206,Lists!$C:$C,Lists!$D:$D))</f>
        <v/>
      </c>
      <c r="N1206" t="str">
        <f t="shared" si="108"/>
        <v/>
      </c>
      <c r="O1206" t="str">
        <f>IF(I1206="","",_xlfn.XLOOKUP(I1206,Lists!$C:$C,Lists!$J:$J))</f>
        <v/>
      </c>
      <c r="P1206" t="str">
        <f>IF(I1206="","",_xlfn.XLOOKUP(I1206,Lists!$C:$C,Lists!$E:$E))</f>
        <v/>
      </c>
      <c r="Q1206" s="21" t="str">
        <f t="shared" si="109"/>
        <v/>
      </c>
      <c r="R1206" t="str">
        <f t="shared" si="110"/>
        <v/>
      </c>
      <c r="S1206" t="str">
        <f>IF(I1206="","",_xlfn.XLOOKUP(I1206,Lists!$C:$C,Lists!$I:$I))</f>
        <v/>
      </c>
    </row>
    <row r="1207" spans="8:8">
      <c r="C1207">
        <f>_xlfn.XLOOKUP(B1207,Lists!B:B,Lists!A:A,"")</f>
        <v>0.0</v>
      </c>
      <c r="G1207" t="str">
        <f t="shared" si="106"/>
        <v/>
      </c>
      <c r="H1207" s="20" t="str">
        <f t="shared" si="107"/>
        <v/>
      </c>
      <c r="J1207" t="str">
        <f>IF(I1207="","",_xlfn.XLOOKUP(I1207,Lists!$C:$C,Lists!$D:$D))</f>
        <v/>
      </c>
      <c r="N1207" t="str">
        <f t="shared" si="108"/>
        <v/>
      </c>
      <c r="O1207" t="str">
        <f>IF(I1207="","",_xlfn.XLOOKUP(I1207,Lists!$C:$C,Lists!$J:$J))</f>
        <v/>
      </c>
      <c r="P1207" t="str">
        <f>IF(I1207="","",_xlfn.XLOOKUP(I1207,Lists!$C:$C,Lists!$E:$E))</f>
        <v/>
      </c>
      <c r="Q1207" s="21" t="str">
        <f t="shared" si="109"/>
        <v/>
      </c>
      <c r="R1207" t="str">
        <f t="shared" si="110"/>
        <v/>
      </c>
      <c r="S1207" t="str">
        <f>IF(I1207="","",_xlfn.XLOOKUP(I1207,Lists!$C:$C,Lists!$I:$I))</f>
        <v/>
      </c>
    </row>
    <row r="1208" spans="8:8">
      <c r="C1208">
        <f>_xlfn.XLOOKUP(B1208,Lists!B:B,Lists!A:A,"")</f>
        <v>0.0</v>
      </c>
      <c r="G1208" t="str">
        <f t="shared" si="106"/>
        <v/>
      </c>
      <c r="H1208" s="20" t="str">
        <f t="shared" si="107"/>
        <v/>
      </c>
      <c r="J1208" t="str">
        <f>IF(I1208="","",_xlfn.XLOOKUP(I1208,Lists!$C:$C,Lists!$D:$D))</f>
        <v/>
      </c>
      <c r="N1208" t="str">
        <f t="shared" si="108"/>
        <v/>
      </c>
      <c r="O1208" t="str">
        <f>IF(I1208="","",_xlfn.XLOOKUP(I1208,Lists!$C:$C,Lists!$J:$J))</f>
        <v/>
      </c>
      <c r="P1208" t="str">
        <f>IF(I1208="","",_xlfn.XLOOKUP(I1208,Lists!$C:$C,Lists!$E:$E))</f>
        <v/>
      </c>
      <c r="Q1208" s="21" t="str">
        <f t="shared" si="109"/>
        <v/>
      </c>
      <c r="R1208" t="str">
        <f t="shared" si="110"/>
        <v/>
      </c>
      <c r="S1208" t="str">
        <f>IF(I1208="","",_xlfn.XLOOKUP(I1208,Lists!$C:$C,Lists!$I:$I))</f>
        <v/>
      </c>
    </row>
    <row r="1209" spans="8:8">
      <c r="C1209">
        <f>_xlfn.XLOOKUP(B1209,Lists!B:B,Lists!A:A,"")</f>
        <v>0.0</v>
      </c>
      <c r="G1209" t="str">
        <f t="shared" si="106"/>
        <v/>
      </c>
      <c r="H1209" s="20" t="str">
        <f t="shared" si="107"/>
        <v/>
      </c>
      <c r="J1209" t="str">
        <f>IF(I1209="","",_xlfn.XLOOKUP(I1209,Lists!$C:$C,Lists!$D:$D))</f>
        <v/>
      </c>
      <c r="N1209" t="str">
        <f t="shared" si="108"/>
        <v/>
      </c>
      <c r="O1209" t="str">
        <f>IF(I1209="","",_xlfn.XLOOKUP(I1209,Lists!$C:$C,Lists!$J:$J))</f>
        <v/>
      </c>
      <c r="P1209" t="str">
        <f>IF(I1209="","",_xlfn.XLOOKUP(I1209,Lists!$C:$C,Lists!$E:$E))</f>
        <v/>
      </c>
      <c r="Q1209" s="21" t="str">
        <f t="shared" si="109"/>
        <v/>
      </c>
      <c r="R1209" t="str">
        <f t="shared" si="110"/>
        <v/>
      </c>
      <c r="S1209" t="str">
        <f>IF(I1209="","",_xlfn.XLOOKUP(I1209,Lists!$C:$C,Lists!$I:$I))</f>
        <v/>
      </c>
    </row>
    <row r="1210" spans="8:8">
      <c r="C1210">
        <f>_xlfn.XLOOKUP(B1210,Lists!B:B,Lists!A:A,"")</f>
        <v>0.0</v>
      </c>
      <c r="G1210" t="str">
        <f t="shared" si="106"/>
        <v/>
      </c>
      <c r="H1210" s="20" t="str">
        <f t="shared" si="107"/>
        <v/>
      </c>
      <c r="J1210" t="str">
        <f>IF(I1210="","",_xlfn.XLOOKUP(I1210,Lists!$C:$C,Lists!$D:$D))</f>
        <v/>
      </c>
      <c r="N1210" t="str">
        <f t="shared" si="108"/>
        <v/>
      </c>
      <c r="O1210" t="str">
        <f>IF(I1210="","",_xlfn.XLOOKUP(I1210,Lists!$C:$C,Lists!$J:$J))</f>
        <v/>
      </c>
      <c r="P1210" t="str">
        <f>IF(I1210="","",_xlfn.XLOOKUP(I1210,Lists!$C:$C,Lists!$E:$E))</f>
        <v/>
      </c>
      <c r="Q1210" s="21" t="str">
        <f t="shared" si="109"/>
        <v/>
      </c>
      <c r="R1210" t="str">
        <f t="shared" si="110"/>
        <v/>
      </c>
      <c r="S1210" t="str">
        <f>IF(I1210="","",_xlfn.XLOOKUP(I1210,Lists!$C:$C,Lists!$I:$I))</f>
        <v/>
      </c>
    </row>
    <row r="1211" spans="8:8">
      <c r="C1211">
        <f>_xlfn.XLOOKUP(B1211,Lists!B:B,Lists!A:A,"")</f>
        <v>0.0</v>
      </c>
      <c r="G1211" t="str">
        <f t="shared" si="106"/>
        <v/>
      </c>
      <c r="H1211" s="20" t="str">
        <f t="shared" si="107"/>
        <v/>
      </c>
      <c r="J1211" t="str">
        <f>IF(I1211="","",_xlfn.XLOOKUP(I1211,Lists!$C:$C,Lists!$D:$D))</f>
        <v/>
      </c>
      <c r="N1211" t="str">
        <f t="shared" si="108"/>
        <v/>
      </c>
      <c r="O1211" t="str">
        <f>IF(I1211="","",_xlfn.XLOOKUP(I1211,Lists!$C:$C,Lists!$J:$J))</f>
        <v/>
      </c>
      <c r="P1211" t="str">
        <f>IF(I1211="","",_xlfn.XLOOKUP(I1211,Lists!$C:$C,Lists!$E:$E))</f>
        <v/>
      </c>
      <c r="Q1211" s="21" t="str">
        <f t="shared" si="109"/>
        <v/>
      </c>
      <c r="R1211" t="str">
        <f t="shared" si="110"/>
        <v/>
      </c>
      <c r="S1211" t="str">
        <f>IF(I1211="","",_xlfn.XLOOKUP(I1211,Lists!$C:$C,Lists!$I:$I))</f>
        <v/>
      </c>
    </row>
    <row r="1212" spans="8:8">
      <c r="C1212">
        <f>_xlfn.XLOOKUP(B1212,Lists!B:B,Lists!A:A,"")</f>
        <v>0.0</v>
      </c>
      <c r="G1212" t="str">
        <f t="shared" si="106"/>
        <v/>
      </c>
      <c r="H1212" s="20" t="str">
        <f t="shared" si="107"/>
        <v/>
      </c>
      <c r="J1212" t="str">
        <f>IF(I1212="","",_xlfn.XLOOKUP(I1212,Lists!$C:$C,Lists!$D:$D))</f>
        <v/>
      </c>
      <c r="N1212" t="str">
        <f t="shared" si="108"/>
        <v/>
      </c>
      <c r="O1212" t="str">
        <f>IF(I1212="","",_xlfn.XLOOKUP(I1212,Lists!$C:$C,Lists!$J:$J))</f>
        <v/>
      </c>
      <c r="P1212" t="str">
        <f>IF(I1212="","",_xlfn.XLOOKUP(I1212,Lists!$C:$C,Lists!$E:$E))</f>
        <v/>
      </c>
      <c r="Q1212" s="21" t="str">
        <f t="shared" si="109"/>
        <v/>
      </c>
      <c r="R1212" t="str">
        <f t="shared" si="110"/>
        <v/>
      </c>
      <c r="S1212" t="str">
        <f>IF(I1212="","",_xlfn.XLOOKUP(I1212,Lists!$C:$C,Lists!$I:$I))</f>
        <v/>
      </c>
    </row>
    <row r="1213" spans="8:8">
      <c r="C1213">
        <f>_xlfn.XLOOKUP(B1213,Lists!B:B,Lists!A:A,"")</f>
        <v>0.0</v>
      </c>
      <c r="G1213" t="str">
        <f t="shared" si="106"/>
        <v/>
      </c>
      <c r="H1213" s="20" t="str">
        <f t="shared" si="107"/>
        <v/>
      </c>
      <c r="J1213" t="str">
        <f>IF(I1213="","",_xlfn.XLOOKUP(I1213,Lists!$C:$C,Lists!$D:$D))</f>
        <v/>
      </c>
      <c r="N1213" t="str">
        <f t="shared" si="108"/>
        <v/>
      </c>
      <c r="O1213" t="str">
        <f>IF(I1213="","",_xlfn.XLOOKUP(I1213,Lists!$C:$C,Lists!$J:$J))</f>
        <v/>
      </c>
      <c r="P1213" t="str">
        <f>IF(I1213="","",_xlfn.XLOOKUP(I1213,Lists!$C:$C,Lists!$E:$E))</f>
        <v/>
      </c>
      <c r="Q1213" s="21" t="str">
        <f t="shared" si="109"/>
        <v/>
      </c>
      <c r="R1213" t="str">
        <f t="shared" si="110"/>
        <v/>
      </c>
      <c r="S1213" t="str">
        <f>IF(I1213="","",_xlfn.XLOOKUP(I1213,Lists!$C:$C,Lists!$I:$I))</f>
        <v/>
      </c>
    </row>
    <row r="1214" spans="8:8">
      <c r="C1214">
        <f>_xlfn.XLOOKUP(B1214,Lists!B:B,Lists!A:A,"")</f>
        <v>0.0</v>
      </c>
      <c r="G1214" t="str">
        <f t="shared" si="106"/>
        <v/>
      </c>
      <c r="H1214" s="20" t="str">
        <f t="shared" si="107"/>
        <v/>
      </c>
      <c r="J1214" t="str">
        <f>IF(I1214="","",_xlfn.XLOOKUP(I1214,Lists!$C:$C,Lists!$D:$D))</f>
        <v/>
      </c>
      <c r="N1214" t="str">
        <f t="shared" si="108"/>
        <v/>
      </c>
      <c r="O1214" t="str">
        <f>IF(I1214="","",_xlfn.XLOOKUP(I1214,Lists!$C:$C,Lists!$J:$J))</f>
        <v/>
      </c>
      <c r="P1214" t="str">
        <f>IF(I1214="","",_xlfn.XLOOKUP(I1214,Lists!$C:$C,Lists!$E:$E))</f>
        <v/>
      </c>
      <c r="Q1214" s="21" t="str">
        <f t="shared" si="109"/>
        <v/>
      </c>
      <c r="R1214" t="str">
        <f t="shared" si="110"/>
        <v/>
      </c>
      <c r="S1214" t="str">
        <f>IF(I1214="","",_xlfn.XLOOKUP(I1214,Lists!$C:$C,Lists!$I:$I))</f>
        <v/>
      </c>
    </row>
    <row r="1215" spans="8:8">
      <c r="C1215">
        <f>_xlfn.XLOOKUP(B1215,Lists!B:B,Lists!A:A,"")</f>
        <v>0.0</v>
      </c>
      <c r="G1215" t="str">
        <f t="shared" si="111" ref="G1215:G1246">IF(OR(E1215="",F1215=""),"",F1215-E1215+1)</f>
        <v/>
      </c>
      <c r="H1215" s="20" t="str">
        <f t="shared" si="112" ref="H1215:H1246">IF(D1215="","",IF(OR(D1215="A",D1215="B"),G1215/80,IF(D1215="A&amp;B",G1215/160,"")))</f>
        <v/>
      </c>
      <c r="J1215" t="str">
        <f>IF(I1215="","",_xlfn.XLOOKUP(I1215,Lists!$C:$C,Lists!$D:$D))</f>
        <v/>
      </c>
      <c r="N1215" t="str">
        <f t="shared" si="113" ref="N1215:N1246">IF(OR(M1215="",L1215=""),"",(M1215*L1215)/100000)</f>
        <v/>
      </c>
      <c r="O1215" t="str">
        <f>IF(I1215="","",_xlfn.XLOOKUP(I1215,Lists!$C:$C,Lists!$J:$J))</f>
        <v/>
      </c>
      <c r="P1215" t="str">
        <f>IF(I1215="","",_xlfn.XLOOKUP(I1215,Lists!$C:$C,Lists!$E:$E))</f>
        <v/>
      </c>
      <c r="Q1215" s="21" t="str">
        <f t="shared" si="114" ref="Q1215:Q1246">IF(OR(A1215="",P1215=""),"",A1215+P1215+1)</f>
        <v/>
      </c>
      <c r="R1215" t="str">
        <f t="shared" si="115" ref="R1215:R1246">IF(Q1215="","",IF(Q1215&lt;=TODAY(),"Allow","Not Allow"))</f>
        <v/>
      </c>
      <c r="S1215" t="str">
        <f>IF(I1215="","",_xlfn.XLOOKUP(I1215,Lists!$C:$C,Lists!$I:$I))</f>
        <v/>
      </c>
    </row>
    <row r="1216" spans="8:8">
      <c r="C1216">
        <f>_xlfn.XLOOKUP(B1216,Lists!B:B,Lists!A:A,"")</f>
        <v>0.0</v>
      </c>
      <c r="G1216" t="str">
        <f t="shared" si="111"/>
        <v/>
      </c>
      <c r="H1216" s="20" t="str">
        <f t="shared" si="112"/>
        <v/>
      </c>
      <c r="J1216" t="str">
        <f>IF(I1216="","",_xlfn.XLOOKUP(I1216,Lists!$C:$C,Lists!$D:$D))</f>
        <v/>
      </c>
      <c r="N1216" t="str">
        <f t="shared" si="113"/>
        <v/>
      </c>
      <c r="O1216" t="str">
        <f>IF(I1216="","",_xlfn.XLOOKUP(I1216,Lists!$C:$C,Lists!$J:$J))</f>
        <v/>
      </c>
      <c r="P1216" t="str">
        <f>IF(I1216="","",_xlfn.XLOOKUP(I1216,Lists!$C:$C,Lists!$E:$E))</f>
        <v/>
      </c>
      <c r="Q1216" s="21" t="str">
        <f t="shared" si="114"/>
        <v/>
      </c>
      <c r="R1216" t="str">
        <f t="shared" si="115"/>
        <v/>
      </c>
      <c r="S1216" t="str">
        <f>IF(I1216="","",_xlfn.XLOOKUP(I1216,Lists!$C:$C,Lists!$I:$I))</f>
        <v/>
      </c>
    </row>
    <row r="1217" spans="8:8">
      <c r="C1217">
        <f>_xlfn.XLOOKUP(B1217,Lists!B:B,Lists!A:A,"")</f>
        <v>0.0</v>
      </c>
      <c r="G1217" t="str">
        <f t="shared" si="111"/>
        <v/>
      </c>
      <c r="H1217" s="20" t="str">
        <f t="shared" si="112"/>
        <v/>
      </c>
      <c r="J1217" t="str">
        <f>IF(I1217="","",_xlfn.XLOOKUP(I1217,Lists!$C:$C,Lists!$D:$D))</f>
        <v/>
      </c>
      <c r="N1217" t="str">
        <f t="shared" si="113"/>
        <v/>
      </c>
      <c r="O1217" t="str">
        <f>IF(I1217="","",_xlfn.XLOOKUP(I1217,Lists!$C:$C,Lists!$J:$J))</f>
        <v/>
      </c>
      <c r="P1217" t="str">
        <f>IF(I1217="","",_xlfn.XLOOKUP(I1217,Lists!$C:$C,Lists!$E:$E))</f>
        <v/>
      </c>
      <c r="Q1217" s="21" t="str">
        <f t="shared" si="114"/>
        <v/>
      </c>
      <c r="R1217" t="str">
        <f t="shared" si="115"/>
        <v/>
      </c>
      <c r="S1217" t="str">
        <f>IF(I1217="","",_xlfn.XLOOKUP(I1217,Lists!$C:$C,Lists!$I:$I))</f>
        <v/>
      </c>
    </row>
    <row r="1218" spans="8:8">
      <c r="C1218">
        <f>_xlfn.XLOOKUP(B1218,Lists!B:B,Lists!A:A,"")</f>
        <v>0.0</v>
      </c>
      <c r="G1218" t="str">
        <f t="shared" si="111"/>
        <v/>
      </c>
      <c r="H1218" s="20" t="str">
        <f t="shared" si="112"/>
        <v/>
      </c>
      <c r="J1218" t="str">
        <f>IF(I1218="","",_xlfn.XLOOKUP(I1218,Lists!$C:$C,Lists!$D:$D))</f>
        <v/>
      </c>
      <c r="N1218" t="str">
        <f t="shared" si="113"/>
        <v/>
      </c>
      <c r="O1218" t="str">
        <f>IF(I1218="","",_xlfn.XLOOKUP(I1218,Lists!$C:$C,Lists!$J:$J))</f>
        <v/>
      </c>
      <c r="P1218" t="str">
        <f>IF(I1218="","",_xlfn.XLOOKUP(I1218,Lists!$C:$C,Lists!$E:$E))</f>
        <v/>
      </c>
      <c r="Q1218" s="21" t="str">
        <f t="shared" si="114"/>
        <v/>
      </c>
      <c r="R1218" t="str">
        <f t="shared" si="115"/>
        <v/>
      </c>
      <c r="S1218" t="str">
        <f>IF(I1218="","",_xlfn.XLOOKUP(I1218,Lists!$C:$C,Lists!$I:$I))</f>
        <v/>
      </c>
    </row>
    <row r="1219" spans="8:8">
      <c r="C1219">
        <f>_xlfn.XLOOKUP(B1219,Lists!B:B,Lists!A:A,"")</f>
        <v>0.0</v>
      </c>
      <c r="G1219" t="str">
        <f t="shared" si="111"/>
        <v/>
      </c>
      <c r="H1219" s="20" t="str">
        <f t="shared" si="112"/>
        <v/>
      </c>
      <c r="J1219" t="str">
        <f>IF(I1219="","",_xlfn.XLOOKUP(I1219,Lists!$C:$C,Lists!$D:$D))</f>
        <v/>
      </c>
      <c r="N1219" t="str">
        <f t="shared" si="113"/>
        <v/>
      </c>
      <c r="O1219" t="str">
        <f>IF(I1219="","",_xlfn.XLOOKUP(I1219,Lists!$C:$C,Lists!$J:$J))</f>
        <v/>
      </c>
      <c r="P1219" t="str">
        <f>IF(I1219="","",_xlfn.XLOOKUP(I1219,Lists!$C:$C,Lists!$E:$E))</f>
        <v/>
      </c>
      <c r="Q1219" s="21" t="str">
        <f t="shared" si="114"/>
        <v/>
      </c>
      <c r="R1219" t="str">
        <f t="shared" si="115"/>
        <v/>
      </c>
      <c r="S1219" t="str">
        <f>IF(I1219="","",_xlfn.XLOOKUP(I1219,Lists!$C:$C,Lists!$I:$I))</f>
        <v/>
      </c>
    </row>
    <row r="1220" spans="8:8">
      <c r="C1220">
        <f>_xlfn.XLOOKUP(B1220,Lists!B:B,Lists!A:A,"")</f>
        <v>0.0</v>
      </c>
      <c r="G1220" t="str">
        <f t="shared" si="111"/>
        <v/>
      </c>
      <c r="H1220" s="20" t="str">
        <f t="shared" si="112"/>
        <v/>
      </c>
      <c r="J1220" t="str">
        <f>IF(I1220="","",_xlfn.XLOOKUP(I1220,Lists!$C:$C,Lists!$D:$D))</f>
        <v/>
      </c>
      <c r="N1220" t="str">
        <f t="shared" si="113"/>
        <v/>
      </c>
      <c r="O1220" t="str">
        <f>IF(I1220="","",_xlfn.XLOOKUP(I1220,Lists!$C:$C,Lists!$J:$J))</f>
        <v/>
      </c>
      <c r="P1220" t="str">
        <f>IF(I1220="","",_xlfn.XLOOKUP(I1220,Lists!$C:$C,Lists!$E:$E))</f>
        <v/>
      </c>
      <c r="Q1220" s="21" t="str">
        <f t="shared" si="114"/>
        <v/>
      </c>
      <c r="R1220" t="str">
        <f t="shared" si="115"/>
        <v/>
      </c>
      <c r="S1220" t="str">
        <f>IF(I1220="","",_xlfn.XLOOKUP(I1220,Lists!$C:$C,Lists!$I:$I))</f>
        <v/>
      </c>
    </row>
    <row r="1221" spans="8:8">
      <c r="C1221">
        <f>_xlfn.XLOOKUP(B1221,Lists!B:B,Lists!A:A,"")</f>
        <v>0.0</v>
      </c>
      <c r="G1221" t="str">
        <f t="shared" si="111"/>
        <v/>
      </c>
      <c r="H1221" s="20" t="str">
        <f t="shared" si="112"/>
        <v/>
      </c>
      <c r="J1221" t="str">
        <f>IF(I1221="","",_xlfn.XLOOKUP(I1221,Lists!$C:$C,Lists!$D:$D))</f>
        <v/>
      </c>
      <c r="N1221" t="str">
        <f t="shared" si="113"/>
        <v/>
      </c>
      <c r="O1221" t="str">
        <f>IF(I1221="","",_xlfn.XLOOKUP(I1221,Lists!$C:$C,Lists!$J:$J))</f>
        <v/>
      </c>
      <c r="P1221" t="str">
        <f>IF(I1221="","",_xlfn.XLOOKUP(I1221,Lists!$C:$C,Lists!$E:$E))</f>
        <v/>
      </c>
      <c r="Q1221" s="21" t="str">
        <f t="shared" si="114"/>
        <v/>
      </c>
      <c r="R1221" t="str">
        <f t="shared" si="115"/>
        <v/>
      </c>
      <c r="S1221" t="str">
        <f>IF(I1221="","",_xlfn.XLOOKUP(I1221,Lists!$C:$C,Lists!$I:$I))</f>
        <v/>
      </c>
    </row>
    <row r="1222" spans="8:8">
      <c r="C1222">
        <f>_xlfn.XLOOKUP(B1222,Lists!B:B,Lists!A:A,"")</f>
        <v>0.0</v>
      </c>
      <c r="G1222" t="str">
        <f t="shared" si="111"/>
        <v/>
      </c>
      <c r="H1222" s="20" t="str">
        <f t="shared" si="112"/>
        <v/>
      </c>
      <c r="J1222" t="str">
        <f>IF(I1222="","",_xlfn.XLOOKUP(I1222,Lists!$C:$C,Lists!$D:$D))</f>
        <v/>
      </c>
      <c r="N1222" t="str">
        <f t="shared" si="113"/>
        <v/>
      </c>
      <c r="O1222" t="str">
        <f>IF(I1222="","",_xlfn.XLOOKUP(I1222,Lists!$C:$C,Lists!$J:$J))</f>
        <v/>
      </c>
      <c r="P1222" t="str">
        <f>IF(I1222="","",_xlfn.XLOOKUP(I1222,Lists!$C:$C,Lists!$E:$E))</f>
        <v/>
      </c>
      <c r="Q1222" s="21" t="str">
        <f t="shared" si="114"/>
        <v/>
      </c>
      <c r="R1222" t="str">
        <f t="shared" si="115"/>
        <v/>
      </c>
      <c r="S1222" t="str">
        <f>IF(I1222="","",_xlfn.XLOOKUP(I1222,Lists!$C:$C,Lists!$I:$I))</f>
        <v/>
      </c>
    </row>
    <row r="1223" spans="8:8">
      <c r="C1223">
        <f>_xlfn.XLOOKUP(B1223,Lists!B:B,Lists!A:A,"")</f>
        <v>0.0</v>
      </c>
      <c r="G1223" t="str">
        <f t="shared" si="111"/>
        <v/>
      </c>
      <c r="H1223" s="20" t="str">
        <f t="shared" si="112"/>
        <v/>
      </c>
      <c r="J1223" t="str">
        <f>IF(I1223="","",_xlfn.XLOOKUP(I1223,Lists!$C:$C,Lists!$D:$D))</f>
        <v/>
      </c>
      <c r="N1223" t="str">
        <f t="shared" si="113"/>
        <v/>
      </c>
      <c r="O1223" t="str">
        <f>IF(I1223="","",_xlfn.XLOOKUP(I1223,Lists!$C:$C,Lists!$J:$J))</f>
        <v/>
      </c>
      <c r="P1223" t="str">
        <f>IF(I1223="","",_xlfn.XLOOKUP(I1223,Lists!$C:$C,Lists!$E:$E))</f>
        <v/>
      </c>
      <c r="Q1223" s="21" t="str">
        <f t="shared" si="114"/>
        <v/>
      </c>
      <c r="R1223" t="str">
        <f t="shared" si="115"/>
        <v/>
      </c>
      <c r="S1223" t="str">
        <f>IF(I1223="","",_xlfn.XLOOKUP(I1223,Lists!$C:$C,Lists!$I:$I))</f>
        <v/>
      </c>
    </row>
    <row r="1224" spans="8:8">
      <c r="C1224">
        <f>_xlfn.XLOOKUP(B1224,Lists!B:B,Lists!A:A,"")</f>
        <v>0.0</v>
      </c>
      <c r="G1224" t="str">
        <f t="shared" si="111"/>
        <v/>
      </c>
      <c r="H1224" s="20" t="str">
        <f t="shared" si="112"/>
        <v/>
      </c>
      <c r="J1224" t="str">
        <f>IF(I1224="","",_xlfn.XLOOKUP(I1224,Lists!$C:$C,Lists!$D:$D))</f>
        <v/>
      </c>
      <c r="N1224" t="str">
        <f t="shared" si="113"/>
        <v/>
      </c>
      <c r="O1224" t="str">
        <f>IF(I1224="","",_xlfn.XLOOKUP(I1224,Lists!$C:$C,Lists!$J:$J))</f>
        <v/>
      </c>
      <c r="P1224" t="str">
        <f>IF(I1224="","",_xlfn.XLOOKUP(I1224,Lists!$C:$C,Lists!$E:$E))</f>
        <v/>
      </c>
      <c r="Q1224" s="21" t="str">
        <f t="shared" si="114"/>
        <v/>
      </c>
      <c r="R1224" t="str">
        <f t="shared" si="115"/>
        <v/>
      </c>
      <c r="S1224" t="str">
        <f>IF(I1224="","",_xlfn.XLOOKUP(I1224,Lists!$C:$C,Lists!$I:$I))</f>
        <v/>
      </c>
    </row>
    <row r="1225" spans="8:8">
      <c r="C1225">
        <f>_xlfn.XLOOKUP(B1225,Lists!B:B,Lists!A:A,"")</f>
        <v>0.0</v>
      </c>
      <c r="G1225" t="str">
        <f t="shared" si="111"/>
        <v/>
      </c>
      <c r="H1225" s="20" t="str">
        <f t="shared" si="112"/>
        <v/>
      </c>
      <c r="J1225" t="str">
        <f>IF(I1225="","",_xlfn.XLOOKUP(I1225,Lists!$C:$C,Lists!$D:$D))</f>
        <v/>
      </c>
      <c r="N1225" t="str">
        <f t="shared" si="113"/>
        <v/>
      </c>
      <c r="O1225" t="str">
        <f>IF(I1225="","",_xlfn.XLOOKUP(I1225,Lists!$C:$C,Lists!$J:$J))</f>
        <v/>
      </c>
      <c r="P1225" t="str">
        <f>IF(I1225="","",_xlfn.XLOOKUP(I1225,Lists!$C:$C,Lists!$E:$E))</f>
        <v/>
      </c>
      <c r="Q1225" s="21" t="str">
        <f t="shared" si="114"/>
        <v/>
      </c>
      <c r="R1225" t="str">
        <f t="shared" si="115"/>
        <v/>
      </c>
      <c r="S1225" t="str">
        <f>IF(I1225="","",_xlfn.XLOOKUP(I1225,Lists!$C:$C,Lists!$I:$I))</f>
        <v/>
      </c>
    </row>
    <row r="1226" spans="8:8">
      <c r="C1226">
        <f>_xlfn.XLOOKUP(B1226,Lists!B:B,Lists!A:A,"")</f>
        <v>0.0</v>
      </c>
      <c r="G1226" t="str">
        <f t="shared" si="111"/>
        <v/>
      </c>
      <c r="H1226" s="20" t="str">
        <f t="shared" si="112"/>
        <v/>
      </c>
      <c r="J1226" t="str">
        <f>IF(I1226="","",_xlfn.XLOOKUP(I1226,Lists!$C:$C,Lists!$D:$D))</f>
        <v/>
      </c>
      <c r="N1226" t="str">
        <f t="shared" si="113"/>
        <v/>
      </c>
      <c r="O1226" t="str">
        <f>IF(I1226="","",_xlfn.XLOOKUP(I1226,Lists!$C:$C,Lists!$J:$J))</f>
        <v/>
      </c>
      <c r="P1226" t="str">
        <f>IF(I1226="","",_xlfn.XLOOKUP(I1226,Lists!$C:$C,Lists!$E:$E))</f>
        <v/>
      </c>
      <c r="Q1226" s="21" t="str">
        <f t="shared" si="114"/>
        <v/>
      </c>
      <c r="R1226" t="str">
        <f t="shared" si="115"/>
        <v/>
      </c>
      <c r="S1226" t="str">
        <f>IF(I1226="","",_xlfn.XLOOKUP(I1226,Lists!$C:$C,Lists!$I:$I))</f>
        <v/>
      </c>
    </row>
    <row r="1227" spans="8:8">
      <c r="C1227">
        <f>_xlfn.XLOOKUP(B1227,Lists!B:B,Lists!A:A,"")</f>
        <v>0.0</v>
      </c>
      <c r="G1227" t="str">
        <f t="shared" si="111"/>
        <v/>
      </c>
      <c r="H1227" s="20" t="str">
        <f t="shared" si="112"/>
        <v/>
      </c>
      <c r="J1227" t="str">
        <f>IF(I1227="","",_xlfn.XLOOKUP(I1227,Lists!$C:$C,Lists!$D:$D))</f>
        <v/>
      </c>
      <c r="N1227" t="str">
        <f t="shared" si="113"/>
        <v/>
      </c>
      <c r="O1227" t="str">
        <f>IF(I1227="","",_xlfn.XLOOKUP(I1227,Lists!$C:$C,Lists!$J:$J))</f>
        <v/>
      </c>
      <c r="P1227" t="str">
        <f>IF(I1227="","",_xlfn.XLOOKUP(I1227,Lists!$C:$C,Lists!$E:$E))</f>
        <v/>
      </c>
      <c r="Q1227" s="21" t="str">
        <f t="shared" si="114"/>
        <v/>
      </c>
      <c r="R1227" t="str">
        <f t="shared" si="115"/>
        <v/>
      </c>
      <c r="S1227" t="str">
        <f>IF(I1227="","",_xlfn.XLOOKUP(I1227,Lists!$C:$C,Lists!$I:$I))</f>
        <v/>
      </c>
    </row>
    <row r="1228" spans="8:8">
      <c r="C1228">
        <f>_xlfn.XLOOKUP(B1228,Lists!B:B,Lists!A:A,"")</f>
        <v>0.0</v>
      </c>
      <c r="G1228" t="str">
        <f t="shared" si="111"/>
        <v/>
      </c>
      <c r="H1228" s="20" t="str">
        <f t="shared" si="112"/>
        <v/>
      </c>
      <c r="J1228" t="str">
        <f>IF(I1228="","",_xlfn.XLOOKUP(I1228,Lists!$C:$C,Lists!$D:$D))</f>
        <v/>
      </c>
      <c r="N1228" t="str">
        <f t="shared" si="113"/>
        <v/>
      </c>
      <c r="O1228" t="str">
        <f>IF(I1228="","",_xlfn.XLOOKUP(I1228,Lists!$C:$C,Lists!$J:$J))</f>
        <v/>
      </c>
      <c r="P1228" t="str">
        <f>IF(I1228="","",_xlfn.XLOOKUP(I1228,Lists!$C:$C,Lists!$E:$E))</f>
        <v/>
      </c>
      <c r="Q1228" s="21" t="str">
        <f t="shared" si="114"/>
        <v/>
      </c>
      <c r="R1228" t="str">
        <f t="shared" si="115"/>
        <v/>
      </c>
      <c r="S1228" t="str">
        <f>IF(I1228="","",_xlfn.XLOOKUP(I1228,Lists!$C:$C,Lists!$I:$I))</f>
        <v/>
      </c>
    </row>
    <row r="1229" spans="8:8">
      <c r="C1229">
        <f>_xlfn.XLOOKUP(B1229,Lists!B:B,Lists!A:A,"")</f>
        <v>0.0</v>
      </c>
      <c r="G1229" t="str">
        <f t="shared" si="111"/>
        <v/>
      </c>
      <c r="H1229" s="20" t="str">
        <f t="shared" si="112"/>
        <v/>
      </c>
      <c r="J1229" t="str">
        <f>IF(I1229="","",_xlfn.XLOOKUP(I1229,Lists!$C:$C,Lists!$D:$D))</f>
        <v/>
      </c>
      <c r="N1229" t="str">
        <f t="shared" si="113"/>
        <v/>
      </c>
      <c r="O1229" t="str">
        <f>IF(I1229="","",_xlfn.XLOOKUP(I1229,Lists!$C:$C,Lists!$J:$J))</f>
        <v/>
      </c>
      <c r="P1229" t="str">
        <f>IF(I1229="","",_xlfn.XLOOKUP(I1229,Lists!$C:$C,Lists!$E:$E))</f>
        <v/>
      </c>
      <c r="Q1229" s="21" t="str">
        <f t="shared" si="114"/>
        <v/>
      </c>
      <c r="R1229" t="str">
        <f t="shared" si="115"/>
        <v/>
      </c>
      <c r="S1229" t="str">
        <f>IF(I1229="","",_xlfn.XLOOKUP(I1229,Lists!$C:$C,Lists!$I:$I))</f>
        <v/>
      </c>
    </row>
    <row r="1230" spans="8:8">
      <c r="C1230">
        <f>_xlfn.XLOOKUP(B1230,Lists!B:B,Lists!A:A,"")</f>
        <v>0.0</v>
      </c>
      <c r="G1230" t="str">
        <f t="shared" si="111"/>
        <v/>
      </c>
      <c r="H1230" s="20" t="str">
        <f t="shared" si="112"/>
        <v/>
      </c>
      <c r="J1230" t="str">
        <f>IF(I1230="","",_xlfn.XLOOKUP(I1230,Lists!$C:$C,Lists!$D:$D))</f>
        <v/>
      </c>
      <c r="N1230" t="str">
        <f t="shared" si="113"/>
        <v/>
      </c>
      <c r="O1230" t="str">
        <f>IF(I1230="","",_xlfn.XLOOKUP(I1230,Lists!$C:$C,Lists!$J:$J))</f>
        <v/>
      </c>
      <c r="P1230" t="str">
        <f>IF(I1230="","",_xlfn.XLOOKUP(I1230,Lists!$C:$C,Lists!$E:$E))</f>
        <v/>
      </c>
      <c r="Q1230" s="21" t="str">
        <f t="shared" si="114"/>
        <v/>
      </c>
      <c r="R1230" t="str">
        <f t="shared" si="115"/>
        <v/>
      </c>
      <c r="S1230" t="str">
        <f>IF(I1230="","",_xlfn.XLOOKUP(I1230,Lists!$C:$C,Lists!$I:$I))</f>
        <v/>
      </c>
    </row>
    <row r="1231" spans="8:8">
      <c r="C1231">
        <f>_xlfn.XLOOKUP(B1231,Lists!B:B,Lists!A:A,"")</f>
        <v>0.0</v>
      </c>
      <c r="G1231" t="str">
        <f t="shared" si="111"/>
        <v/>
      </c>
      <c r="H1231" s="20" t="str">
        <f t="shared" si="112"/>
        <v/>
      </c>
      <c r="J1231" t="str">
        <f>IF(I1231="","",_xlfn.XLOOKUP(I1231,Lists!$C:$C,Lists!$D:$D))</f>
        <v/>
      </c>
      <c r="N1231" t="str">
        <f t="shared" si="113"/>
        <v/>
      </c>
      <c r="O1231" t="str">
        <f>IF(I1231="","",_xlfn.XLOOKUP(I1231,Lists!$C:$C,Lists!$J:$J))</f>
        <v/>
      </c>
      <c r="P1231" t="str">
        <f>IF(I1231="","",_xlfn.XLOOKUP(I1231,Lists!$C:$C,Lists!$E:$E))</f>
        <v/>
      </c>
      <c r="Q1231" s="21" t="str">
        <f t="shared" si="114"/>
        <v/>
      </c>
      <c r="R1231" t="str">
        <f t="shared" si="115"/>
        <v/>
      </c>
      <c r="S1231" t="str">
        <f>IF(I1231="","",_xlfn.XLOOKUP(I1231,Lists!$C:$C,Lists!$I:$I))</f>
        <v/>
      </c>
    </row>
    <row r="1232" spans="8:8">
      <c r="C1232">
        <f>_xlfn.XLOOKUP(B1232,Lists!B:B,Lists!A:A,"")</f>
        <v>0.0</v>
      </c>
      <c r="G1232" t="str">
        <f t="shared" si="111"/>
        <v/>
      </c>
      <c r="H1232" s="20" t="str">
        <f t="shared" si="112"/>
        <v/>
      </c>
      <c r="J1232" t="str">
        <f>IF(I1232="","",_xlfn.XLOOKUP(I1232,Lists!$C:$C,Lists!$D:$D))</f>
        <v/>
      </c>
      <c r="N1232" t="str">
        <f t="shared" si="113"/>
        <v/>
      </c>
      <c r="O1232" t="str">
        <f>IF(I1232="","",_xlfn.XLOOKUP(I1232,Lists!$C:$C,Lists!$J:$J))</f>
        <v/>
      </c>
      <c r="P1232" t="str">
        <f>IF(I1232="","",_xlfn.XLOOKUP(I1232,Lists!$C:$C,Lists!$E:$E))</f>
        <v/>
      </c>
      <c r="Q1232" s="21" t="str">
        <f t="shared" si="114"/>
        <v/>
      </c>
      <c r="R1232" t="str">
        <f t="shared" si="115"/>
        <v/>
      </c>
      <c r="S1232" t="str">
        <f>IF(I1232="","",_xlfn.XLOOKUP(I1232,Lists!$C:$C,Lists!$I:$I))</f>
        <v/>
      </c>
    </row>
    <row r="1233" spans="8:8">
      <c r="C1233">
        <f>_xlfn.XLOOKUP(B1233,Lists!B:B,Lists!A:A,"")</f>
        <v>0.0</v>
      </c>
      <c r="G1233" t="str">
        <f t="shared" si="111"/>
        <v/>
      </c>
      <c r="H1233" s="20" t="str">
        <f t="shared" si="112"/>
        <v/>
      </c>
      <c r="J1233" t="str">
        <f>IF(I1233="","",_xlfn.XLOOKUP(I1233,Lists!$C:$C,Lists!$D:$D))</f>
        <v/>
      </c>
      <c r="N1233" t="str">
        <f t="shared" si="113"/>
        <v/>
      </c>
      <c r="O1233" t="str">
        <f>IF(I1233="","",_xlfn.XLOOKUP(I1233,Lists!$C:$C,Lists!$J:$J))</f>
        <v/>
      </c>
      <c r="P1233" t="str">
        <f>IF(I1233="","",_xlfn.XLOOKUP(I1233,Lists!$C:$C,Lists!$E:$E))</f>
        <v/>
      </c>
      <c r="Q1233" s="21" t="str">
        <f t="shared" si="114"/>
        <v/>
      </c>
      <c r="R1233" t="str">
        <f t="shared" si="115"/>
        <v/>
      </c>
      <c r="S1233" t="str">
        <f>IF(I1233="","",_xlfn.XLOOKUP(I1233,Lists!$C:$C,Lists!$I:$I))</f>
        <v/>
      </c>
    </row>
    <row r="1234" spans="8:8">
      <c r="C1234">
        <f>_xlfn.XLOOKUP(B1234,Lists!B:B,Lists!A:A,"")</f>
        <v>0.0</v>
      </c>
      <c r="G1234" t="str">
        <f t="shared" si="111"/>
        <v/>
      </c>
      <c r="H1234" s="20" t="str">
        <f t="shared" si="112"/>
        <v/>
      </c>
      <c r="J1234" t="str">
        <f>IF(I1234="","",_xlfn.XLOOKUP(I1234,Lists!$C:$C,Lists!$D:$D))</f>
        <v/>
      </c>
      <c r="N1234" t="str">
        <f t="shared" si="113"/>
        <v/>
      </c>
      <c r="O1234" t="str">
        <f>IF(I1234="","",_xlfn.XLOOKUP(I1234,Lists!$C:$C,Lists!$J:$J))</f>
        <v/>
      </c>
      <c r="P1234" t="str">
        <f>IF(I1234="","",_xlfn.XLOOKUP(I1234,Lists!$C:$C,Lists!$E:$E))</f>
        <v/>
      </c>
      <c r="Q1234" s="21" t="str">
        <f t="shared" si="114"/>
        <v/>
      </c>
      <c r="R1234" t="str">
        <f t="shared" si="115"/>
        <v/>
      </c>
      <c r="S1234" t="str">
        <f>IF(I1234="","",_xlfn.XLOOKUP(I1234,Lists!$C:$C,Lists!$I:$I))</f>
        <v/>
      </c>
    </row>
    <row r="1235" spans="8:8">
      <c r="C1235">
        <f>_xlfn.XLOOKUP(B1235,Lists!B:B,Lists!A:A,"")</f>
        <v>0.0</v>
      </c>
      <c r="G1235" t="str">
        <f t="shared" si="111"/>
        <v/>
      </c>
      <c r="H1235" s="20" t="str">
        <f t="shared" si="112"/>
        <v/>
      </c>
      <c r="J1235" t="str">
        <f>IF(I1235="","",_xlfn.XLOOKUP(I1235,Lists!$C:$C,Lists!$D:$D))</f>
        <v/>
      </c>
      <c r="N1235" t="str">
        <f t="shared" si="113"/>
        <v/>
      </c>
      <c r="O1235" t="str">
        <f>IF(I1235="","",_xlfn.XLOOKUP(I1235,Lists!$C:$C,Lists!$J:$J))</f>
        <v/>
      </c>
      <c r="P1235" t="str">
        <f>IF(I1235="","",_xlfn.XLOOKUP(I1235,Lists!$C:$C,Lists!$E:$E))</f>
        <v/>
      </c>
      <c r="Q1235" s="21" t="str">
        <f t="shared" si="114"/>
        <v/>
      </c>
      <c r="R1235" t="str">
        <f t="shared" si="115"/>
        <v/>
      </c>
      <c r="S1235" t="str">
        <f>IF(I1235="","",_xlfn.XLOOKUP(I1235,Lists!$C:$C,Lists!$I:$I))</f>
        <v/>
      </c>
    </row>
    <row r="1236" spans="8:8">
      <c r="C1236">
        <f>_xlfn.XLOOKUP(B1236,Lists!B:B,Lists!A:A,"")</f>
        <v>0.0</v>
      </c>
      <c r="G1236" t="str">
        <f t="shared" si="111"/>
        <v/>
      </c>
      <c r="H1236" s="20" t="str">
        <f t="shared" si="112"/>
        <v/>
      </c>
      <c r="J1236" t="str">
        <f>IF(I1236="","",_xlfn.XLOOKUP(I1236,Lists!$C:$C,Lists!$D:$D))</f>
        <v/>
      </c>
      <c r="N1236" t="str">
        <f t="shared" si="113"/>
        <v/>
      </c>
      <c r="O1236" t="str">
        <f>IF(I1236="","",_xlfn.XLOOKUP(I1236,Lists!$C:$C,Lists!$J:$J))</f>
        <v/>
      </c>
      <c r="P1236" t="str">
        <f>IF(I1236="","",_xlfn.XLOOKUP(I1236,Lists!$C:$C,Lists!$E:$E))</f>
        <v/>
      </c>
      <c r="Q1236" s="21" t="str">
        <f t="shared" si="114"/>
        <v/>
      </c>
      <c r="R1236" t="str">
        <f t="shared" si="115"/>
        <v/>
      </c>
      <c r="S1236" t="str">
        <f>IF(I1236="","",_xlfn.XLOOKUP(I1236,Lists!$C:$C,Lists!$I:$I))</f>
        <v/>
      </c>
    </row>
    <row r="1237" spans="8:8">
      <c r="C1237">
        <f>_xlfn.XLOOKUP(B1237,Lists!B:B,Lists!A:A,"")</f>
        <v>0.0</v>
      </c>
      <c r="G1237" t="str">
        <f t="shared" si="111"/>
        <v/>
      </c>
      <c r="H1237" s="20" t="str">
        <f t="shared" si="112"/>
        <v/>
      </c>
      <c r="J1237" t="str">
        <f>IF(I1237="","",_xlfn.XLOOKUP(I1237,Lists!$C:$C,Lists!$D:$D))</f>
        <v/>
      </c>
      <c r="N1237" t="str">
        <f t="shared" si="113"/>
        <v/>
      </c>
      <c r="O1237" t="str">
        <f>IF(I1237="","",_xlfn.XLOOKUP(I1237,Lists!$C:$C,Lists!$J:$J))</f>
        <v/>
      </c>
      <c r="P1237" t="str">
        <f>IF(I1237="","",_xlfn.XLOOKUP(I1237,Lists!$C:$C,Lists!$E:$E))</f>
        <v/>
      </c>
      <c r="Q1237" s="21" t="str">
        <f t="shared" si="114"/>
        <v/>
      </c>
      <c r="R1237" t="str">
        <f t="shared" si="115"/>
        <v/>
      </c>
      <c r="S1237" t="str">
        <f>IF(I1237="","",_xlfn.XLOOKUP(I1237,Lists!$C:$C,Lists!$I:$I))</f>
        <v/>
      </c>
    </row>
    <row r="1238" spans="8:8">
      <c r="C1238">
        <f>_xlfn.XLOOKUP(B1238,Lists!B:B,Lists!A:A,"")</f>
        <v>0.0</v>
      </c>
      <c r="G1238" t="str">
        <f t="shared" si="111"/>
        <v/>
      </c>
      <c r="H1238" s="20" t="str">
        <f t="shared" si="112"/>
        <v/>
      </c>
      <c r="J1238" t="str">
        <f>IF(I1238="","",_xlfn.XLOOKUP(I1238,Lists!$C:$C,Lists!$D:$D))</f>
        <v/>
      </c>
      <c r="N1238" t="str">
        <f t="shared" si="113"/>
        <v/>
      </c>
      <c r="O1238" t="str">
        <f>IF(I1238="","",_xlfn.XLOOKUP(I1238,Lists!$C:$C,Lists!$J:$J))</f>
        <v/>
      </c>
      <c r="P1238" t="str">
        <f>IF(I1238="","",_xlfn.XLOOKUP(I1238,Lists!$C:$C,Lists!$E:$E))</f>
        <v/>
      </c>
      <c r="Q1238" s="21" t="str">
        <f t="shared" si="114"/>
        <v/>
      </c>
      <c r="R1238" t="str">
        <f t="shared" si="115"/>
        <v/>
      </c>
      <c r="S1238" t="str">
        <f>IF(I1238="","",_xlfn.XLOOKUP(I1238,Lists!$C:$C,Lists!$I:$I))</f>
        <v/>
      </c>
    </row>
    <row r="1239" spans="8:8">
      <c r="C1239">
        <f>_xlfn.XLOOKUP(B1239,Lists!B:B,Lists!A:A,"")</f>
        <v>0.0</v>
      </c>
      <c r="G1239" t="str">
        <f t="shared" si="111"/>
        <v/>
      </c>
      <c r="H1239" s="20" t="str">
        <f t="shared" si="112"/>
        <v/>
      </c>
      <c r="J1239" t="str">
        <f>IF(I1239="","",_xlfn.XLOOKUP(I1239,Lists!$C:$C,Lists!$D:$D))</f>
        <v/>
      </c>
      <c r="N1239" t="str">
        <f t="shared" si="113"/>
        <v/>
      </c>
      <c r="O1239" t="str">
        <f>IF(I1239="","",_xlfn.XLOOKUP(I1239,Lists!$C:$C,Lists!$J:$J))</f>
        <v/>
      </c>
      <c r="P1239" t="str">
        <f>IF(I1239="","",_xlfn.XLOOKUP(I1239,Lists!$C:$C,Lists!$E:$E))</f>
        <v/>
      </c>
      <c r="Q1239" s="21" t="str">
        <f t="shared" si="114"/>
        <v/>
      </c>
      <c r="R1239" t="str">
        <f t="shared" si="115"/>
        <v/>
      </c>
      <c r="S1239" t="str">
        <f>IF(I1239="","",_xlfn.XLOOKUP(I1239,Lists!$C:$C,Lists!$I:$I))</f>
        <v/>
      </c>
    </row>
    <row r="1240" spans="8:8">
      <c r="C1240">
        <f>_xlfn.XLOOKUP(B1240,Lists!B:B,Lists!A:A,"")</f>
        <v>0.0</v>
      </c>
      <c r="G1240" t="str">
        <f t="shared" si="111"/>
        <v/>
      </c>
      <c r="H1240" s="20" t="str">
        <f t="shared" si="112"/>
        <v/>
      </c>
      <c r="J1240" t="str">
        <f>IF(I1240="","",_xlfn.XLOOKUP(I1240,Lists!$C:$C,Lists!$D:$D))</f>
        <v/>
      </c>
      <c r="N1240" t="str">
        <f t="shared" si="113"/>
        <v/>
      </c>
      <c r="O1240" t="str">
        <f>IF(I1240="","",_xlfn.XLOOKUP(I1240,Lists!$C:$C,Lists!$J:$J))</f>
        <v/>
      </c>
      <c r="P1240" t="str">
        <f>IF(I1240="","",_xlfn.XLOOKUP(I1240,Lists!$C:$C,Lists!$E:$E))</f>
        <v/>
      </c>
      <c r="Q1240" s="21" t="str">
        <f t="shared" si="114"/>
        <v/>
      </c>
      <c r="R1240" t="str">
        <f t="shared" si="115"/>
        <v/>
      </c>
      <c r="S1240" t="str">
        <f>IF(I1240="","",_xlfn.XLOOKUP(I1240,Lists!$C:$C,Lists!$I:$I))</f>
        <v/>
      </c>
    </row>
    <row r="1241" spans="8:8">
      <c r="C1241">
        <f>_xlfn.XLOOKUP(B1241,Lists!B:B,Lists!A:A,"")</f>
        <v>0.0</v>
      </c>
      <c r="G1241" t="str">
        <f t="shared" si="111"/>
        <v/>
      </c>
      <c r="H1241" s="20" t="str">
        <f t="shared" si="112"/>
        <v/>
      </c>
      <c r="J1241" t="str">
        <f>IF(I1241="","",_xlfn.XLOOKUP(I1241,Lists!$C:$C,Lists!$D:$D))</f>
        <v/>
      </c>
      <c r="N1241" t="str">
        <f t="shared" si="113"/>
        <v/>
      </c>
      <c r="O1241" t="str">
        <f>IF(I1241="","",_xlfn.XLOOKUP(I1241,Lists!$C:$C,Lists!$J:$J))</f>
        <v/>
      </c>
      <c r="P1241" t="str">
        <f>IF(I1241="","",_xlfn.XLOOKUP(I1241,Lists!$C:$C,Lists!$E:$E))</f>
        <v/>
      </c>
      <c r="Q1241" s="21" t="str">
        <f t="shared" si="114"/>
        <v/>
      </c>
      <c r="R1241" t="str">
        <f t="shared" si="115"/>
        <v/>
      </c>
      <c r="S1241" t="str">
        <f>IF(I1241="","",_xlfn.XLOOKUP(I1241,Lists!$C:$C,Lists!$I:$I))</f>
        <v/>
      </c>
    </row>
    <row r="1242" spans="8:8">
      <c r="C1242">
        <f>_xlfn.XLOOKUP(B1242,Lists!B:B,Lists!A:A,"")</f>
        <v>0.0</v>
      </c>
      <c r="G1242" t="str">
        <f t="shared" si="111"/>
        <v/>
      </c>
      <c r="H1242" s="20" t="str">
        <f t="shared" si="112"/>
        <v/>
      </c>
      <c r="J1242" t="str">
        <f>IF(I1242="","",_xlfn.XLOOKUP(I1242,Lists!$C:$C,Lists!$D:$D))</f>
        <v/>
      </c>
      <c r="N1242" t="str">
        <f t="shared" si="113"/>
        <v/>
      </c>
      <c r="O1242" t="str">
        <f>IF(I1242="","",_xlfn.XLOOKUP(I1242,Lists!$C:$C,Lists!$J:$J))</f>
        <v/>
      </c>
      <c r="P1242" t="str">
        <f>IF(I1242="","",_xlfn.XLOOKUP(I1242,Lists!$C:$C,Lists!$E:$E))</f>
        <v/>
      </c>
      <c r="Q1242" s="21" t="str">
        <f t="shared" si="114"/>
        <v/>
      </c>
      <c r="R1242" t="str">
        <f t="shared" si="115"/>
        <v/>
      </c>
      <c r="S1242" t="str">
        <f>IF(I1242="","",_xlfn.XLOOKUP(I1242,Lists!$C:$C,Lists!$I:$I))</f>
        <v/>
      </c>
    </row>
    <row r="1243" spans="8:8">
      <c r="C1243">
        <f>_xlfn.XLOOKUP(B1243,Lists!B:B,Lists!A:A,"")</f>
        <v>0.0</v>
      </c>
      <c r="G1243" t="str">
        <f t="shared" si="111"/>
        <v/>
      </c>
      <c r="H1243" s="20" t="str">
        <f t="shared" si="112"/>
        <v/>
      </c>
      <c r="J1243" t="str">
        <f>IF(I1243="","",_xlfn.XLOOKUP(I1243,Lists!$C:$C,Lists!$D:$D))</f>
        <v/>
      </c>
      <c r="N1243" t="str">
        <f t="shared" si="113"/>
        <v/>
      </c>
      <c r="O1243" t="str">
        <f>IF(I1243="","",_xlfn.XLOOKUP(I1243,Lists!$C:$C,Lists!$J:$J))</f>
        <v/>
      </c>
      <c r="P1243" t="str">
        <f>IF(I1243="","",_xlfn.XLOOKUP(I1243,Lists!$C:$C,Lists!$E:$E))</f>
        <v/>
      </c>
      <c r="Q1243" s="21" t="str">
        <f t="shared" si="114"/>
        <v/>
      </c>
      <c r="R1243" t="str">
        <f t="shared" si="115"/>
        <v/>
      </c>
      <c r="S1243" t="str">
        <f>IF(I1243="","",_xlfn.XLOOKUP(I1243,Lists!$C:$C,Lists!$I:$I))</f>
        <v/>
      </c>
    </row>
    <row r="1244" spans="8:8">
      <c r="C1244">
        <f>_xlfn.XLOOKUP(B1244,Lists!B:B,Lists!A:A,"")</f>
        <v>0.0</v>
      </c>
      <c r="G1244" t="str">
        <f t="shared" si="111"/>
        <v/>
      </c>
      <c r="H1244" s="20" t="str">
        <f t="shared" si="112"/>
        <v/>
      </c>
      <c r="J1244" t="str">
        <f>IF(I1244="","",_xlfn.XLOOKUP(I1244,Lists!$C:$C,Lists!$D:$D))</f>
        <v/>
      </c>
      <c r="N1244" t="str">
        <f t="shared" si="113"/>
        <v/>
      </c>
      <c r="O1244" t="str">
        <f>IF(I1244="","",_xlfn.XLOOKUP(I1244,Lists!$C:$C,Lists!$J:$J))</f>
        <v/>
      </c>
      <c r="P1244" t="str">
        <f>IF(I1244="","",_xlfn.XLOOKUP(I1244,Lists!$C:$C,Lists!$E:$E))</f>
        <v/>
      </c>
      <c r="Q1244" s="21" t="str">
        <f t="shared" si="114"/>
        <v/>
      </c>
      <c r="R1244" t="str">
        <f t="shared" si="115"/>
        <v/>
      </c>
      <c r="S1244" t="str">
        <f>IF(I1244="","",_xlfn.XLOOKUP(I1244,Lists!$C:$C,Lists!$I:$I))</f>
        <v/>
      </c>
    </row>
    <row r="1245" spans="8:8">
      <c r="C1245">
        <f>_xlfn.XLOOKUP(B1245,Lists!B:B,Lists!A:A,"")</f>
        <v>0.0</v>
      </c>
      <c r="G1245" t="str">
        <f t="shared" si="111"/>
        <v/>
      </c>
      <c r="H1245" s="20" t="str">
        <f t="shared" si="112"/>
        <v/>
      </c>
      <c r="J1245" t="str">
        <f>IF(I1245="","",_xlfn.XLOOKUP(I1245,Lists!$C:$C,Lists!$D:$D))</f>
        <v/>
      </c>
      <c r="N1245" t="str">
        <f t="shared" si="113"/>
        <v/>
      </c>
      <c r="O1245" t="str">
        <f>IF(I1245="","",_xlfn.XLOOKUP(I1245,Lists!$C:$C,Lists!$J:$J))</f>
        <v/>
      </c>
      <c r="P1245" t="str">
        <f>IF(I1245="","",_xlfn.XLOOKUP(I1245,Lists!$C:$C,Lists!$E:$E))</f>
        <v/>
      </c>
      <c r="Q1245" s="21" t="str">
        <f t="shared" si="114"/>
        <v/>
      </c>
      <c r="R1245" t="str">
        <f t="shared" si="115"/>
        <v/>
      </c>
      <c r="S1245" t="str">
        <f>IF(I1245="","",_xlfn.XLOOKUP(I1245,Lists!$C:$C,Lists!$I:$I))</f>
        <v/>
      </c>
    </row>
    <row r="1246" spans="8:8">
      <c r="C1246">
        <f>_xlfn.XLOOKUP(B1246,Lists!B:B,Lists!A:A,"")</f>
        <v>0.0</v>
      </c>
      <c r="G1246" t="str">
        <f t="shared" si="111"/>
        <v/>
      </c>
      <c r="H1246" s="20" t="str">
        <f t="shared" si="112"/>
        <v/>
      </c>
      <c r="J1246" t="str">
        <f>IF(I1246="","",_xlfn.XLOOKUP(I1246,Lists!$C:$C,Lists!$D:$D))</f>
        <v/>
      </c>
      <c r="N1246" t="str">
        <f t="shared" si="113"/>
        <v/>
      </c>
      <c r="O1246" t="str">
        <f>IF(I1246="","",_xlfn.XLOOKUP(I1246,Lists!$C:$C,Lists!$J:$J))</f>
        <v/>
      </c>
      <c r="P1246" t="str">
        <f>IF(I1246="","",_xlfn.XLOOKUP(I1246,Lists!$C:$C,Lists!$E:$E))</f>
        <v/>
      </c>
      <c r="Q1246" s="21" t="str">
        <f t="shared" si="114"/>
        <v/>
      </c>
      <c r="R1246" t="str">
        <f t="shared" si="115"/>
        <v/>
      </c>
      <c r="S1246" t="str">
        <f>IF(I1246="","",_xlfn.XLOOKUP(I1246,Lists!$C:$C,Lists!$I:$I))</f>
        <v/>
      </c>
    </row>
    <row r="1247" spans="8:8">
      <c r="C1247">
        <f>_xlfn.XLOOKUP(B1247,Lists!B:B,Lists!A:A,"")</f>
        <v>0.0</v>
      </c>
      <c r="G1247" t="str">
        <f t="shared" si="116" ref="G1247:G1260">IF(OR(E1247="",F1247=""),"",F1247-E1247+1)</f>
        <v/>
      </c>
      <c r="H1247" s="20" t="str">
        <f t="shared" si="117" ref="H1247:H1260">IF(D1247="","",IF(OR(D1247="A",D1247="B"),G1247/80,IF(D1247="A&amp;B",G1247/160,"")))</f>
        <v/>
      </c>
      <c r="J1247" t="str">
        <f>IF(I1247="","",_xlfn.XLOOKUP(I1247,Lists!$C:$C,Lists!$D:$D))</f>
        <v/>
      </c>
      <c r="N1247" t="str">
        <f t="shared" si="118" ref="N1247:N1260">IF(OR(M1247="",L1247=""),"",(M1247*L1247)/100000)</f>
        <v/>
      </c>
      <c r="O1247" t="str">
        <f>IF(I1247="","",_xlfn.XLOOKUP(I1247,Lists!$C:$C,Lists!$J:$J))</f>
        <v/>
      </c>
      <c r="P1247" t="str">
        <f>IF(I1247="","",_xlfn.XLOOKUP(I1247,Lists!$C:$C,Lists!$E:$E))</f>
        <v/>
      </c>
      <c r="Q1247" s="21" t="str">
        <f t="shared" si="119" ref="Q1247:Q1260">IF(OR(A1247="",P1247=""),"",A1247+P1247+1)</f>
        <v/>
      </c>
      <c r="R1247" t="str">
        <f t="shared" si="120" ref="R1247:R1260">IF(Q1247="","",IF(Q1247&lt;=TODAY(),"Allow","Not Allow"))</f>
        <v/>
      </c>
      <c r="S1247" t="str">
        <f>IF(I1247="","",_xlfn.XLOOKUP(I1247,Lists!$C:$C,Lists!$I:$I))</f>
        <v/>
      </c>
    </row>
    <row r="1248" spans="8:8">
      <c r="C1248">
        <f>_xlfn.XLOOKUP(B1248,Lists!B:B,Lists!A:A,"")</f>
        <v>0.0</v>
      </c>
      <c r="G1248" t="str">
        <f t="shared" si="116"/>
        <v/>
      </c>
      <c r="H1248" s="20" t="str">
        <f t="shared" si="117"/>
        <v/>
      </c>
      <c r="J1248" t="str">
        <f>IF(I1248="","",_xlfn.XLOOKUP(I1248,Lists!$C:$C,Lists!$D:$D))</f>
        <v/>
      </c>
      <c r="N1248" t="str">
        <f t="shared" si="118"/>
        <v/>
      </c>
      <c r="O1248" t="str">
        <f>IF(I1248="","",_xlfn.XLOOKUP(I1248,Lists!$C:$C,Lists!$J:$J))</f>
        <v/>
      </c>
      <c r="P1248" t="str">
        <f>IF(I1248="","",_xlfn.XLOOKUP(I1248,Lists!$C:$C,Lists!$E:$E))</f>
        <v/>
      </c>
      <c r="Q1248" s="21" t="str">
        <f t="shared" si="119"/>
        <v/>
      </c>
      <c r="R1248" t="str">
        <f t="shared" si="120"/>
        <v/>
      </c>
      <c r="S1248" t="str">
        <f>IF(I1248="","",_xlfn.XLOOKUP(I1248,Lists!$C:$C,Lists!$I:$I))</f>
        <v/>
      </c>
    </row>
    <row r="1249" spans="8:8">
      <c r="C1249">
        <f>_xlfn.XLOOKUP(B1249,Lists!B:B,Lists!A:A,"")</f>
        <v>0.0</v>
      </c>
      <c r="G1249" t="str">
        <f t="shared" si="116"/>
        <v/>
      </c>
      <c r="H1249" s="20" t="str">
        <f t="shared" si="117"/>
        <v/>
      </c>
      <c r="J1249" t="str">
        <f>IF(I1249="","",_xlfn.XLOOKUP(I1249,Lists!$C:$C,Lists!$D:$D))</f>
        <v/>
      </c>
      <c r="N1249" t="str">
        <f t="shared" si="118"/>
        <v/>
      </c>
      <c r="O1249" t="str">
        <f>IF(I1249="","",_xlfn.XLOOKUP(I1249,Lists!$C:$C,Lists!$J:$J))</f>
        <v/>
      </c>
      <c r="P1249" t="str">
        <f>IF(I1249="","",_xlfn.XLOOKUP(I1249,Lists!$C:$C,Lists!$E:$E))</f>
        <v/>
      </c>
      <c r="Q1249" s="21" t="str">
        <f t="shared" si="119"/>
        <v/>
      </c>
      <c r="R1249" t="str">
        <f t="shared" si="120"/>
        <v/>
      </c>
      <c r="S1249" t="str">
        <f>IF(I1249="","",_xlfn.XLOOKUP(I1249,Lists!$C:$C,Lists!$I:$I))</f>
        <v/>
      </c>
    </row>
    <row r="1250" spans="8:8">
      <c r="C1250">
        <f>_xlfn.XLOOKUP(B1250,Lists!B:B,Lists!A:A,"")</f>
        <v>0.0</v>
      </c>
      <c r="G1250" t="str">
        <f t="shared" si="116"/>
        <v/>
      </c>
      <c r="H1250" s="20" t="str">
        <f t="shared" si="117"/>
        <v/>
      </c>
      <c r="J1250" t="str">
        <f>IF(I1250="","",_xlfn.XLOOKUP(I1250,Lists!$C:$C,Lists!$D:$D))</f>
        <v/>
      </c>
      <c r="N1250" t="str">
        <f t="shared" si="118"/>
        <v/>
      </c>
      <c r="O1250" t="str">
        <f>IF(I1250="","",_xlfn.XLOOKUP(I1250,Lists!$C:$C,Lists!$J:$J))</f>
        <v/>
      </c>
      <c r="P1250" t="str">
        <f>IF(I1250="","",_xlfn.XLOOKUP(I1250,Lists!$C:$C,Lists!$E:$E))</f>
        <v/>
      </c>
      <c r="Q1250" s="21" t="str">
        <f t="shared" si="119"/>
        <v/>
      </c>
      <c r="R1250" t="str">
        <f t="shared" si="120"/>
        <v/>
      </c>
      <c r="S1250" t="str">
        <f>IF(I1250="","",_xlfn.XLOOKUP(I1250,Lists!$C:$C,Lists!$I:$I))</f>
        <v/>
      </c>
    </row>
    <row r="1251" spans="8:8">
      <c r="C1251">
        <f>_xlfn.XLOOKUP(B1251,Lists!B:B,Lists!A:A,"")</f>
        <v>0.0</v>
      </c>
      <c r="G1251" t="str">
        <f t="shared" si="116"/>
        <v/>
      </c>
      <c r="H1251" s="20" t="str">
        <f t="shared" si="117"/>
        <v/>
      </c>
      <c r="J1251" t="str">
        <f>IF(I1251="","",_xlfn.XLOOKUP(I1251,Lists!$C:$C,Lists!$D:$D))</f>
        <v/>
      </c>
      <c r="N1251" t="str">
        <f t="shared" si="118"/>
        <v/>
      </c>
      <c r="O1251" t="str">
        <f>IF(I1251="","",_xlfn.XLOOKUP(I1251,Lists!$C:$C,Lists!$J:$J))</f>
        <v/>
      </c>
      <c r="P1251" t="str">
        <f>IF(I1251="","",_xlfn.XLOOKUP(I1251,Lists!$C:$C,Lists!$E:$E))</f>
        <v/>
      </c>
      <c r="Q1251" s="21" t="str">
        <f t="shared" si="119"/>
        <v/>
      </c>
      <c r="R1251" t="str">
        <f t="shared" si="120"/>
        <v/>
      </c>
      <c r="S1251" t="str">
        <f>IF(I1251="","",_xlfn.XLOOKUP(I1251,Lists!$C:$C,Lists!$I:$I))</f>
        <v/>
      </c>
    </row>
    <row r="1252" spans="8:8">
      <c r="C1252">
        <f>_xlfn.XLOOKUP(B1252,Lists!B:B,Lists!A:A,"")</f>
        <v>0.0</v>
      </c>
      <c r="G1252" t="str">
        <f t="shared" si="116"/>
        <v/>
      </c>
      <c r="H1252" s="20" t="str">
        <f t="shared" si="117"/>
        <v/>
      </c>
      <c r="J1252" t="str">
        <f>IF(I1252="","",_xlfn.XLOOKUP(I1252,Lists!$C:$C,Lists!$D:$D))</f>
        <v/>
      </c>
      <c r="N1252" t="str">
        <f t="shared" si="118"/>
        <v/>
      </c>
      <c r="O1252" t="str">
        <f>IF(I1252="","",_xlfn.XLOOKUP(I1252,Lists!$C:$C,Lists!$J:$J))</f>
        <v/>
      </c>
      <c r="P1252" t="str">
        <f>IF(I1252="","",_xlfn.XLOOKUP(I1252,Lists!$C:$C,Lists!$E:$E))</f>
        <v/>
      </c>
      <c r="Q1252" s="21" t="str">
        <f t="shared" si="119"/>
        <v/>
      </c>
      <c r="R1252" t="str">
        <f t="shared" si="120"/>
        <v/>
      </c>
      <c r="S1252" t="str">
        <f>IF(I1252="","",_xlfn.XLOOKUP(I1252,Lists!$C:$C,Lists!$I:$I))</f>
        <v/>
      </c>
    </row>
    <row r="1253" spans="8:8">
      <c r="C1253">
        <f>_xlfn.XLOOKUP(B1253,Lists!B:B,Lists!A:A,"")</f>
        <v>0.0</v>
      </c>
      <c r="G1253" t="str">
        <f t="shared" si="116"/>
        <v/>
      </c>
      <c r="H1253" s="20" t="str">
        <f t="shared" si="117"/>
        <v/>
      </c>
      <c r="J1253" t="str">
        <f>IF(I1253="","",_xlfn.XLOOKUP(I1253,Lists!$C:$C,Lists!$D:$D))</f>
        <v/>
      </c>
      <c r="N1253" t="str">
        <f t="shared" si="118"/>
        <v/>
      </c>
      <c r="O1253" t="str">
        <f>IF(I1253="","",_xlfn.XLOOKUP(I1253,Lists!$C:$C,Lists!$J:$J))</f>
        <v/>
      </c>
      <c r="P1253" t="str">
        <f>IF(I1253="","",_xlfn.XLOOKUP(I1253,Lists!$C:$C,Lists!$E:$E))</f>
        <v/>
      </c>
      <c r="Q1253" s="21" t="str">
        <f t="shared" si="119"/>
        <v/>
      </c>
      <c r="R1253" t="str">
        <f t="shared" si="120"/>
        <v/>
      </c>
      <c r="S1253" t="str">
        <f>IF(I1253="","",_xlfn.XLOOKUP(I1253,Lists!$C:$C,Lists!$I:$I))</f>
        <v/>
      </c>
    </row>
    <row r="1254" spans="8:8">
      <c r="C1254">
        <f>_xlfn.XLOOKUP(B1254,Lists!B:B,Lists!A:A,"")</f>
        <v>0.0</v>
      </c>
      <c r="G1254" t="str">
        <f t="shared" si="116"/>
        <v/>
      </c>
      <c r="H1254" s="20" t="str">
        <f t="shared" si="117"/>
        <v/>
      </c>
      <c r="J1254" t="str">
        <f>IF(I1254="","",_xlfn.XLOOKUP(I1254,Lists!$C:$C,Lists!$D:$D))</f>
        <v/>
      </c>
      <c r="N1254" t="str">
        <f t="shared" si="118"/>
        <v/>
      </c>
      <c r="O1254" t="str">
        <f>IF(I1254="","",_xlfn.XLOOKUP(I1254,Lists!$C:$C,Lists!$J:$J))</f>
        <v/>
      </c>
      <c r="P1254" t="str">
        <f>IF(I1254="","",_xlfn.XLOOKUP(I1254,Lists!$C:$C,Lists!$E:$E))</f>
        <v/>
      </c>
      <c r="Q1254" s="21" t="str">
        <f t="shared" si="119"/>
        <v/>
      </c>
      <c r="R1254" t="str">
        <f t="shared" si="120"/>
        <v/>
      </c>
      <c r="S1254" t="str">
        <f>IF(I1254="","",_xlfn.XLOOKUP(I1254,Lists!$C:$C,Lists!$I:$I))</f>
        <v/>
      </c>
    </row>
    <row r="1255" spans="8:8">
      <c r="C1255">
        <f>_xlfn.XLOOKUP(B1255,Lists!B:B,Lists!A:A,"")</f>
        <v>0.0</v>
      </c>
      <c r="G1255" t="str">
        <f t="shared" si="116"/>
        <v/>
      </c>
      <c r="H1255" s="20" t="str">
        <f t="shared" si="117"/>
        <v/>
      </c>
      <c r="J1255" t="str">
        <f>IF(I1255="","",_xlfn.XLOOKUP(I1255,Lists!$C:$C,Lists!$D:$D))</f>
        <v/>
      </c>
      <c r="N1255" t="str">
        <f t="shared" si="118"/>
        <v/>
      </c>
      <c r="O1255" t="str">
        <f>IF(I1255="","",_xlfn.XLOOKUP(I1255,Lists!$C:$C,Lists!$J:$J))</f>
        <v/>
      </c>
      <c r="P1255" t="str">
        <f>IF(I1255="","",_xlfn.XLOOKUP(I1255,Lists!$C:$C,Lists!$E:$E))</f>
        <v/>
      </c>
      <c r="Q1255" s="21" t="str">
        <f t="shared" si="119"/>
        <v/>
      </c>
      <c r="R1255" t="str">
        <f t="shared" si="120"/>
        <v/>
      </c>
      <c r="S1255" t="str">
        <f>IF(I1255="","",_xlfn.XLOOKUP(I1255,Lists!$C:$C,Lists!$I:$I))</f>
        <v/>
      </c>
    </row>
    <row r="1256" spans="8:8">
      <c r="C1256">
        <f>_xlfn.XLOOKUP(B1256,Lists!B:B,Lists!A:A,"")</f>
        <v>0.0</v>
      </c>
      <c r="G1256" t="str">
        <f t="shared" si="116"/>
        <v/>
      </c>
      <c r="H1256" s="20" t="str">
        <f t="shared" si="117"/>
        <v/>
      </c>
      <c r="J1256" t="str">
        <f>IF(I1256="","",_xlfn.XLOOKUP(I1256,Lists!$C:$C,Lists!$D:$D))</f>
        <v/>
      </c>
      <c r="N1256" t="str">
        <f t="shared" si="118"/>
        <v/>
      </c>
      <c r="O1256" t="str">
        <f>IF(I1256="","",_xlfn.XLOOKUP(I1256,Lists!$C:$C,Lists!$J:$J))</f>
        <v/>
      </c>
      <c r="P1256" t="str">
        <f>IF(I1256="","",_xlfn.XLOOKUP(I1256,Lists!$C:$C,Lists!$E:$E))</f>
        <v/>
      </c>
      <c r="Q1256" s="21" t="str">
        <f t="shared" si="119"/>
        <v/>
      </c>
      <c r="R1256" t="str">
        <f t="shared" si="120"/>
        <v/>
      </c>
      <c r="S1256" t="str">
        <f>IF(I1256="","",_xlfn.XLOOKUP(I1256,Lists!$C:$C,Lists!$I:$I))</f>
        <v/>
      </c>
    </row>
    <row r="1257" spans="8:8">
      <c r="C1257">
        <f>_xlfn.XLOOKUP(B1257,Lists!B:B,Lists!A:A,"")</f>
        <v>0.0</v>
      </c>
      <c r="G1257" t="str">
        <f t="shared" si="116"/>
        <v/>
      </c>
      <c r="H1257" s="20" t="str">
        <f t="shared" si="117"/>
        <v/>
      </c>
      <c r="J1257" t="str">
        <f>IF(I1257="","",_xlfn.XLOOKUP(I1257,Lists!$C:$C,Lists!$D:$D))</f>
        <v/>
      </c>
      <c r="N1257" t="str">
        <f t="shared" si="118"/>
        <v/>
      </c>
      <c r="O1257" t="str">
        <f>IF(I1257="","",_xlfn.XLOOKUP(I1257,Lists!$C:$C,Lists!$J:$J))</f>
        <v/>
      </c>
      <c r="P1257" t="str">
        <f>IF(I1257="","",_xlfn.XLOOKUP(I1257,Lists!$C:$C,Lists!$E:$E))</f>
        <v/>
      </c>
      <c r="Q1257" s="21" t="str">
        <f t="shared" si="119"/>
        <v/>
      </c>
      <c r="R1257" t="str">
        <f t="shared" si="120"/>
        <v/>
      </c>
      <c r="S1257" t="str">
        <f>IF(I1257="","",_xlfn.XLOOKUP(I1257,Lists!$C:$C,Lists!$I:$I))</f>
        <v/>
      </c>
    </row>
    <row r="1258" spans="8:8">
      <c r="C1258">
        <f>_xlfn.XLOOKUP(B1258,Lists!B:B,Lists!A:A,"")</f>
        <v>0.0</v>
      </c>
      <c r="G1258" t="str">
        <f t="shared" si="116"/>
        <v/>
      </c>
      <c r="H1258" s="20" t="str">
        <f t="shared" si="117"/>
        <v/>
      </c>
      <c r="J1258" t="str">
        <f>IF(I1258="","",_xlfn.XLOOKUP(I1258,Lists!$C:$C,Lists!$D:$D))</f>
        <v/>
      </c>
      <c r="N1258" t="str">
        <f t="shared" si="118"/>
        <v/>
      </c>
      <c r="O1258" t="str">
        <f>IF(I1258="","",_xlfn.XLOOKUP(I1258,Lists!$C:$C,Lists!$J:$J))</f>
        <v/>
      </c>
      <c r="P1258" t="str">
        <f>IF(I1258="","",_xlfn.XLOOKUP(I1258,Lists!$C:$C,Lists!$E:$E))</f>
        <v/>
      </c>
      <c r="Q1258" s="21" t="str">
        <f t="shared" si="119"/>
        <v/>
      </c>
      <c r="R1258" t="str">
        <f t="shared" si="120"/>
        <v/>
      </c>
      <c r="S1258" t="str">
        <f>IF(I1258="","",_xlfn.XLOOKUP(I1258,Lists!$C:$C,Lists!$I:$I))</f>
        <v/>
      </c>
    </row>
    <row r="1259" spans="8:8">
      <c r="C1259">
        <f>_xlfn.XLOOKUP(B1259,Lists!B:B,Lists!A:A,"")</f>
        <v>0.0</v>
      </c>
      <c r="G1259" t="str">
        <f t="shared" si="116"/>
        <v/>
      </c>
      <c r="H1259" s="20" t="str">
        <f t="shared" si="117"/>
        <v/>
      </c>
      <c r="J1259" t="str">
        <f>IF(I1259="","",_xlfn.XLOOKUP(I1259,Lists!$C:$C,Lists!$D:$D))</f>
        <v/>
      </c>
      <c r="N1259" t="str">
        <f t="shared" si="118"/>
        <v/>
      </c>
      <c r="O1259" t="str">
        <f>IF(I1259="","",_xlfn.XLOOKUP(I1259,Lists!$C:$C,Lists!$J:$J))</f>
        <v/>
      </c>
      <c r="P1259" t="str">
        <f>IF(I1259="","",_xlfn.XLOOKUP(I1259,Lists!$C:$C,Lists!$E:$E))</f>
        <v/>
      </c>
      <c r="Q1259" s="21" t="str">
        <f t="shared" si="119"/>
        <v/>
      </c>
      <c r="R1259" t="str">
        <f t="shared" si="120"/>
        <v/>
      </c>
      <c r="S1259" t="str">
        <f>IF(I1259="","",_xlfn.XLOOKUP(I1259,Lists!$C:$C,Lists!$I:$I))</f>
        <v/>
      </c>
    </row>
    <row r="1260" spans="8:8">
      <c r="C1260">
        <f>_xlfn.XLOOKUP(B1260,Lists!B:B,Lists!A:A,"")</f>
        <v>0.0</v>
      </c>
      <c r="G1260" t="str">
        <f t="shared" si="116"/>
        <v/>
      </c>
      <c r="H1260" s="20" t="str">
        <f t="shared" si="117"/>
        <v/>
      </c>
      <c r="J1260" t="str">
        <f>IF(I1260="","",_xlfn.XLOOKUP(I1260,Lists!$C:$C,Lists!$D:$D))</f>
        <v/>
      </c>
      <c r="N1260" t="str">
        <f t="shared" si="118"/>
        <v/>
      </c>
      <c r="O1260" t="str">
        <f>IF(I1260="","",_xlfn.XLOOKUP(I1260,Lists!$C:$C,Lists!$J:$J))</f>
        <v/>
      </c>
      <c r="P1260" t="str">
        <f>IF(I1260="","",_xlfn.XLOOKUP(I1260,Lists!$C:$C,Lists!$E:$E))</f>
        <v/>
      </c>
      <c r="Q1260" s="21" t="str">
        <f t="shared" si="119"/>
        <v/>
      </c>
      <c r="R1260" t="str">
        <f t="shared" si="120"/>
        <v/>
      </c>
      <c r="S1260" t="str">
        <f>IF(I1260="","",_xlfn.XLOOKUP(I1260,Lists!$C:$C,Lists!$I:$I))</f>
        <v/>
      </c>
    </row>
    <row r="1261" spans="8:8">
      <c r="C1261">
        <f>_xlfn.XLOOKUP(B1261,Lists!B:B,Lists!A:A,"")</f>
        <v>0.0</v>
      </c>
      <c r="G1261" t="str">
        <f t="shared" si="121" ref="G1261:G1299">IF(OR(E1261="",F1261=""),"",F1261-E1261+1)</f>
        <v/>
      </c>
      <c r="H1261" s="20" t="str">
        <f t="shared" si="122" ref="H1261:H1299">IF(D1261="","",IF(OR(D1261="A",D1261="B"),G1261/80,IF(D1261="A&amp;B",G1261/160,"")))</f>
        <v/>
      </c>
      <c r="J1261" t="str">
        <f>IF(I1261="","",_xlfn.XLOOKUP(I1261,Lists!$C:$C,Lists!$D:$D))</f>
        <v/>
      </c>
      <c r="N1261" t="str">
        <f t="shared" si="123" ref="N1261:N1299">IF(OR(M1261="",L1261=""),"",(M1261*L1261)/100000)</f>
        <v/>
      </c>
      <c r="O1261" t="str">
        <f>IF(I1261="","",_xlfn.XLOOKUP(I1261,Lists!$C:$C,Lists!$J:$J))</f>
        <v/>
      </c>
      <c r="P1261" t="str">
        <f>IF(I1261="","",_xlfn.XLOOKUP(I1261,Lists!$C:$C,Lists!$E:$E))</f>
        <v/>
      </c>
      <c r="Q1261" s="21" t="str">
        <f t="shared" si="124" ref="Q1261:Q1299">IF(OR(A1261="",P1261=""),"",A1261+P1261+1)</f>
        <v/>
      </c>
      <c r="R1261" t="str">
        <f t="shared" si="125" ref="R1261:R1299">IF(Q1261="","",IF(Q1261&lt;=TODAY(),"Allow","Not Allow"))</f>
        <v/>
      </c>
      <c r="S1261" t="str">
        <f>IF(I1261="","",_xlfn.XLOOKUP(I1261,Lists!$C:$C,Lists!$I:$I))</f>
        <v/>
      </c>
    </row>
    <row r="1262" spans="8:8">
      <c r="C1262">
        <f>_xlfn.XLOOKUP(B1262,Lists!B:B,Lists!A:A,"")</f>
        <v>0.0</v>
      </c>
      <c r="G1262" t="str">
        <f t="shared" si="121"/>
        <v/>
      </c>
      <c r="H1262" s="20" t="str">
        <f t="shared" si="122"/>
        <v/>
      </c>
      <c r="J1262" t="str">
        <f>IF(I1262="","",_xlfn.XLOOKUP(I1262,Lists!$C:$C,Lists!$D:$D))</f>
        <v/>
      </c>
      <c r="N1262" t="str">
        <f t="shared" si="123"/>
        <v/>
      </c>
      <c r="O1262" t="str">
        <f>IF(I1262="","",_xlfn.XLOOKUP(I1262,Lists!$C:$C,Lists!$J:$J))</f>
        <v/>
      </c>
      <c r="P1262" t="str">
        <f>IF(I1262="","",_xlfn.XLOOKUP(I1262,Lists!$C:$C,Lists!$E:$E))</f>
        <v/>
      </c>
      <c r="Q1262" s="21" t="str">
        <f t="shared" si="124"/>
        <v/>
      </c>
      <c r="R1262" t="str">
        <f t="shared" si="125"/>
        <v/>
      </c>
      <c r="S1262" t="str">
        <f>IF(I1262="","",_xlfn.XLOOKUP(I1262,Lists!$C:$C,Lists!$I:$I))</f>
        <v/>
      </c>
    </row>
    <row r="1263" spans="8:8">
      <c r="C1263">
        <f>_xlfn.XLOOKUP(B1263,Lists!B:B,Lists!A:A,"")</f>
        <v>0.0</v>
      </c>
      <c r="G1263" t="str">
        <f t="shared" si="121"/>
        <v/>
      </c>
      <c r="H1263" s="20" t="str">
        <f t="shared" si="122"/>
        <v/>
      </c>
      <c r="J1263" t="str">
        <f>IF(I1263="","",_xlfn.XLOOKUP(I1263,Lists!$C:$C,Lists!$D:$D))</f>
        <v/>
      </c>
      <c r="N1263" t="str">
        <f t="shared" si="123"/>
        <v/>
      </c>
      <c r="O1263" t="str">
        <f>IF(I1263="","",_xlfn.XLOOKUP(I1263,Lists!$C:$C,Lists!$J:$J))</f>
        <v/>
      </c>
      <c r="P1263" t="str">
        <f>IF(I1263="","",_xlfn.XLOOKUP(I1263,Lists!$C:$C,Lists!$E:$E))</f>
        <v/>
      </c>
      <c r="Q1263" s="21" t="str">
        <f t="shared" si="124"/>
        <v/>
      </c>
      <c r="R1263" t="str">
        <f t="shared" si="125"/>
        <v/>
      </c>
      <c r="S1263" t="str">
        <f>IF(I1263="","",_xlfn.XLOOKUP(I1263,Lists!$C:$C,Lists!$I:$I))</f>
        <v/>
      </c>
    </row>
    <row r="1264" spans="8:8">
      <c r="C1264">
        <f>_xlfn.XLOOKUP(B1264,Lists!B:B,Lists!A:A,"")</f>
        <v>0.0</v>
      </c>
      <c r="G1264" t="str">
        <f t="shared" si="121"/>
        <v/>
      </c>
      <c r="H1264" s="20" t="str">
        <f t="shared" si="122"/>
        <v/>
      </c>
      <c r="J1264" t="str">
        <f>IF(I1264="","",_xlfn.XLOOKUP(I1264,Lists!$C:$C,Lists!$D:$D))</f>
        <v/>
      </c>
      <c r="N1264" t="str">
        <f t="shared" si="123"/>
        <v/>
      </c>
      <c r="O1264" t="str">
        <f>IF(I1264="","",_xlfn.XLOOKUP(I1264,Lists!$C:$C,Lists!$J:$J))</f>
        <v/>
      </c>
      <c r="P1264" t="str">
        <f>IF(I1264="","",_xlfn.XLOOKUP(I1264,Lists!$C:$C,Lists!$E:$E))</f>
        <v/>
      </c>
      <c r="Q1264" s="21" t="str">
        <f t="shared" si="124"/>
        <v/>
      </c>
      <c r="R1264" t="str">
        <f t="shared" si="125"/>
        <v/>
      </c>
      <c r="S1264" t="str">
        <f>IF(I1264="","",_xlfn.XLOOKUP(I1264,Lists!$C:$C,Lists!$I:$I))</f>
        <v/>
      </c>
    </row>
    <row r="1265" spans="8:8">
      <c r="C1265">
        <f>_xlfn.XLOOKUP(B1265,Lists!B:B,Lists!A:A,"")</f>
        <v>0.0</v>
      </c>
      <c r="G1265" t="str">
        <f t="shared" si="121"/>
        <v/>
      </c>
      <c r="H1265" s="20" t="str">
        <f t="shared" si="122"/>
        <v/>
      </c>
      <c r="J1265" t="str">
        <f>IF(I1265="","",_xlfn.XLOOKUP(I1265,Lists!$C:$C,Lists!$D:$D))</f>
        <v/>
      </c>
      <c r="N1265" t="str">
        <f t="shared" si="123"/>
        <v/>
      </c>
      <c r="O1265" t="str">
        <f>IF(I1265="","",_xlfn.XLOOKUP(I1265,Lists!$C:$C,Lists!$J:$J))</f>
        <v/>
      </c>
      <c r="P1265" t="str">
        <f>IF(I1265="","",_xlfn.XLOOKUP(I1265,Lists!$C:$C,Lists!$E:$E))</f>
        <v/>
      </c>
      <c r="Q1265" s="21" t="str">
        <f t="shared" si="124"/>
        <v/>
      </c>
      <c r="R1265" t="str">
        <f t="shared" si="125"/>
        <v/>
      </c>
      <c r="S1265" t="str">
        <f>IF(I1265="","",_xlfn.XLOOKUP(I1265,Lists!$C:$C,Lists!$I:$I))</f>
        <v/>
      </c>
    </row>
    <row r="1266" spans="8:8">
      <c r="C1266">
        <f>_xlfn.XLOOKUP(B1266,Lists!B:B,Lists!A:A,"")</f>
        <v>0.0</v>
      </c>
      <c r="G1266" t="str">
        <f t="shared" si="121"/>
        <v/>
      </c>
      <c r="H1266" s="20" t="str">
        <f t="shared" si="122"/>
        <v/>
      </c>
      <c r="J1266" t="str">
        <f>IF(I1266="","",_xlfn.XLOOKUP(I1266,Lists!$C:$C,Lists!$D:$D))</f>
        <v/>
      </c>
      <c r="N1266" t="str">
        <f t="shared" si="123"/>
        <v/>
      </c>
      <c r="O1266" t="str">
        <f>IF(I1266="","",_xlfn.XLOOKUP(I1266,Lists!$C:$C,Lists!$J:$J))</f>
        <v/>
      </c>
      <c r="P1266" t="str">
        <f>IF(I1266="","",_xlfn.XLOOKUP(I1266,Lists!$C:$C,Lists!$E:$E))</f>
        <v/>
      </c>
      <c r="Q1266" s="21" t="str">
        <f t="shared" si="124"/>
        <v/>
      </c>
      <c r="R1266" t="str">
        <f t="shared" si="125"/>
        <v/>
      </c>
      <c r="S1266" t="str">
        <f>IF(I1266="","",_xlfn.XLOOKUP(I1266,Lists!$C:$C,Lists!$I:$I))</f>
        <v/>
      </c>
    </row>
    <row r="1267" spans="8:8">
      <c r="C1267">
        <f>_xlfn.XLOOKUP(B1267,Lists!B:B,Lists!A:A,"")</f>
        <v>0.0</v>
      </c>
      <c r="G1267" t="str">
        <f t="shared" si="121"/>
        <v/>
      </c>
      <c r="H1267" s="20" t="str">
        <f t="shared" si="122"/>
        <v/>
      </c>
      <c r="J1267" t="str">
        <f>IF(I1267="","",_xlfn.XLOOKUP(I1267,Lists!$C:$C,Lists!$D:$D))</f>
        <v/>
      </c>
      <c r="N1267" t="str">
        <f t="shared" si="123"/>
        <v/>
      </c>
      <c r="O1267" t="str">
        <f>IF(I1267="","",_xlfn.XLOOKUP(I1267,Lists!$C:$C,Lists!$J:$J))</f>
        <v/>
      </c>
      <c r="P1267" t="str">
        <f>IF(I1267="","",_xlfn.XLOOKUP(I1267,Lists!$C:$C,Lists!$E:$E))</f>
        <v/>
      </c>
      <c r="Q1267" s="21" t="str">
        <f t="shared" si="124"/>
        <v/>
      </c>
      <c r="R1267" t="str">
        <f t="shared" si="125"/>
        <v/>
      </c>
      <c r="S1267" t="str">
        <f>IF(I1267="","",_xlfn.XLOOKUP(I1267,Lists!$C:$C,Lists!$I:$I))</f>
        <v/>
      </c>
    </row>
    <row r="1268" spans="8:8">
      <c r="C1268">
        <f>_xlfn.XLOOKUP(B1268,Lists!B:B,Lists!A:A,"")</f>
        <v>0.0</v>
      </c>
      <c r="G1268" t="str">
        <f t="shared" si="121"/>
        <v/>
      </c>
      <c r="H1268" s="20" t="str">
        <f t="shared" si="122"/>
        <v/>
      </c>
      <c r="J1268" t="str">
        <f>IF(I1268="","",_xlfn.XLOOKUP(I1268,Lists!$C:$C,Lists!$D:$D))</f>
        <v/>
      </c>
      <c r="N1268" t="str">
        <f t="shared" si="123"/>
        <v/>
      </c>
      <c r="O1268" t="str">
        <f>IF(I1268="","",_xlfn.XLOOKUP(I1268,Lists!$C:$C,Lists!$J:$J))</f>
        <v/>
      </c>
      <c r="P1268" t="str">
        <f>IF(I1268="","",_xlfn.XLOOKUP(I1268,Lists!$C:$C,Lists!$E:$E))</f>
        <v/>
      </c>
      <c r="Q1268" s="21" t="str">
        <f t="shared" si="124"/>
        <v/>
      </c>
      <c r="R1268" t="str">
        <f t="shared" si="125"/>
        <v/>
      </c>
      <c r="S1268" t="str">
        <f>IF(I1268="","",_xlfn.XLOOKUP(I1268,Lists!$C:$C,Lists!$I:$I))</f>
        <v/>
      </c>
    </row>
    <row r="1269" spans="8:8">
      <c r="C1269">
        <f>_xlfn.XLOOKUP(B1269,Lists!B:B,Lists!A:A,"")</f>
        <v>0.0</v>
      </c>
      <c r="G1269" t="str">
        <f t="shared" si="121"/>
        <v/>
      </c>
      <c r="H1269" s="20" t="str">
        <f t="shared" si="122"/>
        <v/>
      </c>
      <c r="J1269" t="str">
        <f>IF(I1269="","",_xlfn.XLOOKUP(I1269,Lists!$C:$C,Lists!$D:$D))</f>
        <v/>
      </c>
      <c r="N1269" t="str">
        <f t="shared" si="123"/>
        <v/>
      </c>
      <c r="O1269" t="str">
        <f>IF(I1269="","",_xlfn.XLOOKUP(I1269,Lists!$C:$C,Lists!$J:$J))</f>
        <v/>
      </c>
      <c r="P1269" t="str">
        <f>IF(I1269="","",_xlfn.XLOOKUP(I1269,Lists!$C:$C,Lists!$E:$E))</f>
        <v/>
      </c>
      <c r="Q1269" s="21" t="str">
        <f t="shared" si="124"/>
        <v/>
      </c>
      <c r="R1269" t="str">
        <f t="shared" si="125"/>
        <v/>
      </c>
      <c r="S1269" t="str">
        <f>IF(I1269="","",_xlfn.XLOOKUP(I1269,Lists!$C:$C,Lists!$I:$I))</f>
        <v/>
      </c>
    </row>
    <row r="1270" spans="8:8">
      <c r="C1270">
        <f>_xlfn.XLOOKUP(B1270,Lists!B:B,Lists!A:A,"")</f>
        <v>0.0</v>
      </c>
      <c r="G1270" t="str">
        <f t="shared" si="121"/>
        <v/>
      </c>
      <c r="H1270" s="20" t="str">
        <f t="shared" si="122"/>
        <v/>
      </c>
      <c r="J1270" t="str">
        <f>IF(I1270="","",_xlfn.XLOOKUP(I1270,Lists!$C:$C,Lists!$D:$D))</f>
        <v/>
      </c>
      <c r="N1270" t="str">
        <f t="shared" si="123"/>
        <v/>
      </c>
      <c r="O1270" t="str">
        <f>IF(I1270="","",_xlfn.XLOOKUP(I1270,Lists!$C:$C,Lists!$J:$J))</f>
        <v/>
      </c>
      <c r="P1270" t="str">
        <f>IF(I1270="","",_xlfn.XLOOKUP(I1270,Lists!$C:$C,Lists!$E:$E))</f>
        <v/>
      </c>
      <c r="Q1270" s="21" t="str">
        <f t="shared" si="124"/>
        <v/>
      </c>
      <c r="R1270" t="str">
        <f t="shared" si="125"/>
        <v/>
      </c>
      <c r="S1270" t="str">
        <f>IF(I1270="","",_xlfn.XLOOKUP(I1270,Lists!$C:$C,Lists!$I:$I))</f>
        <v/>
      </c>
    </row>
    <row r="1271" spans="8:8">
      <c r="C1271">
        <f>_xlfn.XLOOKUP(B1271,Lists!B:B,Lists!A:A,"")</f>
        <v>0.0</v>
      </c>
      <c r="G1271" t="str">
        <f t="shared" si="121"/>
        <v/>
      </c>
      <c r="H1271" s="20" t="str">
        <f t="shared" si="122"/>
        <v/>
      </c>
      <c r="J1271" t="str">
        <f>IF(I1271="","",_xlfn.XLOOKUP(I1271,Lists!$C:$C,Lists!$D:$D))</f>
        <v/>
      </c>
      <c r="N1271" t="str">
        <f t="shared" si="123"/>
        <v/>
      </c>
      <c r="O1271" t="str">
        <f>IF(I1271="","",_xlfn.XLOOKUP(I1271,Lists!$C:$C,Lists!$J:$J))</f>
        <v/>
      </c>
      <c r="P1271" t="str">
        <f>IF(I1271="","",_xlfn.XLOOKUP(I1271,Lists!$C:$C,Lists!$E:$E))</f>
        <v/>
      </c>
      <c r="Q1271" s="21" t="str">
        <f t="shared" si="124"/>
        <v/>
      </c>
      <c r="R1271" t="str">
        <f t="shared" si="125"/>
        <v/>
      </c>
      <c r="S1271" t="str">
        <f>IF(I1271="","",_xlfn.XLOOKUP(I1271,Lists!$C:$C,Lists!$I:$I))</f>
        <v/>
      </c>
    </row>
    <row r="1272" spans="8:8">
      <c r="C1272">
        <f>_xlfn.XLOOKUP(B1272,Lists!B:B,Lists!A:A,"")</f>
        <v>0.0</v>
      </c>
      <c r="G1272" t="str">
        <f t="shared" si="121"/>
        <v/>
      </c>
      <c r="H1272" s="20" t="str">
        <f t="shared" si="122"/>
        <v/>
      </c>
      <c r="J1272" t="str">
        <f>IF(I1272="","",_xlfn.XLOOKUP(I1272,Lists!$C:$C,Lists!$D:$D))</f>
        <v/>
      </c>
      <c r="N1272" t="str">
        <f t="shared" si="123"/>
        <v/>
      </c>
      <c r="O1272" t="str">
        <f>IF(I1272="","",_xlfn.XLOOKUP(I1272,Lists!$C:$C,Lists!$J:$J))</f>
        <v/>
      </c>
      <c r="P1272" t="str">
        <f>IF(I1272="","",_xlfn.XLOOKUP(I1272,Lists!$C:$C,Lists!$E:$E))</f>
        <v/>
      </c>
      <c r="Q1272" s="21" t="str">
        <f t="shared" si="124"/>
        <v/>
      </c>
      <c r="R1272" t="str">
        <f t="shared" si="125"/>
        <v/>
      </c>
      <c r="S1272" t="str">
        <f>IF(I1272="","",_xlfn.XLOOKUP(I1272,Lists!$C:$C,Lists!$I:$I))</f>
        <v/>
      </c>
    </row>
    <row r="1273" spans="8:8">
      <c r="C1273">
        <f>_xlfn.XLOOKUP(B1273,Lists!B:B,Lists!A:A,"")</f>
        <v>0.0</v>
      </c>
      <c r="G1273" t="str">
        <f t="shared" si="121"/>
        <v/>
      </c>
      <c r="H1273" s="20" t="str">
        <f t="shared" si="122"/>
        <v/>
      </c>
      <c r="J1273" t="str">
        <f>IF(I1273="","",_xlfn.XLOOKUP(I1273,Lists!$C:$C,Lists!$D:$D))</f>
        <v/>
      </c>
      <c r="N1273" t="str">
        <f t="shared" si="123"/>
        <v/>
      </c>
      <c r="O1273" t="str">
        <f>IF(I1273="","",_xlfn.XLOOKUP(I1273,Lists!$C:$C,Lists!$J:$J))</f>
        <v/>
      </c>
      <c r="P1273" t="str">
        <f>IF(I1273="","",_xlfn.XLOOKUP(I1273,Lists!$C:$C,Lists!$E:$E))</f>
        <v/>
      </c>
      <c r="Q1273" s="21" t="str">
        <f t="shared" si="124"/>
        <v/>
      </c>
      <c r="R1273" t="str">
        <f t="shared" si="125"/>
        <v/>
      </c>
      <c r="S1273" t="str">
        <f>IF(I1273="","",_xlfn.XLOOKUP(I1273,Lists!$C:$C,Lists!$I:$I))</f>
        <v/>
      </c>
    </row>
    <row r="1274" spans="8:8">
      <c r="C1274">
        <f>_xlfn.XLOOKUP(B1274,Lists!B:B,Lists!A:A,"")</f>
        <v>0.0</v>
      </c>
      <c r="G1274" t="str">
        <f t="shared" si="121"/>
        <v/>
      </c>
      <c r="H1274" s="20" t="str">
        <f t="shared" si="122"/>
        <v/>
      </c>
      <c r="J1274" t="str">
        <f>IF(I1274="","",_xlfn.XLOOKUP(I1274,Lists!$C:$C,Lists!$D:$D))</f>
        <v/>
      </c>
      <c r="N1274" t="str">
        <f t="shared" si="123"/>
        <v/>
      </c>
      <c r="O1274" t="str">
        <f>IF(I1274="","",_xlfn.XLOOKUP(I1274,Lists!$C:$C,Lists!$J:$J))</f>
        <v/>
      </c>
      <c r="P1274" t="str">
        <f>IF(I1274="","",_xlfn.XLOOKUP(I1274,Lists!$C:$C,Lists!$E:$E))</f>
        <v/>
      </c>
      <c r="Q1274" s="21" t="str">
        <f t="shared" si="124"/>
        <v/>
      </c>
      <c r="R1274" t="str">
        <f t="shared" si="125"/>
        <v/>
      </c>
      <c r="S1274" t="str">
        <f>IF(I1274="","",_xlfn.XLOOKUP(I1274,Lists!$C:$C,Lists!$I:$I))</f>
        <v/>
      </c>
    </row>
    <row r="1275" spans="8:8">
      <c r="C1275">
        <f>_xlfn.XLOOKUP(B1275,Lists!B:B,Lists!A:A,"")</f>
        <v>0.0</v>
      </c>
      <c r="G1275" t="str">
        <f t="shared" si="121"/>
        <v/>
      </c>
      <c r="H1275" s="20" t="str">
        <f t="shared" si="122"/>
        <v/>
      </c>
      <c r="J1275" t="str">
        <f>IF(I1275="","",_xlfn.XLOOKUP(I1275,Lists!$C:$C,Lists!$D:$D))</f>
        <v/>
      </c>
      <c r="N1275" t="str">
        <f t="shared" si="123"/>
        <v/>
      </c>
      <c r="O1275" t="str">
        <f>IF(I1275="","",_xlfn.XLOOKUP(I1275,Lists!$C:$C,Lists!$J:$J))</f>
        <v/>
      </c>
      <c r="P1275" t="str">
        <f>IF(I1275="","",_xlfn.XLOOKUP(I1275,Lists!$C:$C,Lists!$E:$E))</f>
        <v/>
      </c>
      <c r="Q1275" s="21" t="str">
        <f t="shared" si="124"/>
        <v/>
      </c>
      <c r="R1275" t="str">
        <f t="shared" si="125"/>
        <v/>
      </c>
      <c r="S1275" t="str">
        <f>IF(I1275="","",_xlfn.XLOOKUP(I1275,Lists!$C:$C,Lists!$I:$I))</f>
        <v/>
      </c>
    </row>
    <row r="1276" spans="8:8">
      <c r="C1276">
        <f>_xlfn.XLOOKUP(B1276,Lists!B:B,Lists!A:A,"")</f>
        <v>0.0</v>
      </c>
      <c r="G1276" t="str">
        <f t="shared" si="121"/>
        <v/>
      </c>
      <c r="H1276" s="20" t="str">
        <f t="shared" si="122"/>
        <v/>
      </c>
      <c r="J1276" t="str">
        <f>IF(I1276="","",_xlfn.XLOOKUP(I1276,Lists!$C:$C,Lists!$D:$D))</f>
        <v/>
      </c>
      <c r="N1276" t="str">
        <f t="shared" si="123"/>
        <v/>
      </c>
      <c r="O1276" t="str">
        <f>IF(I1276="","",_xlfn.XLOOKUP(I1276,Lists!$C:$C,Lists!$J:$J))</f>
        <v/>
      </c>
      <c r="P1276" t="str">
        <f>IF(I1276="","",_xlfn.XLOOKUP(I1276,Lists!$C:$C,Lists!$E:$E))</f>
        <v/>
      </c>
      <c r="Q1276" s="21" t="str">
        <f t="shared" si="124"/>
        <v/>
      </c>
      <c r="R1276" t="str">
        <f t="shared" si="125"/>
        <v/>
      </c>
      <c r="S1276" t="str">
        <f>IF(I1276="","",_xlfn.XLOOKUP(I1276,Lists!$C:$C,Lists!$I:$I))</f>
        <v/>
      </c>
    </row>
    <row r="1277" spans="8:8">
      <c r="C1277">
        <f>_xlfn.XLOOKUP(B1277,Lists!B:B,Lists!A:A,"")</f>
        <v>0.0</v>
      </c>
      <c r="G1277" t="str">
        <f t="shared" si="121"/>
        <v/>
      </c>
      <c r="H1277" s="20" t="str">
        <f t="shared" si="122"/>
        <v/>
      </c>
      <c r="J1277" t="str">
        <f>IF(I1277="","",_xlfn.XLOOKUP(I1277,Lists!$C:$C,Lists!$D:$D))</f>
        <v/>
      </c>
      <c r="N1277" t="str">
        <f t="shared" si="123"/>
        <v/>
      </c>
      <c r="O1277" t="str">
        <f>IF(I1277="","",_xlfn.XLOOKUP(I1277,Lists!$C:$C,Lists!$J:$J))</f>
        <v/>
      </c>
      <c r="P1277" t="str">
        <f>IF(I1277="","",_xlfn.XLOOKUP(I1277,Lists!$C:$C,Lists!$E:$E))</f>
        <v/>
      </c>
      <c r="Q1277" s="21" t="str">
        <f t="shared" si="124"/>
        <v/>
      </c>
      <c r="R1277" t="str">
        <f t="shared" si="125"/>
        <v/>
      </c>
      <c r="S1277" t="str">
        <f>IF(I1277="","",_xlfn.XLOOKUP(I1277,Lists!$C:$C,Lists!$I:$I))</f>
        <v/>
      </c>
    </row>
    <row r="1278" spans="8:8">
      <c r="C1278">
        <f>_xlfn.XLOOKUP(B1278,Lists!B:B,Lists!A:A,"")</f>
        <v>0.0</v>
      </c>
      <c r="G1278" t="str">
        <f t="shared" si="121"/>
        <v/>
      </c>
      <c r="H1278" s="20" t="str">
        <f t="shared" si="122"/>
        <v/>
      </c>
      <c r="J1278" t="str">
        <f>IF(I1278="","",_xlfn.XLOOKUP(I1278,Lists!$C:$C,Lists!$D:$D))</f>
        <v/>
      </c>
      <c r="N1278" t="str">
        <f t="shared" si="123"/>
        <v/>
      </c>
      <c r="O1278" t="str">
        <f>IF(I1278="","",_xlfn.XLOOKUP(I1278,Lists!$C:$C,Lists!$J:$J))</f>
        <v/>
      </c>
      <c r="P1278" t="str">
        <f>IF(I1278="","",_xlfn.XLOOKUP(I1278,Lists!$C:$C,Lists!$E:$E))</f>
        <v/>
      </c>
      <c r="Q1278" s="21" t="str">
        <f t="shared" si="124"/>
        <v/>
      </c>
      <c r="R1278" t="str">
        <f t="shared" si="125"/>
        <v/>
      </c>
      <c r="S1278" t="str">
        <f>IF(I1278="","",_xlfn.XLOOKUP(I1278,Lists!$C:$C,Lists!$I:$I))</f>
        <v/>
      </c>
    </row>
    <row r="1279" spans="8:8">
      <c r="C1279">
        <f>_xlfn.XLOOKUP(B1279,Lists!B:B,Lists!A:A,"")</f>
        <v>0.0</v>
      </c>
      <c r="G1279" t="str">
        <f t="shared" si="121"/>
        <v/>
      </c>
      <c r="H1279" s="20" t="str">
        <f t="shared" si="122"/>
        <v/>
      </c>
      <c r="J1279" t="str">
        <f>IF(I1279="","",_xlfn.XLOOKUP(I1279,Lists!$C:$C,Lists!$D:$D))</f>
        <v/>
      </c>
      <c r="N1279" t="str">
        <f t="shared" si="123"/>
        <v/>
      </c>
      <c r="O1279" t="str">
        <f>IF(I1279="","",_xlfn.XLOOKUP(I1279,Lists!$C:$C,Lists!$J:$J))</f>
        <v/>
      </c>
      <c r="P1279" t="str">
        <f>IF(I1279="","",_xlfn.XLOOKUP(I1279,Lists!$C:$C,Lists!$E:$E))</f>
        <v/>
      </c>
      <c r="Q1279" s="21" t="str">
        <f t="shared" si="124"/>
        <v/>
      </c>
      <c r="R1279" t="str">
        <f t="shared" si="125"/>
        <v/>
      </c>
      <c r="S1279" t="str">
        <f>IF(I1279="","",_xlfn.XLOOKUP(I1279,Lists!$C:$C,Lists!$I:$I))</f>
        <v/>
      </c>
    </row>
    <row r="1280" spans="8:8">
      <c r="C1280">
        <f>_xlfn.XLOOKUP(B1280,Lists!B:B,Lists!A:A,"")</f>
        <v>0.0</v>
      </c>
      <c r="G1280" t="str">
        <f t="shared" si="121"/>
        <v/>
      </c>
      <c r="H1280" s="20" t="str">
        <f t="shared" si="122"/>
        <v/>
      </c>
      <c r="J1280" t="str">
        <f>IF(I1280="","",_xlfn.XLOOKUP(I1280,Lists!$C:$C,Lists!$D:$D))</f>
        <v/>
      </c>
      <c r="N1280" t="str">
        <f t="shared" si="123"/>
        <v/>
      </c>
      <c r="O1280" t="str">
        <f>IF(I1280="","",_xlfn.XLOOKUP(I1280,Lists!$C:$C,Lists!$J:$J))</f>
        <v/>
      </c>
      <c r="P1280" t="str">
        <f>IF(I1280="","",_xlfn.XLOOKUP(I1280,Lists!$C:$C,Lists!$E:$E))</f>
        <v/>
      </c>
      <c r="Q1280" s="21" t="str">
        <f t="shared" si="124"/>
        <v/>
      </c>
      <c r="R1280" t="str">
        <f t="shared" si="125"/>
        <v/>
      </c>
      <c r="S1280" t="str">
        <f>IF(I1280="","",_xlfn.XLOOKUP(I1280,Lists!$C:$C,Lists!$I:$I))</f>
        <v/>
      </c>
    </row>
    <row r="1281" spans="8:8">
      <c r="C1281">
        <f>_xlfn.XLOOKUP(B1281,Lists!B:B,Lists!A:A,"")</f>
        <v>0.0</v>
      </c>
      <c r="G1281" t="str">
        <f t="shared" si="121"/>
        <v/>
      </c>
      <c r="H1281" s="20" t="str">
        <f t="shared" si="122"/>
        <v/>
      </c>
      <c r="J1281" t="str">
        <f>IF(I1281="","",_xlfn.XLOOKUP(I1281,Lists!$C:$C,Lists!$D:$D))</f>
        <v/>
      </c>
      <c r="N1281" t="str">
        <f t="shared" si="123"/>
        <v/>
      </c>
      <c r="O1281" t="str">
        <f>IF(I1281="","",_xlfn.XLOOKUP(I1281,Lists!$C:$C,Lists!$J:$J))</f>
        <v/>
      </c>
      <c r="P1281" t="str">
        <f>IF(I1281="","",_xlfn.XLOOKUP(I1281,Lists!$C:$C,Lists!$E:$E))</f>
        <v/>
      </c>
      <c r="Q1281" s="21" t="str">
        <f t="shared" si="124"/>
        <v/>
      </c>
      <c r="R1281" t="str">
        <f t="shared" si="125"/>
        <v/>
      </c>
      <c r="S1281" t="str">
        <f>IF(I1281="","",_xlfn.XLOOKUP(I1281,Lists!$C:$C,Lists!$I:$I))</f>
        <v/>
      </c>
    </row>
    <row r="1282" spans="8:8">
      <c r="C1282">
        <f>_xlfn.XLOOKUP(B1282,Lists!B:B,Lists!A:A,"")</f>
        <v>0.0</v>
      </c>
      <c r="G1282" t="str">
        <f t="shared" si="121"/>
        <v/>
      </c>
      <c r="H1282" s="20" t="str">
        <f t="shared" si="122"/>
        <v/>
      </c>
      <c r="J1282" t="str">
        <f>IF(I1282="","",_xlfn.XLOOKUP(I1282,Lists!$C:$C,Lists!$D:$D))</f>
        <v/>
      </c>
      <c r="N1282" t="str">
        <f t="shared" si="123"/>
        <v/>
      </c>
      <c r="O1282" t="str">
        <f>IF(I1282="","",_xlfn.XLOOKUP(I1282,Lists!$C:$C,Lists!$J:$J))</f>
        <v/>
      </c>
      <c r="P1282" t="str">
        <f>IF(I1282="","",_xlfn.XLOOKUP(I1282,Lists!$C:$C,Lists!$E:$E))</f>
        <v/>
      </c>
      <c r="Q1282" s="21" t="str">
        <f t="shared" si="124"/>
        <v/>
      </c>
      <c r="R1282" t="str">
        <f t="shared" si="125"/>
        <v/>
      </c>
      <c r="S1282" t="str">
        <f>IF(I1282="","",_xlfn.XLOOKUP(I1282,Lists!$C:$C,Lists!$I:$I))</f>
        <v/>
      </c>
    </row>
    <row r="1283" spans="8:8">
      <c r="C1283">
        <f>_xlfn.XLOOKUP(B1283,Lists!B:B,Lists!A:A,"")</f>
        <v>0.0</v>
      </c>
      <c r="G1283" t="str">
        <f t="shared" si="121"/>
        <v/>
      </c>
      <c r="H1283" s="20" t="str">
        <f t="shared" si="122"/>
        <v/>
      </c>
      <c r="J1283" t="str">
        <f>IF(I1283="","",_xlfn.XLOOKUP(I1283,Lists!$C:$C,Lists!$D:$D))</f>
        <v/>
      </c>
      <c r="N1283" t="str">
        <f t="shared" si="123"/>
        <v/>
      </c>
      <c r="O1283" t="str">
        <f>IF(I1283="","",_xlfn.XLOOKUP(I1283,Lists!$C:$C,Lists!$J:$J))</f>
        <v/>
      </c>
      <c r="P1283" t="str">
        <f>IF(I1283="","",_xlfn.XLOOKUP(I1283,Lists!$C:$C,Lists!$E:$E))</f>
        <v/>
      </c>
      <c r="Q1283" s="21" t="str">
        <f t="shared" si="124"/>
        <v/>
      </c>
      <c r="R1283" t="str">
        <f t="shared" si="125"/>
        <v/>
      </c>
      <c r="S1283" t="str">
        <f>IF(I1283="","",_xlfn.XLOOKUP(I1283,Lists!$C:$C,Lists!$I:$I))</f>
        <v/>
      </c>
    </row>
    <row r="1284" spans="8:8">
      <c r="C1284">
        <f>_xlfn.XLOOKUP(B1284,Lists!B:B,Lists!A:A,"")</f>
        <v>0.0</v>
      </c>
      <c r="G1284" t="str">
        <f t="shared" si="121"/>
        <v/>
      </c>
      <c r="H1284" s="20" t="str">
        <f t="shared" si="122"/>
        <v/>
      </c>
      <c r="J1284" t="str">
        <f>IF(I1284="","",_xlfn.XLOOKUP(I1284,Lists!$C:$C,Lists!$D:$D))</f>
        <v/>
      </c>
      <c r="N1284" t="str">
        <f t="shared" si="123"/>
        <v/>
      </c>
      <c r="O1284" t="str">
        <f>IF(I1284="","",_xlfn.XLOOKUP(I1284,Lists!$C:$C,Lists!$J:$J))</f>
        <v/>
      </c>
      <c r="P1284" t="str">
        <f>IF(I1284="","",_xlfn.XLOOKUP(I1284,Lists!$C:$C,Lists!$E:$E))</f>
        <v/>
      </c>
      <c r="Q1284" s="21" t="str">
        <f t="shared" si="124"/>
        <v/>
      </c>
      <c r="R1284" t="str">
        <f t="shared" si="125"/>
        <v/>
      </c>
      <c r="S1284" t="str">
        <f>IF(I1284="","",_xlfn.XLOOKUP(I1284,Lists!$C:$C,Lists!$I:$I))</f>
        <v/>
      </c>
    </row>
    <row r="1285" spans="8:8">
      <c r="C1285">
        <f>_xlfn.XLOOKUP(B1285,Lists!B:B,Lists!A:A,"")</f>
        <v>0.0</v>
      </c>
      <c r="G1285" t="str">
        <f t="shared" si="121"/>
        <v/>
      </c>
      <c r="H1285" s="20" t="str">
        <f t="shared" si="122"/>
        <v/>
      </c>
      <c r="J1285" t="str">
        <f>IF(I1285="","",_xlfn.XLOOKUP(I1285,Lists!$C:$C,Lists!$D:$D))</f>
        <v/>
      </c>
      <c r="N1285" t="str">
        <f t="shared" si="123"/>
        <v/>
      </c>
      <c r="O1285" t="str">
        <f>IF(I1285="","",_xlfn.XLOOKUP(I1285,Lists!$C:$C,Lists!$J:$J))</f>
        <v/>
      </c>
      <c r="P1285" t="str">
        <f>IF(I1285="","",_xlfn.XLOOKUP(I1285,Lists!$C:$C,Lists!$E:$E))</f>
        <v/>
      </c>
      <c r="Q1285" s="21" t="str">
        <f t="shared" si="124"/>
        <v/>
      </c>
      <c r="R1285" t="str">
        <f t="shared" si="125"/>
        <v/>
      </c>
      <c r="S1285" t="str">
        <f>IF(I1285="","",_xlfn.XLOOKUP(I1285,Lists!$C:$C,Lists!$I:$I))</f>
        <v/>
      </c>
    </row>
    <row r="1286" spans="8:8">
      <c r="C1286">
        <f>_xlfn.XLOOKUP(B1286,Lists!B:B,Lists!A:A,"")</f>
        <v>0.0</v>
      </c>
      <c r="G1286" t="str">
        <f t="shared" si="121"/>
        <v/>
      </c>
      <c r="H1286" s="20" t="str">
        <f t="shared" si="122"/>
        <v/>
      </c>
      <c r="J1286" t="str">
        <f>IF(I1286="","",_xlfn.XLOOKUP(I1286,Lists!$C:$C,Lists!$D:$D))</f>
        <v/>
      </c>
      <c r="N1286" t="str">
        <f t="shared" si="123"/>
        <v/>
      </c>
      <c r="O1286" t="str">
        <f>IF(I1286="","",_xlfn.XLOOKUP(I1286,Lists!$C:$C,Lists!$J:$J))</f>
        <v/>
      </c>
      <c r="P1286" t="str">
        <f>IF(I1286="","",_xlfn.XLOOKUP(I1286,Lists!$C:$C,Lists!$E:$E))</f>
        <v/>
      </c>
      <c r="Q1286" s="21" t="str">
        <f t="shared" si="124"/>
        <v/>
      </c>
      <c r="R1286" t="str">
        <f t="shared" si="125"/>
        <v/>
      </c>
      <c r="S1286" t="str">
        <f>IF(I1286="","",_xlfn.XLOOKUP(I1286,Lists!$C:$C,Lists!$I:$I))</f>
        <v/>
      </c>
    </row>
    <row r="1287" spans="8:8">
      <c r="C1287">
        <f>_xlfn.XLOOKUP(B1287,Lists!B:B,Lists!A:A,"")</f>
        <v>0.0</v>
      </c>
      <c r="G1287" t="str">
        <f t="shared" si="121"/>
        <v/>
      </c>
      <c r="H1287" s="20" t="str">
        <f t="shared" si="122"/>
        <v/>
      </c>
      <c r="J1287" t="str">
        <f>IF(I1287="","",_xlfn.XLOOKUP(I1287,Lists!$C:$C,Lists!$D:$D))</f>
        <v/>
      </c>
      <c r="N1287" t="str">
        <f t="shared" si="123"/>
        <v/>
      </c>
      <c r="O1287" t="str">
        <f>IF(I1287="","",_xlfn.XLOOKUP(I1287,Lists!$C:$C,Lists!$J:$J))</f>
        <v/>
      </c>
      <c r="P1287" t="str">
        <f>IF(I1287="","",_xlfn.XLOOKUP(I1287,Lists!$C:$C,Lists!$E:$E))</f>
        <v/>
      </c>
      <c r="Q1287" s="21" t="str">
        <f t="shared" si="124"/>
        <v/>
      </c>
      <c r="R1287" t="str">
        <f t="shared" si="125"/>
        <v/>
      </c>
      <c r="S1287" t="str">
        <f>IF(I1287="","",_xlfn.XLOOKUP(I1287,Lists!$C:$C,Lists!$I:$I))</f>
        <v/>
      </c>
    </row>
    <row r="1288" spans="8:8">
      <c r="C1288">
        <f>_xlfn.XLOOKUP(B1288,Lists!B:B,Lists!A:A,"")</f>
        <v>0.0</v>
      </c>
      <c r="G1288" t="str">
        <f t="shared" si="121"/>
        <v/>
      </c>
      <c r="H1288" s="20" t="str">
        <f t="shared" si="122"/>
        <v/>
      </c>
      <c r="J1288" t="str">
        <f>IF(I1288="","",_xlfn.XLOOKUP(I1288,Lists!$C:$C,Lists!$D:$D))</f>
        <v/>
      </c>
      <c r="N1288" t="str">
        <f t="shared" si="123"/>
        <v/>
      </c>
      <c r="O1288" t="str">
        <f>IF(I1288="","",_xlfn.XLOOKUP(I1288,Lists!$C:$C,Lists!$J:$J))</f>
        <v/>
      </c>
      <c r="P1288" t="str">
        <f>IF(I1288="","",_xlfn.XLOOKUP(I1288,Lists!$C:$C,Lists!$E:$E))</f>
        <v/>
      </c>
      <c r="Q1288" s="21" t="str">
        <f t="shared" si="124"/>
        <v/>
      </c>
      <c r="R1288" t="str">
        <f t="shared" si="125"/>
        <v/>
      </c>
      <c r="S1288" t="str">
        <f>IF(I1288="","",_xlfn.XLOOKUP(I1288,Lists!$C:$C,Lists!$I:$I))</f>
        <v/>
      </c>
    </row>
    <row r="1289" spans="8:8">
      <c r="C1289">
        <f>_xlfn.XLOOKUP(B1289,Lists!B:B,Lists!A:A,"")</f>
        <v>0.0</v>
      </c>
      <c r="G1289" t="str">
        <f t="shared" si="121"/>
        <v/>
      </c>
      <c r="H1289" s="20" t="str">
        <f t="shared" si="122"/>
        <v/>
      </c>
      <c r="J1289" t="str">
        <f>IF(I1289="","",_xlfn.XLOOKUP(I1289,Lists!$C:$C,Lists!$D:$D))</f>
        <v/>
      </c>
      <c r="N1289" t="str">
        <f t="shared" si="123"/>
        <v/>
      </c>
      <c r="O1289" t="str">
        <f>IF(I1289="","",_xlfn.XLOOKUP(I1289,Lists!$C:$C,Lists!$J:$J))</f>
        <v/>
      </c>
      <c r="P1289" t="str">
        <f>IF(I1289="","",_xlfn.XLOOKUP(I1289,Lists!$C:$C,Lists!$E:$E))</f>
        <v/>
      </c>
      <c r="Q1289" s="21" t="str">
        <f t="shared" si="124"/>
        <v/>
      </c>
      <c r="R1289" t="str">
        <f t="shared" si="125"/>
        <v/>
      </c>
      <c r="S1289" t="str">
        <f>IF(I1289="","",_xlfn.XLOOKUP(I1289,Lists!$C:$C,Lists!$I:$I))</f>
        <v/>
      </c>
    </row>
    <row r="1290" spans="8:8">
      <c r="C1290">
        <f>_xlfn.XLOOKUP(B1290,Lists!B:B,Lists!A:A,"")</f>
        <v>0.0</v>
      </c>
      <c r="G1290" t="str">
        <f t="shared" si="121"/>
        <v/>
      </c>
      <c r="H1290" s="20" t="str">
        <f t="shared" si="122"/>
        <v/>
      </c>
      <c r="J1290" t="str">
        <f>IF(I1290="","",_xlfn.XLOOKUP(I1290,Lists!$C:$C,Lists!$D:$D))</f>
        <v/>
      </c>
      <c r="N1290" t="str">
        <f t="shared" si="123"/>
        <v/>
      </c>
      <c r="O1290" t="str">
        <f>IF(I1290="","",_xlfn.XLOOKUP(I1290,Lists!$C:$C,Lists!$J:$J))</f>
        <v/>
      </c>
      <c r="P1290" t="str">
        <f>IF(I1290="","",_xlfn.XLOOKUP(I1290,Lists!$C:$C,Lists!$E:$E))</f>
        <v/>
      </c>
      <c r="Q1290" s="21" t="str">
        <f t="shared" si="124"/>
        <v/>
      </c>
      <c r="R1290" t="str">
        <f t="shared" si="125"/>
        <v/>
      </c>
      <c r="S1290" t="str">
        <f>IF(I1290="","",_xlfn.XLOOKUP(I1290,Lists!$C:$C,Lists!$I:$I))</f>
        <v/>
      </c>
    </row>
    <row r="1291" spans="8:8">
      <c r="C1291">
        <f>_xlfn.XLOOKUP(B1291,Lists!B:B,Lists!A:A,"")</f>
        <v>0.0</v>
      </c>
      <c r="G1291" t="str">
        <f t="shared" si="121"/>
        <v/>
      </c>
      <c r="H1291" s="20" t="str">
        <f t="shared" si="122"/>
        <v/>
      </c>
      <c r="J1291" t="str">
        <f>IF(I1291="","",_xlfn.XLOOKUP(I1291,Lists!$C:$C,Lists!$D:$D))</f>
        <v/>
      </c>
      <c r="N1291" t="str">
        <f t="shared" si="123"/>
        <v/>
      </c>
      <c r="O1291" t="str">
        <f>IF(I1291="","",_xlfn.XLOOKUP(I1291,Lists!$C:$C,Lists!$J:$J))</f>
        <v/>
      </c>
      <c r="P1291" t="str">
        <f>IF(I1291="","",_xlfn.XLOOKUP(I1291,Lists!$C:$C,Lists!$E:$E))</f>
        <v/>
      </c>
      <c r="Q1291" s="21" t="str">
        <f t="shared" si="124"/>
        <v/>
      </c>
      <c r="R1291" t="str">
        <f t="shared" si="125"/>
        <v/>
      </c>
      <c r="S1291" t="str">
        <f>IF(I1291="","",_xlfn.XLOOKUP(I1291,Lists!$C:$C,Lists!$I:$I))</f>
        <v/>
      </c>
    </row>
    <row r="1292" spans="8:8">
      <c r="C1292">
        <f>_xlfn.XLOOKUP(B1292,Lists!B:B,Lists!A:A,"")</f>
        <v>0.0</v>
      </c>
      <c r="G1292" t="str">
        <f t="shared" si="121"/>
        <v/>
      </c>
      <c r="H1292" s="20" t="str">
        <f t="shared" si="122"/>
        <v/>
      </c>
      <c r="J1292" t="str">
        <f>IF(I1292="","",_xlfn.XLOOKUP(I1292,Lists!$C:$C,Lists!$D:$D))</f>
        <v/>
      </c>
      <c r="N1292" t="str">
        <f t="shared" si="123"/>
        <v/>
      </c>
      <c r="O1292" t="str">
        <f>IF(I1292="","",_xlfn.XLOOKUP(I1292,Lists!$C:$C,Lists!$J:$J))</f>
        <v/>
      </c>
      <c r="P1292" t="str">
        <f>IF(I1292="","",_xlfn.XLOOKUP(I1292,Lists!$C:$C,Lists!$E:$E))</f>
        <v/>
      </c>
      <c r="Q1292" s="21" t="str">
        <f t="shared" si="124"/>
        <v/>
      </c>
      <c r="R1292" t="str">
        <f t="shared" si="125"/>
        <v/>
      </c>
      <c r="S1292" t="str">
        <f>IF(I1292="","",_xlfn.XLOOKUP(I1292,Lists!$C:$C,Lists!$I:$I))</f>
        <v/>
      </c>
    </row>
    <row r="1293" spans="8:8">
      <c r="C1293">
        <f>_xlfn.XLOOKUP(B1293,Lists!B:B,Lists!A:A,"")</f>
        <v>0.0</v>
      </c>
      <c r="G1293" t="str">
        <f t="shared" si="121"/>
        <v/>
      </c>
      <c r="H1293" s="20" t="str">
        <f t="shared" si="122"/>
        <v/>
      </c>
      <c r="J1293" t="str">
        <f>IF(I1293="","",_xlfn.XLOOKUP(I1293,Lists!$C:$C,Lists!$D:$D))</f>
        <v/>
      </c>
      <c r="N1293" t="str">
        <f t="shared" si="123"/>
        <v/>
      </c>
      <c r="O1293" t="str">
        <f>IF(I1293="","",_xlfn.XLOOKUP(I1293,Lists!$C:$C,Lists!$J:$J))</f>
        <v/>
      </c>
      <c r="P1293" t="str">
        <f>IF(I1293="","",_xlfn.XLOOKUP(I1293,Lists!$C:$C,Lists!$E:$E))</f>
        <v/>
      </c>
      <c r="Q1293" s="21" t="str">
        <f t="shared" si="124"/>
        <v/>
      </c>
      <c r="R1293" t="str">
        <f t="shared" si="125"/>
        <v/>
      </c>
      <c r="S1293" t="str">
        <f>IF(I1293="","",_xlfn.XLOOKUP(I1293,Lists!$C:$C,Lists!$I:$I))</f>
        <v/>
      </c>
    </row>
    <row r="1294" spans="8:8">
      <c r="C1294">
        <f>_xlfn.XLOOKUP(B1294,Lists!B:B,Lists!A:A,"")</f>
        <v>0.0</v>
      </c>
      <c r="G1294" t="str">
        <f t="shared" si="121"/>
        <v/>
      </c>
      <c r="H1294" s="20" t="str">
        <f t="shared" si="122"/>
        <v/>
      </c>
      <c r="J1294" t="str">
        <f>IF(I1294="","",_xlfn.XLOOKUP(I1294,Lists!$C:$C,Lists!$D:$D))</f>
        <v/>
      </c>
      <c r="N1294" t="str">
        <f t="shared" si="123"/>
        <v/>
      </c>
      <c r="O1294" t="str">
        <f>IF(I1294="","",_xlfn.XLOOKUP(I1294,Lists!$C:$C,Lists!$J:$J))</f>
        <v/>
      </c>
      <c r="P1294" t="str">
        <f>IF(I1294="","",_xlfn.XLOOKUP(I1294,Lists!$C:$C,Lists!$E:$E))</f>
        <v/>
      </c>
      <c r="Q1294" s="21" t="str">
        <f t="shared" si="124"/>
        <v/>
      </c>
      <c r="R1294" t="str">
        <f t="shared" si="125"/>
        <v/>
      </c>
      <c r="S1294" t="str">
        <f>IF(I1294="","",_xlfn.XLOOKUP(I1294,Lists!$C:$C,Lists!$I:$I))</f>
        <v/>
      </c>
    </row>
    <row r="1295" spans="8:8">
      <c r="C1295">
        <f>_xlfn.XLOOKUP(B1295,Lists!B:B,Lists!A:A,"")</f>
        <v>0.0</v>
      </c>
      <c r="G1295" t="str">
        <f t="shared" si="121"/>
        <v/>
      </c>
      <c r="H1295" s="20" t="str">
        <f t="shared" si="122"/>
        <v/>
      </c>
      <c r="J1295" t="str">
        <f>IF(I1295="","",_xlfn.XLOOKUP(I1295,Lists!$C:$C,Lists!$D:$D))</f>
        <v/>
      </c>
      <c r="N1295" t="str">
        <f t="shared" si="123"/>
        <v/>
      </c>
      <c r="O1295" t="str">
        <f>IF(I1295="","",_xlfn.XLOOKUP(I1295,Lists!$C:$C,Lists!$J:$J))</f>
        <v/>
      </c>
      <c r="P1295" t="str">
        <f>IF(I1295="","",_xlfn.XLOOKUP(I1295,Lists!$C:$C,Lists!$E:$E))</f>
        <v/>
      </c>
      <c r="Q1295" s="21" t="str">
        <f t="shared" si="124"/>
        <v/>
      </c>
      <c r="R1295" t="str">
        <f t="shared" si="125"/>
        <v/>
      </c>
      <c r="S1295" t="str">
        <f>IF(I1295="","",_xlfn.XLOOKUP(I1295,Lists!$C:$C,Lists!$I:$I))</f>
        <v/>
      </c>
    </row>
    <row r="1296" spans="8:8">
      <c r="C1296">
        <f>_xlfn.XLOOKUP(B1296,Lists!B:B,Lists!A:A,"")</f>
        <v>0.0</v>
      </c>
      <c r="G1296" t="str">
        <f t="shared" si="121"/>
        <v/>
      </c>
      <c r="H1296" s="20" t="str">
        <f t="shared" si="122"/>
        <v/>
      </c>
      <c r="J1296" t="str">
        <f>IF(I1296="","",_xlfn.XLOOKUP(I1296,Lists!$C:$C,Lists!$D:$D))</f>
        <v/>
      </c>
      <c r="N1296" t="str">
        <f t="shared" si="123"/>
        <v/>
      </c>
      <c r="O1296" t="str">
        <f>IF(I1296="","",_xlfn.XLOOKUP(I1296,Lists!$C:$C,Lists!$J:$J))</f>
        <v/>
      </c>
      <c r="P1296" t="str">
        <f>IF(I1296="","",_xlfn.XLOOKUP(I1296,Lists!$C:$C,Lists!$E:$E))</f>
        <v/>
      </c>
      <c r="Q1296" s="21" t="str">
        <f t="shared" si="124"/>
        <v/>
      </c>
      <c r="R1296" t="str">
        <f t="shared" si="125"/>
        <v/>
      </c>
      <c r="S1296" t="str">
        <f>IF(I1296="","",_xlfn.XLOOKUP(I1296,Lists!$C:$C,Lists!$I:$I))</f>
        <v/>
      </c>
    </row>
    <row r="1297" spans="8:8">
      <c r="C1297">
        <f>_xlfn.XLOOKUP(B1297,Lists!B:B,Lists!A:A,"")</f>
        <v>0.0</v>
      </c>
      <c r="G1297" t="str">
        <f t="shared" si="121"/>
        <v/>
      </c>
      <c r="H1297" s="20" t="str">
        <f t="shared" si="122"/>
        <v/>
      </c>
      <c r="J1297" t="str">
        <f>IF(I1297="","",_xlfn.XLOOKUP(I1297,Lists!$C:$C,Lists!$D:$D))</f>
        <v/>
      </c>
      <c r="N1297" t="str">
        <f t="shared" si="123"/>
        <v/>
      </c>
      <c r="O1297" t="str">
        <f>IF(I1297="","",_xlfn.XLOOKUP(I1297,Lists!$C:$C,Lists!$J:$J))</f>
        <v/>
      </c>
      <c r="P1297" t="str">
        <f>IF(I1297="","",_xlfn.XLOOKUP(I1297,Lists!$C:$C,Lists!$E:$E))</f>
        <v/>
      </c>
      <c r="Q1297" s="21" t="str">
        <f t="shared" si="124"/>
        <v/>
      </c>
      <c r="R1297" t="str">
        <f t="shared" si="125"/>
        <v/>
      </c>
      <c r="S1297" t="str">
        <f>IF(I1297="","",_xlfn.XLOOKUP(I1297,Lists!$C:$C,Lists!$I:$I))</f>
        <v/>
      </c>
    </row>
    <row r="1298" spans="8:8">
      <c r="C1298">
        <f>_xlfn.XLOOKUP(B1298,Lists!B:B,Lists!A:A,"")</f>
        <v>0.0</v>
      </c>
      <c r="G1298" t="str">
        <f t="shared" si="121"/>
        <v/>
      </c>
      <c r="H1298" s="20" t="str">
        <f t="shared" si="122"/>
        <v/>
      </c>
      <c r="J1298" t="str">
        <f>IF(I1298="","",_xlfn.XLOOKUP(I1298,Lists!$C:$C,Lists!$D:$D))</f>
        <v/>
      </c>
      <c r="N1298" t="str">
        <f t="shared" si="123"/>
        <v/>
      </c>
      <c r="O1298" t="str">
        <f>IF(I1298="","",_xlfn.XLOOKUP(I1298,Lists!$C:$C,Lists!$J:$J))</f>
        <v/>
      </c>
      <c r="P1298" t="str">
        <f>IF(I1298="","",_xlfn.XLOOKUP(I1298,Lists!$C:$C,Lists!$E:$E))</f>
        <v/>
      </c>
      <c r="Q1298" s="21" t="str">
        <f t="shared" si="124"/>
        <v/>
      </c>
      <c r="R1298" t="str">
        <f t="shared" si="125"/>
        <v/>
      </c>
      <c r="S1298" t="str">
        <f>IF(I1298="","",_xlfn.XLOOKUP(I1298,Lists!$C:$C,Lists!$I:$I))</f>
        <v/>
      </c>
    </row>
    <row r="1299" spans="8:8">
      <c r="C1299">
        <f>_xlfn.XLOOKUP(B1299,Lists!B:B,Lists!A:A,"")</f>
        <v>0.0</v>
      </c>
      <c r="G1299" t="str">
        <f t="shared" si="121"/>
        <v/>
      </c>
      <c r="H1299" s="20" t="str">
        <f t="shared" si="122"/>
        <v/>
      </c>
      <c r="J1299" t="str">
        <f>IF(I1299="","",_xlfn.XLOOKUP(I1299,Lists!$C:$C,Lists!$D:$D))</f>
        <v/>
      </c>
      <c r="N1299" t="str">
        <f t="shared" si="123"/>
        <v/>
      </c>
      <c r="O1299" t="str">
        <f>IF(I1299="","",_xlfn.XLOOKUP(I1299,Lists!$C:$C,Lists!$J:$J))</f>
        <v/>
      </c>
      <c r="P1299" t="str">
        <f>IF(I1299="","",_xlfn.XLOOKUP(I1299,Lists!$C:$C,Lists!$E:$E))</f>
        <v/>
      </c>
      <c r="Q1299" s="21" t="str">
        <f t="shared" si="124"/>
        <v/>
      </c>
      <c r="R1299" t="str">
        <f t="shared" si="125"/>
        <v/>
      </c>
      <c r="S1299" t="str">
        <f>IF(I1299="","",_xlfn.XLOOKUP(I1299,Lists!$C:$C,Lists!$I:$I))</f>
        <v/>
      </c>
    </row>
    <row r="1300" spans="8:8">
      <c r="C1300">
        <f>_xlfn.XLOOKUP(B1300,Lists!B:B,Lists!A:A,"")</f>
        <v>0.0</v>
      </c>
      <c r="G1300" t="str">
        <f t="shared" si="126" ref="G1300:G1318">IF(OR(E1300="",F1300=""),"",F1300-E1300+1)</f>
        <v/>
      </c>
      <c r="H1300" s="20" t="str">
        <f t="shared" si="127" ref="H1300:H1318">IF(D1300="","",IF(OR(D1300="A",D1300="B"),G1300/80,IF(D1300="A&amp;B",G1300/160,"")))</f>
        <v/>
      </c>
      <c r="J1300" t="str">
        <f>IF(I1300="","",_xlfn.XLOOKUP(I1300,Lists!$C:$C,Lists!$D:$D))</f>
        <v/>
      </c>
      <c r="N1300" t="str">
        <f t="shared" si="128" ref="N1300:N1318">IF(OR(M1300="",L1300=""),"",(M1300*L1300)/100000)</f>
        <v/>
      </c>
      <c r="O1300" t="str">
        <f>IF(I1300="","",_xlfn.XLOOKUP(I1300,Lists!$C:$C,Lists!$J:$J))</f>
        <v/>
      </c>
      <c r="P1300" t="str">
        <f>IF(I1300="","",_xlfn.XLOOKUP(I1300,Lists!$C:$C,Lists!$E:$E))</f>
        <v/>
      </c>
      <c r="Q1300" s="21" t="str">
        <f t="shared" si="129" ref="Q1300:Q1318">IF(OR(A1300="",P1300=""),"",A1300+P1300+1)</f>
        <v/>
      </c>
      <c r="R1300" t="str">
        <f t="shared" si="130" ref="R1300:R1318">IF(Q1300="","",IF(Q1300&lt;=TODAY(),"Allow","Not Allow"))</f>
        <v/>
      </c>
      <c r="S1300" t="str">
        <f>IF(I1300="","",_xlfn.XLOOKUP(I1300,Lists!$C:$C,Lists!$I:$I))</f>
        <v/>
      </c>
    </row>
    <row r="1301" spans="8:8">
      <c r="C1301">
        <f>_xlfn.XLOOKUP(B1301,Lists!B:B,Lists!A:A,"")</f>
        <v>0.0</v>
      </c>
      <c r="G1301" t="str">
        <f t="shared" si="126"/>
        <v/>
      </c>
      <c r="H1301" s="20" t="str">
        <f t="shared" si="127"/>
        <v/>
      </c>
      <c r="J1301" t="str">
        <f>IF(I1301="","",_xlfn.XLOOKUP(I1301,Lists!$C:$C,Lists!$D:$D))</f>
        <v/>
      </c>
      <c r="N1301" t="str">
        <f t="shared" si="128"/>
        <v/>
      </c>
      <c r="O1301" t="str">
        <f>IF(I1301="","",_xlfn.XLOOKUP(I1301,Lists!$C:$C,Lists!$J:$J))</f>
        <v/>
      </c>
      <c r="P1301" t="str">
        <f>IF(I1301="","",_xlfn.XLOOKUP(I1301,Lists!$C:$C,Lists!$E:$E))</f>
        <v/>
      </c>
      <c r="Q1301" s="21" t="str">
        <f t="shared" si="129"/>
        <v/>
      </c>
      <c r="R1301" t="str">
        <f t="shared" si="130"/>
        <v/>
      </c>
      <c r="S1301" t="str">
        <f>IF(I1301="","",_xlfn.XLOOKUP(I1301,Lists!$C:$C,Lists!$I:$I))</f>
        <v/>
      </c>
    </row>
    <row r="1302" spans="8:8">
      <c r="C1302">
        <f>_xlfn.XLOOKUP(B1302,Lists!B:B,Lists!A:A,"")</f>
        <v>0.0</v>
      </c>
      <c r="G1302" t="str">
        <f t="shared" si="126"/>
        <v/>
      </c>
      <c r="H1302" s="20" t="str">
        <f t="shared" si="127"/>
        <v/>
      </c>
      <c r="J1302" t="str">
        <f>IF(I1302="","",_xlfn.XLOOKUP(I1302,Lists!$C:$C,Lists!$D:$D))</f>
        <v/>
      </c>
      <c r="N1302" t="str">
        <f t="shared" si="128"/>
        <v/>
      </c>
      <c r="O1302" t="str">
        <f>IF(I1302="","",_xlfn.XLOOKUP(I1302,Lists!$C:$C,Lists!$J:$J))</f>
        <v/>
      </c>
      <c r="P1302" t="str">
        <f>IF(I1302="","",_xlfn.XLOOKUP(I1302,Lists!$C:$C,Lists!$E:$E))</f>
        <v/>
      </c>
      <c r="Q1302" s="21" t="str">
        <f t="shared" si="129"/>
        <v/>
      </c>
      <c r="R1302" t="str">
        <f t="shared" si="130"/>
        <v/>
      </c>
      <c r="S1302" t="str">
        <f>IF(I1302="","",_xlfn.XLOOKUP(I1302,Lists!$C:$C,Lists!$I:$I))</f>
        <v/>
      </c>
    </row>
    <row r="1303" spans="8:8">
      <c r="C1303">
        <f>_xlfn.XLOOKUP(B1303,Lists!B:B,Lists!A:A,"")</f>
        <v>0.0</v>
      </c>
      <c r="G1303" t="str">
        <f t="shared" si="126"/>
        <v/>
      </c>
      <c r="H1303" s="20" t="str">
        <f t="shared" si="127"/>
        <v/>
      </c>
      <c r="J1303" t="str">
        <f>IF(I1303="","",_xlfn.XLOOKUP(I1303,Lists!$C:$C,Lists!$D:$D))</f>
        <v/>
      </c>
      <c r="N1303" t="str">
        <f t="shared" si="128"/>
        <v/>
      </c>
      <c r="O1303" t="str">
        <f>IF(I1303="","",_xlfn.XLOOKUP(I1303,Lists!$C:$C,Lists!$J:$J))</f>
        <v/>
      </c>
      <c r="P1303" t="str">
        <f>IF(I1303="","",_xlfn.XLOOKUP(I1303,Lists!$C:$C,Lists!$E:$E))</f>
        <v/>
      </c>
      <c r="Q1303" s="21" t="str">
        <f t="shared" si="129"/>
        <v/>
      </c>
      <c r="R1303" t="str">
        <f t="shared" si="130"/>
        <v/>
      </c>
      <c r="S1303" t="str">
        <f>IF(I1303="","",_xlfn.XLOOKUP(I1303,Lists!$C:$C,Lists!$I:$I))</f>
        <v/>
      </c>
    </row>
    <row r="1304" spans="8:8">
      <c r="C1304">
        <f>_xlfn.XLOOKUP(B1304,Lists!B:B,Lists!A:A,"")</f>
        <v>0.0</v>
      </c>
      <c r="G1304" t="str">
        <f t="shared" si="126"/>
        <v/>
      </c>
      <c r="H1304" s="20" t="str">
        <f t="shared" si="127"/>
        <v/>
      </c>
      <c r="J1304" t="str">
        <f>IF(I1304="","",_xlfn.XLOOKUP(I1304,Lists!$C:$C,Lists!$D:$D))</f>
        <v/>
      </c>
      <c r="N1304" t="str">
        <f t="shared" si="128"/>
        <v/>
      </c>
      <c r="O1304" t="str">
        <f>IF(I1304="","",_xlfn.XLOOKUP(I1304,Lists!$C:$C,Lists!$J:$J))</f>
        <v/>
      </c>
      <c r="P1304" t="str">
        <f>IF(I1304="","",_xlfn.XLOOKUP(I1304,Lists!$C:$C,Lists!$E:$E))</f>
        <v/>
      </c>
      <c r="Q1304" s="21" t="str">
        <f t="shared" si="129"/>
        <v/>
      </c>
      <c r="R1304" t="str">
        <f t="shared" si="130"/>
        <v/>
      </c>
      <c r="S1304" t="str">
        <f>IF(I1304="","",_xlfn.XLOOKUP(I1304,Lists!$C:$C,Lists!$I:$I))</f>
        <v/>
      </c>
    </row>
    <row r="1305" spans="8:8">
      <c r="C1305">
        <f>_xlfn.XLOOKUP(B1305,Lists!B:B,Lists!A:A,"")</f>
        <v>0.0</v>
      </c>
      <c r="G1305" t="str">
        <f t="shared" si="126"/>
        <v/>
      </c>
      <c r="H1305" s="20" t="str">
        <f t="shared" si="127"/>
        <v/>
      </c>
      <c r="J1305" t="str">
        <f>IF(I1305="","",_xlfn.XLOOKUP(I1305,Lists!$C:$C,Lists!$D:$D))</f>
        <v/>
      </c>
      <c r="N1305" t="str">
        <f t="shared" si="128"/>
        <v/>
      </c>
      <c r="O1305" t="str">
        <f>IF(I1305="","",_xlfn.XLOOKUP(I1305,Lists!$C:$C,Lists!$J:$J))</f>
        <v/>
      </c>
      <c r="P1305" t="str">
        <f>IF(I1305="","",_xlfn.XLOOKUP(I1305,Lists!$C:$C,Lists!$E:$E))</f>
        <v/>
      </c>
      <c r="Q1305" s="21" t="str">
        <f t="shared" si="129"/>
        <v/>
      </c>
      <c r="R1305" t="str">
        <f t="shared" si="130"/>
        <v/>
      </c>
      <c r="S1305" t="str">
        <f>IF(I1305="","",_xlfn.XLOOKUP(I1305,Lists!$C:$C,Lists!$I:$I))</f>
        <v/>
      </c>
    </row>
    <row r="1306" spans="8:8">
      <c r="C1306">
        <f>_xlfn.XLOOKUP(B1306,Lists!B:B,Lists!A:A,"")</f>
        <v>0.0</v>
      </c>
      <c r="G1306" t="str">
        <f t="shared" si="126"/>
        <v/>
      </c>
      <c r="H1306" s="20" t="str">
        <f t="shared" si="127"/>
        <v/>
      </c>
      <c r="J1306" t="str">
        <f>IF(I1306="","",_xlfn.XLOOKUP(I1306,Lists!$C:$C,Lists!$D:$D))</f>
        <v/>
      </c>
      <c r="N1306" t="str">
        <f t="shared" si="128"/>
        <v/>
      </c>
      <c r="O1306" t="str">
        <f>IF(I1306="","",_xlfn.XLOOKUP(I1306,Lists!$C:$C,Lists!$J:$J))</f>
        <v/>
      </c>
      <c r="P1306" t="str">
        <f>IF(I1306="","",_xlfn.XLOOKUP(I1306,Lists!$C:$C,Lists!$E:$E))</f>
        <v/>
      </c>
      <c r="Q1306" s="21" t="str">
        <f t="shared" si="129"/>
        <v/>
      </c>
      <c r="R1306" t="str">
        <f t="shared" si="130"/>
        <v/>
      </c>
      <c r="S1306" t="str">
        <f>IF(I1306="","",_xlfn.XLOOKUP(I1306,Lists!$C:$C,Lists!$I:$I))</f>
        <v/>
      </c>
    </row>
    <row r="1307" spans="8:8">
      <c r="C1307">
        <f>_xlfn.XLOOKUP(B1307,Lists!B:B,Lists!A:A,"")</f>
        <v>0.0</v>
      </c>
      <c r="G1307" t="str">
        <f t="shared" si="126"/>
        <v/>
      </c>
      <c r="H1307" s="20" t="str">
        <f t="shared" si="127"/>
        <v/>
      </c>
      <c r="J1307" t="str">
        <f>IF(I1307="","",_xlfn.XLOOKUP(I1307,Lists!$C:$C,Lists!$D:$D))</f>
        <v/>
      </c>
      <c r="N1307" t="str">
        <f t="shared" si="128"/>
        <v/>
      </c>
      <c r="O1307" t="str">
        <f>IF(I1307="","",_xlfn.XLOOKUP(I1307,Lists!$C:$C,Lists!$J:$J))</f>
        <v/>
      </c>
      <c r="P1307" t="str">
        <f>IF(I1307="","",_xlfn.XLOOKUP(I1307,Lists!$C:$C,Lists!$E:$E))</f>
        <v/>
      </c>
      <c r="Q1307" s="21" t="str">
        <f t="shared" si="129"/>
        <v/>
      </c>
      <c r="R1307" t="str">
        <f t="shared" si="130"/>
        <v/>
      </c>
      <c r="S1307" t="str">
        <f>IF(I1307="","",_xlfn.XLOOKUP(I1307,Lists!$C:$C,Lists!$I:$I))</f>
        <v/>
      </c>
    </row>
    <row r="1308" spans="8:8">
      <c r="C1308">
        <f>_xlfn.XLOOKUP(B1308,Lists!B:B,Lists!A:A,"")</f>
        <v>0.0</v>
      </c>
      <c r="G1308" t="str">
        <f t="shared" si="126"/>
        <v/>
      </c>
      <c r="H1308" s="20" t="str">
        <f t="shared" si="127"/>
        <v/>
      </c>
      <c r="J1308" t="str">
        <f>IF(I1308="","",_xlfn.XLOOKUP(I1308,Lists!$C:$C,Lists!$D:$D))</f>
        <v/>
      </c>
      <c r="N1308" t="str">
        <f t="shared" si="128"/>
        <v/>
      </c>
      <c r="O1308" t="str">
        <f>IF(I1308="","",_xlfn.XLOOKUP(I1308,Lists!$C:$C,Lists!$J:$J))</f>
        <v/>
      </c>
      <c r="P1308" t="str">
        <f>IF(I1308="","",_xlfn.XLOOKUP(I1308,Lists!$C:$C,Lists!$E:$E))</f>
        <v/>
      </c>
      <c r="Q1308" s="21" t="str">
        <f t="shared" si="129"/>
        <v/>
      </c>
      <c r="R1308" t="str">
        <f t="shared" si="130"/>
        <v/>
      </c>
      <c r="S1308" t="str">
        <f>IF(I1308="","",_xlfn.XLOOKUP(I1308,Lists!$C:$C,Lists!$I:$I))</f>
        <v/>
      </c>
    </row>
    <row r="1309" spans="8:8">
      <c r="C1309">
        <f>_xlfn.XLOOKUP(B1309,Lists!B:B,Lists!A:A,"")</f>
        <v>0.0</v>
      </c>
      <c r="G1309" t="str">
        <f t="shared" si="126"/>
        <v/>
      </c>
      <c r="H1309" s="20" t="str">
        <f t="shared" si="127"/>
        <v/>
      </c>
      <c r="J1309" t="str">
        <f>IF(I1309="","",_xlfn.XLOOKUP(I1309,Lists!$C:$C,Lists!$D:$D))</f>
        <v/>
      </c>
      <c r="N1309" t="str">
        <f t="shared" si="128"/>
        <v/>
      </c>
      <c r="O1309" t="str">
        <f>IF(I1309="","",_xlfn.XLOOKUP(I1309,Lists!$C:$C,Lists!$J:$J))</f>
        <v/>
      </c>
      <c r="P1309" t="str">
        <f>IF(I1309="","",_xlfn.XLOOKUP(I1309,Lists!$C:$C,Lists!$E:$E))</f>
        <v/>
      </c>
      <c r="Q1309" s="21" t="str">
        <f t="shared" si="129"/>
        <v/>
      </c>
      <c r="R1309" t="str">
        <f t="shared" si="130"/>
        <v/>
      </c>
      <c r="S1309" t="str">
        <f>IF(I1309="","",_xlfn.XLOOKUP(I1309,Lists!$C:$C,Lists!$I:$I))</f>
        <v/>
      </c>
    </row>
    <row r="1310" spans="8:8">
      <c r="C1310">
        <f>_xlfn.XLOOKUP(B1310,Lists!B:B,Lists!A:A,"")</f>
        <v>0.0</v>
      </c>
      <c r="G1310" t="str">
        <f t="shared" si="126"/>
        <v/>
      </c>
      <c r="H1310" s="20" t="str">
        <f t="shared" si="127"/>
        <v/>
      </c>
      <c r="J1310" t="str">
        <f>IF(I1310="","",_xlfn.XLOOKUP(I1310,Lists!$C:$C,Lists!$D:$D))</f>
        <v/>
      </c>
      <c r="N1310" t="str">
        <f t="shared" si="128"/>
        <v/>
      </c>
      <c r="O1310" t="str">
        <f>IF(I1310="","",_xlfn.XLOOKUP(I1310,Lists!$C:$C,Lists!$J:$J))</f>
        <v/>
      </c>
      <c r="P1310" t="str">
        <f>IF(I1310="","",_xlfn.XLOOKUP(I1310,Lists!$C:$C,Lists!$E:$E))</f>
        <v/>
      </c>
      <c r="Q1310" s="21" t="str">
        <f t="shared" si="129"/>
        <v/>
      </c>
      <c r="R1310" t="str">
        <f t="shared" si="130"/>
        <v/>
      </c>
      <c r="S1310" t="str">
        <f>IF(I1310="","",_xlfn.XLOOKUP(I1310,Lists!$C:$C,Lists!$I:$I))</f>
        <v/>
      </c>
    </row>
    <row r="1311" spans="8:8">
      <c r="C1311">
        <f>_xlfn.XLOOKUP(B1311,Lists!B:B,Lists!A:A,"")</f>
        <v>0.0</v>
      </c>
      <c r="G1311" t="str">
        <f t="shared" si="126"/>
        <v/>
      </c>
      <c r="H1311" s="20" t="str">
        <f t="shared" si="127"/>
        <v/>
      </c>
      <c r="J1311" t="str">
        <f>IF(I1311="","",_xlfn.XLOOKUP(I1311,Lists!$C:$C,Lists!$D:$D))</f>
        <v/>
      </c>
      <c r="N1311" t="str">
        <f t="shared" si="128"/>
        <v/>
      </c>
      <c r="O1311" t="str">
        <f>IF(I1311="","",_xlfn.XLOOKUP(I1311,Lists!$C:$C,Lists!$J:$J))</f>
        <v/>
      </c>
      <c r="P1311" t="str">
        <f>IF(I1311="","",_xlfn.XLOOKUP(I1311,Lists!$C:$C,Lists!$E:$E))</f>
        <v/>
      </c>
      <c r="Q1311" s="21" t="str">
        <f t="shared" si="129"/>
        <v/>
      </c>
      <c r="R1311" t="str">
        <f t="shared" si="130"/>
        <v/>
      </c>
      <c r="S1311" t="str">
        <f>IF(I1311="","",_xlfn.XLOOKUP(I1311,Lists!$C:$C,Lists!$I:$I))</f>
        <v/>
      </c>
    </row>
    <row r="1312" spans="8:8">
      <c r="C1312">
        <f>_xlfn.XLOOKUP(B1312,Lists!B:B,Lists!A:A,"")</f>
        <v>0.0</v>
      </c>
      <c r="G1312" t="str">
        <f t="shared" si="126"/>
        <v/>
      </c>
      <c r="H1312" s="20" t="str">
        <f t="shared" si="127"/>
        <v/>
      </c>
      <c r="J1312" t="str">
        <f>IF(I1312="","",_xlfn.XLOOKUP(I1312,Lists!$C:$C,Lists!$D:$D))</f>
        <v/>
      </c>
      <c r="N1312" t="str">
        <f t="shared" si="128"/>
        <v/>
      </c>
      <c r="O1312" t="str">
        <f>IF(I1312="","",_xlfn.XLOOKUP(I1312,Lists!$C:$C,Lists!$J:$J))</f>
        <v/>
      </c>
      <c r="P1312" t="str">
        <f>IF(I1312="","",_xlfn.XLOOKUP(I1312,Lists!$C:$C,Lists!$E:$E))</f>
        <v/>
      </c>
      <c r="Q1312" s="21" t="str">
        <f t="shared" si="129"/>
        <v/>
      </c>
      <c r="R1312" t="str">
        <f t="shared" si="130"/>
        <v/>
      </c>
      <c r="S1312" t="str">
        <f>IF(I1312="","",_xlfn.XLOOKUP(I1312,Lists!$C:$C,Lists!$I:$I))</f>
        <v/>
      </c>
    </row>
    <row r="1313" spans="8:8">
      <c r="C1313">
        <f>_xlfn.XLOOKUP(B1313,Lists!B:B,Lists!A:A,"")</f>
        <v>0.0</v>
      </c>
      <c r="G1313" t="str">
        <f t="shared" si="126"/>
        <v/>
      </c>
      <c r="H1313" s="20" t="str">
        <f t="shared" si="127"/>
        <v/>
      </c>
      <c r="J1313" t="str">
        <f>IF(I1313="","",_xlfn.XLOOKUP(I1313,Lists!$C:$C,Lists!$D:$D))</f>
        <v/>
      </c>
      <c r="N1313" t="str">
        <f t="shared" si="128"/>
        <v/>
      </c>
      <c r="O1313" t="str">
        <f>IF(I1313="","",_xlfn.XLOOKUP(I1313,Lists!$C:$C,Lists!$J:$J))</f>
        <v/>
      </c>
      <c r="P1313" t="str">
        <f>IF(I1313="","",_xlfn.XLOOKUP(I1313,Lists!$C:$C,Lists!$E:$E))</f>
        <v/>
      </c>
      <c r="Q1313" s="21" t="str">
        <f t="shared" si="129"/>
        <v/>
      </c>
      <c r="R1313" t="str">
        <f t="shared" si="130"/>
        <v/>
      </c>
      <c r="S1313" t="str">
        <f>IF(I1313="","",_xlfn.XLOOKUP(I1313,Lists!$C:$C,Lists!$I:$I))</f>
        <v/>
      </c>
    </row>
    <row r="1314" spans="8:8">
      <c r="C1314">
        <f>_xlfn.XLOOKUP(B1314,Lists!B:B,Lists!A:A,"")</f>
        <v>0.0</v>
      </c>
      <c r="G1314" t="str">
        <f t="shared" si="126"/>
        <v/>
      </c>
      <c r="H1314" s="20" t="str">
        <f t="shared" si="127"/>
        <v/>
      </c>
      <c r="J1314" t="str">
        <f>IF(I1314="","",_xlfn.XLOOKUP(I1314,Lists!$C:$C,Lists!$D:$D))</f>
        <v/>
      </c>
      <c r="N1314" t="str">
        <f t="shared" si="128"/>
        <v/>
      </c>
      <c r="O1314" t="str">
        <f>IF(I1314="","",_xlfn.XLOOKUP(I1314,Lists!$C:$C,Lists!$J:$J))</f>
        <v/>
      </c>
      <c r="P1314" t="str">
        <f>IF(I1314="","",_xlfn.XLOOKUP(I1314,Lists!$C:$C,Lists!$E:$E))</f>
        <v/>
      </c>
      <c r="Q1314" s="21" t="str">
        <f t="shared" si="129"/>
        <v/>
      </c>
      <c r="R1314" t="str">
        <f t="shared" si="130"/>
        <v/>
      </c>
      <c r="S1314" t="str">
        <f>IF(I1314="","",_xlfn.XLOOKUP(I1314,Lists!$C:$C,Lists!$I:$I))</f>
        <v/>
      </c>
    </row>
    <row r="1315" spans="8:8">
      <c r="C1315">
        <f>_xlfn.XLOOKUP(B1315,Lists!B:B,Lists!A:A,"")</f>
        <v>0.0</v>
      </c>
      <c r="G1315" t="str">
        <f t="shared" si="126"/>
        <v/>
      </c>
      <c r="H1315" s="20" t="str">
        <f t="shared" si="127"/>
        <v/>
      </c>
      <c r="J1315" t="str">
        <f>IF(I1315="","",_xlfn.XLOOKUP(I1315,Lists!$C:$C,Lists!$D:$D))</f>
        <v/>
      </c>
      <c r="N1315" t="str">
        <f t="shared" si="128"/>
        <v/>
      </c>
      <c r="O1315" t="str">
        <f>IF(I1315="","",_xlfn.XLOOKUP(I1315,Lists!$C:$C,Lists!$J:$J))</f>
        <v/>
      </c>
      <c r="P1315" t="str">
        <f>IF(I1315="","",_xlfn.XLOOKUP(I1315,Lists!$C:$C,Lists!$E:$E))</f>
        <v/>
      </c>
      <c r="Q1315" s="21" t="str">
        <f t="shared" si="129"/>
        <v/>
      </c>
      <c r="R1315" t="str">
        <f t="shared" si="130"/>
        <v/>
      </c>
      <c r="S1315" t="str">
        <f>IF(I1315="","",_xlfn.XLOOKUP(I1315,Lists!$C:$C,Lists!$I:$I))</f>
        <v/>
      </c>
    </row>
    <row r="1316" spans="8:8">
      <c r="C1316">
        <f>_xlfn.XLOOKUP(B1316,Lists!B:B,Lists!A:A,"")</f>
        <v>0.0</v>
      </c>
      <c r="G1316" t="str">
        <f t="shared" si="126"/>
        <v/>
      </c>
      <c r="H1316" s="20" t="str">
        <f t="shared" si="127"/>
        <v/>
      </c>
      <c r="J1316" t="str">
        <f>IF(I1316="","",_xlfn.XLOOKUP(I1316,Lists!$C:$C,Lists!$D:$D))</f>
        <v/>
      </c>
      <c r="N1316" t="str">
        <f t="shared" si="128"/>
        <v/>
      </c>
      <c r="O1316" t="str">
        <f>IF(I1316="","",_xlfn.XLOOKUP(I1316,Lists!$C:$C,Lists!$J:$J))</f>
        <v/>
      </c>
      <c r="P1316" t="str">
        <f>IF(I1316="","",_xlfn.XLOOKUP(I1316,Lists!$C:$C,Lists!$E:$E))</f>
        <v/>
      </c>
      <c r="Q1316" s="21" t="str">
        <f t="shared" si="129"/>
        <v/>
      </c>
      <c r="R1316" t="str">
        <f t="shared" si="130"/>
        <v/>
      </c>
      <c r="S1316" t="str">
        <f>IF(I1316="","",_xlfn.XLOOKUP(I1316,Lists!$C:$C,Lists!$I:$I))</f>
        <v/>
      </c>
    </row>
    <row r="1317" spans="8:8">
      <c r="C1317">
        <f>_xlfn.XLOOKUP(B1317,Lists!B:B,Lists!A:A,"")</f>
        <v>0.0</v>
      </c>
      <c r="G1317" t="str">
        <f t="shared" si="126"/>
        <v/>
      </c>
      <c r="H1317" s="20" t="str">
        <f t="shared" si="127"/>
        <v/>
      </c>
      <c r="J1317" t="str">
        <f>IF(I1317="","",_xlfn.XLOOKUP(I1317,Lists!$C:$C,Lists!$D:$D))</f>
        <v/>
      </c>
      <c r="N1317" t="str">
        <f t="shared" si="128"/>
        <v/>
      </c>
      <c r="O1317" t="str">
        <f>IF(I1317="","",_xlfn.XLOOKUP(I1317,Lists!$C:$C,Lists!$J:$J))</f>
        <v/>
      </c>
      <c r="P1317" t="str">
        <f>IF(I1317="","",_xlfn.XLOOKUP(I1317,Lists!$C:$C,Lists!$E:$E))</f>
        <v/>
      </c>
      <c r="Q1317" s="21" t="str">
        <f t="shared" si="129"/>
        <v/>
      </c>
      <c r="R1317" t="str">
        <f t="shared" si="130"/>
        <v/>
      </c>
      <c r="S1317" t="str">
        <f>IF(I1317="","",_xlfn.XLOOKUP(I1317,Lists!$C:$C,Lists!$I:$I))</f>
        <v/>
      </c>
    </row>
    <row r="1318" spans="8:8">
      <c r="C1318">
        <f>_xlfn.XLOOKUP(B1318,Lists!B:B,Lists!A:A,"")</f>
        <v>0.0</v>
      </c>
      <c r="G1318" t="str">
        <f t="shared" si="126"/>
        <v/>
      </c>
      <c r="H1318" s="20" t="str">
        <f t="shared" si="127"/>
        <v/>
      </c>
      <c r="J1318" t="str">
        <f>IF(I1318="","",_xlfn.XLOOKUP(I1318,Lists!$C:$C,Lists!$D:$D))</f>
        <v/>
      </c>
      <c r="N1318" t="str">
        <f t="shared" si="128"/>
        <v/>
      </c>
      <c r="O1318" t="str">
        <f>IF(I1318="","",_xlfn.XLOOKUP(I1318,Lists!$C:$C,Lists!$J:$J))</f>
        <v/>
      </c>
      <c r="P1318" t="str">
        <f>IF(I1318="","",_xlfn.XLOOKUP(I1318,Lists!$C:$C,Lists!$E:$E))</f>
        <v/>
      </c>
      <c r="Q1318" s="21" t="str">
        <f t="shared" si="129"/>
        <v/>
      </c>
      <c r="R1318" t="str">
        <f t="shared" si="130"/>
        <v/>
      </c>
      <c r="S1318" t="str">
        <f>IF(I1318="","",_xlfn.XLOOKUP(I1318,Lists!$C:$C,Lists!$I:$I))</f>
        <v/>
      </c>
    </row>
    <row r="1319" spans="8:8">
      <c r="C1319">
        <f>_xlfn.XLOOKUP(B1319,Lists!B:B,Lists!A:A,"")</f>
        <v>0.0</v>
      </c>
      <c r="G1319" t="str">
        <f t="shared" si="131" ref="G1319:G1328">IF(OR(E1319="",F1319=""),"",F1319-E1319+1)</f>
        <v/>
      </c>
      <c r="H1319" s="20" t="str">
        <f t="shared" si="132" ref="H1319:H1328">IF(D1319="","",IF(OR(D1319="A",D1319="B"),G1319/80,IF(D1319="A&amp;B",G1319/160,"")))</f>
        <v/>
      </c>
      <c r="J1319" t="str">
        <f>IF(I1319="","",_xlfn.XLOOKUP(I1319,Lists!$C:$C,Lists!$D:$D))</f>
        <v/>
      </c>
      <c r="N1319" t="str">
        <f t="shared" si="133" ref="N1319:N1328">IF(OR(M1319="",L1319=""),"",(M1319*L1319)/100000)</f>
        <v/>
      </c>
      <c r="O1319" t="str">
        <f>IF(I1319="","",_xlfn.XLOOKUP(I1319,Lists!$C:$C,Lists!$J:$J))</f>
        <v/>
      </c>
      <c r="P1319" t="str">
        <f>IF(I1319="","",_xlfn.XLOOKUP(I1319,Lists!$C:$C,Lists!$E:$E))</f>
        <v/>
      </c>
      <c r="Q1319" s="21" t="str">
        <f t="shared" si="134" ref="Q1319:Q1328">IF(OR(A1319="",P1319=""),"",A1319+P1319+1)</f>
        <v/>
      </c>
      <c r="R1319" t="str">
        <f t="shared" si="135" ref="R1319:R1328">IF(Q1319="","",IF(Q1319&lt;=TODAY(),"Allow","Not Allow"))</f>
        <v/>
      </c>
      <c r="S1319" t="str">
        <f>IF(I1319="","",_xlfn.XLOOKUP(I1319,Lists!$C:$C,Lists!$I:$I))</f>
        <v/>
      </c>
    </row>
    <row r="1320" spans="8:8">
      <c r="C1320">
        <f>_xlfn.XLOOKUP(B1320,Lists!B:B,Lists!A:A,"")</f>
        <v>0.0</v>
      </c>
      <c r="G1320" t="str">
        <f t="shared" si="131"/>
        <v/>
      </c>
      <c r="H1320" s="20" t="str">
        <f t="shared" si="132"/>
        <v/>
      </c>
      <c r="J1320" t="str">
        <f>IF(I1320="","",_xlfn.XLOOKUP(I1320,Lists!$C:$C,Lists!$D:$D))</f>
        <v/>
      </c>
      <c r="N1320" t="str">
        <f t="shared" si="133"/>
        <v/>
      </c>
      <c r="O1320" t="str">
        <f>IF(I1320="","",_xlfn.XLOOKUP(I1320,Lists!$C:$C,Lists!$J:$J))</f>
        <v/>
      </c>
      <c r="P1320" t="str">
        <f>IF(I1320="","",_xlfn.XLOOKUP(I1320,Lists!$C:$C,Lists!$E:$E))</f>
        <v/>
      </c>
      <c r="Q1320" s="21" t="str">
        <f t="shared" si="134"/>
        <v/>
      </c>
      <c r="R1320" t="str">
        <f t="shared" si="135"/>
        <v/>
      </c>
      <c r="S1320" t="str">
        <f>IF(I1320="","",_xlfn.XLOOKUP(I1320,Lists!$C:$C,Lists!$I:$I))</f>
        <v/>
      </c>
    </row>
    <row r="1321" spans="8:8">
      <c r="C1321">
        <f>_xlfn.XLOOKUP(B1321,Lists!B:B,Lists!A:A,"")</f>
        <v>0.0</v>
      </c>
      <c r="G1321" t="str">
        <f t="shared" si="131"/>
        <v/>
      </c>
      <c r="H1321" s="20" t="str">
        <f t="shared" si="132"/>
        <v/>
      </c>
      <c r="J1321" t="str">
        <f>IF(I1321="","",_xlfn.XLOOKUP(I1321,Lists!$C:$C,Lists!$D:$D))</f>
        <v/>
      </c>
      <c r="N1321" t="str">
        <f t="shared" si="133"/>
        <v/>
      </c>
      <c r="O1321" t="str">
        <f>IF(I1321="","",_xlfn.XLOOKUP(I1321,Lists!$C:$C,Lists!$J:$J))</f>
        <v/>
      </c>
      <c r="P1321" t="str">
        <f>IF(I1321="","",_xlfn.XLOOKUP(I1321,Lists!$C:$C,Lists!$E:$E))</f>
        <v/>
      </c>
      <c r="Q1321" s="21" t="str">
        <f t="shared" si="134"/>
        <v/>
      </c>
      <c r="R1321" t="str">
        <f t="shared" si="135"/>
        <v/>
      </c>
      <c r="S1321" t="str">
        <f>IF(I1321="","",_xlfn.XLOOKUP(I1321,Lists!$C:$C,Lists!$I:$I))</f>
        <v/>
      </c>
    </row>
    <row r="1322" spans="8:8">
      <c r="C1322">
        <f>_xlfn.XLOOKUP(B1322,Lists!B:B,Lists!A:A,"")</f>
        <v>0.0</v>
      </c>
      <c r="G1322" t="str">
        <f t="shared" si="131"/>
        <v/>
      </c>
      <c r="H1322" s="20" t="str">
        <f t="shared" si="132"/>
        <v/>
      </c>
      <c r="J1322" t="str">
        <f>IF(I1322="","",_xlfn.XLOOKUP(I1322,Lists!$C:$C,Lists!$D:$D))</f>
        <v/>
      </c>
      <c r="N1322" t="str">
        <f t="shared" si="133"/>
        <v/>
      </c>
      <c r="O1322" t="str">
        <f>IF(I1322="","",_xlfn.XLOOKUP(I1322,Lists!$C:$C,Lists!$J:$J))</f>
        <v/>
      </c>
      <c r="P1322" t="str">
        <f>IF(I1322="","",_xlfn.XLOOKUP(I1322,Lists!$C:$C,Lists!$E:$E))</f>
        <v/>
      </c>
      <c r="Q1322" s="21" t="str">
        <f t="shared" si="134"/>
        <v/>
      </c>
      <c r="R1322" t="str">
        <f t="shared" si="135"/>
        <v/>
      </c>
      <c r="S1322" t="str">
        <f>IF(I1322="","",_xlfn.XLOOKUP(I1322,Lists!$C:$C,Lists!$I:$I))</f>
        <v/>
      </c>
    </row>
    <row r="1323" spans="8:8">
      <c r="C1323">
        <f>_xlfn.XLOOKUP(B1323,Lists!B:B,Lists!A:A,"")</f>
        <v>0.0</v>
      </c>
      <c r="G1323" t="str">
        <f t="shared" si="131"/>
        <v/>
      </c>
      <c r="H1323" s="20" t="str">
        <f t="shared" si="132"/>
        <v/>
      </c>
      <c r="J1323" t="str">
        <f>IF(I1323="","",_xlfn.XLOOKUP(I1323,Lists!$C:$C,Lists!$D:$D))</f>
        <v/>
      </c>
      <c r="N1323" t="str">
        <f t="shared" si="133"/>
        <v/>
      </c>
      <c r="O1323" t="str">
        <f>IF(I1323="","",_xlfn.XLOOKUP(I1323,Lists!$C:$C,Lists!$J:$J))</f>
        <v/>
      </c>
      <c r="P1323" t="str">
        <f>IF(I1323="","",_xlfn.XLOOKUP(I1323,Lists!$C:$C,Lists!$E:$E))</f>
        <v/>
      </c>
      <c r="Q1323" s="21" t="str">
        <f t="shared" si="134"/>
        <v/>
      </c>
      <c r="R1323" t="str">
        <f t="shared" si="135"/>
        <v/>
      </c>
      <c r="S1323" t="str">
        <f>IF(I1323="","",_xlfn.XLOOKUP(I1323,Lists!$C:$C,Lists!$I:$I))</f>
        <v/>
      </c>
    </row>
    <row r="1324" spans="8:8">
      <c r="C1324">
        <f>_xlfn.XLOOKUP(B1324,Lists!B:B,Lists!A:A,"")</f>
        <v>0.0</v>
      </c>
      <c r="G1324" t="str">
        <f t="shared" si="131"/>
        <v/>
      </c>
      <c r="H1324" s="20" t="str">
        <f t="shared" si="132"/>
        <v/>
      </c>
      <c r="J1324" t="str">
        <f>IF(I1324="","",_xlfn.XLOOKUP(I1324,Lists!$C:$C,Lists!$D:$D))</f>
        <v/>
      </c>
      <c r="N1324" t="str">
        <f t="shared" si="133"/>
        <v/>
      </c>
      <c r="O1324" t="str">
        <f>IF(I1324="","",_xlfn.XLOOKUP(I1324,Lists!$C:$C,Lists!$J:$J))</f>
        <v/>
      </c>
      <c r="P1324" t="str">
        <f>IF(I1324="","",_xlfn.XLOOKUP(I1324,Lists!$C:$C,Lists!$E:$E))</f>
        <v/>
      </c>
      <c r="Q1324" s="21" t="str">
        <f t="shared" si="134"/>
        <v/>
      </c>
      <c r="R1324" t="str">
        <f t="shared" si="135"/>
        <v/>
      </c>
      <c r="S1324" t="str">
        <f>IF(I1324="","",_xlfn.XLOOKUP(I1324,Lists!$C:$C,Lists!$I:$I))</f>
        <v/>
      </c>
    </row>
    <row r="1325" spans="8:8">
      <c r="C1325">
        <f>_xlfn.XLOOKUP(B1325,Lists!B:B,Lists!A:A,"")</f>
        <v>0.0</v>
      </c>
      <c r="G1325" t="str">
        <f t="shared" si="131"/>
        <v/>
      </c>
      <c r="H1325" s="20" t="str">
        <f t="shared" si="132"/>
        <v/>
      </c>
      <c r="J1325" t="str">
        <f>IF(I1325="","",_xlfn.XLOOKUP(I1325,Lists!$C:$C,Lists!$D:$D))</f>
        <v/>
      </c>
      <c r="N1325" t="str">
        <f t="shared" si="133"/>
        <v/>
      </c>
      <c r="O1325" t="str">
        <f>IF(I1325="","",_xlfn.XLOOKUP(I1325,Lists!$C:$C,Lists!$J:$J))</f>
        <v/>
      </c>
      <c r="P1325" t="str">
        <f>IF(I1325="","",_xlfn.XLOOKUP(I1325,Lists!$C:$C,Lists!$E:$E))</f>
        <v/>
      </c>
      <c r="Q1325" s="21" t="str">
        <f t="shared" si="134"/>
        <v/>
      </c>
      <c r="R1325" t="str">
        <f t="shared" si="135"/>
        <v/>
      </c>
      <c r="S1325" t="str">
        <f>IF(I1325="","",_xlfn.XLOOKUP(I1325,Lists!$C:$C,Lists!$I:$I))</f>
        <v/>
      </c>
    </row>
    <row r="1326" spans="8:8">
      <c r="C1326">
        <f>_xlfn.XLOOKUP(B1326,Lists!B:B,Lists!A:A,"")</f>
        <v>0.0</v>
      </c>
      <c r="G1326" t="str">
        <f t="shared" si="131"/>
        <v/>
      </c>
      <c r="H1326" s="20" t="str">
        <f t="shared" si="132"/>
        <v/>
      </c>
      <c r="J1326" t="str">
        <f>IF(I1326="","",_xlfn.XLOOKUP(I1326,Lists!$C:$C,Lists!$D:$D))</f>
        <v/>
      </c>
      <c r="N1326" t="str">
        <f t="shared" si="133"/>
        <v/>
      </c>
      <c r="O1326" t="str">
        <f>IF(I1326="","",_xlfn.XLOOKUP(I1326,Lists!$C:$C,Lists!$J:$J))</f>
        <v/>
      </c>
      <c r="P1326" t="str">
        <f>IF(I1326="","",_xlfn.XLOOKUP(I1326,Lists!$C:$C,Lists!$E:$E))</f>
        <v/>
      </c>
      <c r="Q1326" s="21" t="str">
        <f t="shared" si="134"/>
        <v/>
      </c>
      <c r="R1326" t="str">
        <f t="shared" si="135"/>
        <v/>
      </c>
      <c r="S1326" t="str">
        <f>IF(I1326="","",_xlfn.XLOOKUP(I1326,Lists!$C:$C,Lists!$I:$I))</f>
        <v/>
      </c>
    </row>
    <row r="1327" spans="8:8">
      <c r="C1327">
        <f>_xlfn.XLOOKUP(B1327,Lists!B:B,Lists!A:A,"")</f>
        <v>0.0</v>
      </c>
      <c r="G1327" t="str">
        <f t="shared" si="131"/>
        <v/>
      </c>
      <c r="H1327" s="20" t="str">
        <f t="shared" si="132"/>
        <v/>
      </c>
      <c r="J1327" t="str">
        <f>IF(I1327="","",_xlfn.XLOOKUP(I1327,Lists!$C:$C,Lists!$D:$D))</f>
        <v/>
      </c>
      <c r="N1327" t="str">
        <f t="shared" si="133"/>
        <v/>
      </c>
      <c r="O1327" t="str">
        <f>IF(I1327="","",_xlfn.XLOOKUP(I1327,Lists!$C:$C,Lists!$J:$J))</f>
        <v/>
      </c>
      <c r="P1327" t="str">
        <f>IF(I1327="","",_xlfn.XLOOKUP(I1327,Lists!$C:$C,Lists!$E:$E))</f>
        <v/>
      </c>
      <c r="Q1327" s="21" t="str">
        <f t="shared" si="134"/>
        <v/>
      </c>
      <c r="R1327" t="str">
        <f t="shared" si="135"/>
        <v/>
      </c>
      <c r="S1327" t="str">
        <f>IF(I1327="","",_xlfn.XLOOKUP(I1327,Lists!$C:$C,Lists!$I:$I))</f>
        <v/>
      </c>
    </row>
    <row r="1328" spans="8:8">
      <c r="C1328">
        <f>_xlfn.XLOOKUP(B1328,Lists!B:B,Lists!A:A,"")</f>
        <v>0.0</v>
      </c>
      <c r="G1328" t="str">
        <f t="shared" si="131"/>
        <v/>
      </c>
      <c r="H1328" s="20" t="str">
        <f t="shared" si="132"/>
        <v/>
      </c>
      <c r="J1328" t="str">
        <f>IF(I1328="","",_xlfn.XLOOKUP(I1328,Lists!$C:$C,Lists!$D:$D))</f>
        <v/>
      </c>
      <c r="N1328" t="str">
        <f t="shared" si="133"/>
        <v/>
      </c>
      <c r="O1328" t="str">
        <f>IF(I1328="","",_xlfn.XLOOKUP(I1328,Lists!$C:$C,Lists!$J:$J))</f>
        <v/>
      </c>
      <c r="P1328" t="str">
        <f>IF(I1328="","",_xlfn.XLOOKUP(I1328,Lists!$C:$C,Lists!$E:$E))</f>
        <v/>
      </c>
      <c r="Q1328" s="21" t="str">
        <f t="shared" si="134"/>
        <v/>
      </c>
      <c r="R1328" t="str">
        <f t="shared" si="135"/>
        <v/>
      </c>
      <c r="S1328" t="str">
        <f>IF(I1328="","",_xlfn.XLOOKUP(I1328,Lists!$C:$C,Lists!$I:$I))</f>
        <v/>
      </c>
    </row>
    <row r="1329" spans="8:8">
      <c r="C1329">
        <f>_xlfn.XLOOKUP(B1329,Lists!B:B,Lists!A:A,"")</f>
        <v>0.0</v>
      </c>
      <c r="G1329" t="str">
        <f t="shared" si="136" ref="G1329:G1333">IF(OR(E1329="",F1329=""),"",F1329-E1329+1)</f>
        <v/>
      </c>
      <c r="H1329" s="20" t="str">
        <f t="shared" si="137" ref="H1329:H1333">IF(D1329="","",IF(OR(D1329="A",D1329="B"),G1329/80,IF(D1329="A&amp;B",G1329/160,"")))</f>
        <v/>
      </c>
      <c r="J1329" t="str">
        <f>IF(I1329="","",_xlfn.XLOOKUP(I1329,Lists!$C:$C,Lists!$D:$D))</f>
        <v/>
      </c>
      <c r="N1329" t="str">
        <f t="shared" si="138" ref="N1329:N1333">IF(OR(M1329="",L1329=""),"",(M1329*L1329)/100000)</f>
        <v/>
      </c>
      <c r="O1329" t="str">
        <f>IF(I1329="","",_xlfn.XLOOKUP(I1329,Lists!$C:$C,Lists!$J:$J))</f>
        <v/>
      </c>
      <c r="P1329" t="str">
        <f>IF(I1329="","",_xlfn.XLOOKUP(I1329,Lists!$C:$C,Lists!$E:$E))</f>
        <v/>
      </c>
      <c r="Q1329" s="21" t="str">
        <f t="shared" si="139" ref="Q1329:Q1333">IF(OR(A1329="",P1329=""),"",A1329+P1329+1)</f>
        <v/>
      </c>
      <c r="R1329" t="str">
        <f t="shared" si="140" ref="R1329:R1333">IF(Q1329="","",IF(Q1329&lt;=TODAY(),"Allow","Not Allow"))</f>
        <v/>
      </c>
      <c r="S1329" t="str">
        <f>IF(I1329="","",_xlfn.XLOOKUP(I1329,Lists!$C:$C,Lists!$I:$I))</f>
        <v/>
      </c>
    </row>
    <row r="1330" spans="8:8">
      <c r="C1330">
        <f>_xlfn.XLOOKUP(B1330,Lists!B:B,Lists!A:A,"")</f>
        <v>0.0</v>
      </c>
      <c r="G1330" t="str">
        <f t="shared" si="136"/>
        <v/>
      </c>
      <c r="H1330" s="20" t="str">
        <f t="shared" si="137"/>
        <v/>
      </c>
      <c r="J1330" t="str">
        <f>IF(I1330="","",_xlfn.XLOOKUP(I1330,Lists!$C:$C,Lists!$D:$D))</f>
        <v/>
      </c>
      <c r="N1330" t="str">
        <f t="shared" si="138"/>
        <v/>
      </c>
      <c r="O1330" t="str">
        <f>IF(I1330="","",_xlfn.XLOOKUP(I1330,Lists!$C:$C,Lists!$J:$J))</f>
        <v/>
      </c>
      <c r="P1330" t="str">
        <f>IF(I1330="","",_xlfn.XLOOKUP(I1330,Lists!$C:$C,Lists!$E:$E))</f>
        <v/>
      </c>
      <c r="Q1330" s="21" t="str">
        <f t="shared" si="139"/>
        <v/>
      </c>
      <c r="R1330" t="str">
        <f t="shared" si="140"/>
        <v/>
      </c>
      <c r="S1330" t="str">
        <f>IF(I1330="","",_xlfn.XLOOKUP(I1330,Lists!$C:$C,Lists!$I:$I))</f>
        <v/>
      </c>
    </row>
    <row r="1331" spans="8:8">
      <c r="C1331">
        <f>_xlfn.XLOOKUP(B1331,Lists!B:B,Lists!A:A,"")</f>
        <v>0.0</v>
      </c>
      <c r="G1331" t="str">
        <f t="shared" si="136"/>
        <v/>
      </c>
      <c r="H1331" s="20" t="str">
        <f t="shared" si="137"/>
        <v/>
      </c>
      <c r="J1331" t="str">
        <f>IF(I1331="","",_xlfn.XLOOKUP(I1331,Lists!$C:$C,Lists!$D:$D))</f>
        <v/>
      </c>
      <c r="N1331" t="str">
        <f t="shared" si="138"/>
        <v/>
      </c>
      <c r="O1331" t="str">
        <f>IF(I1331="","",_xlfn.XLOOKUP(I1331,Lists!$C:$C,Lists!$J:$J))</f>
        <v/>
      </c>
      <c r="P1331" t="str">
        <f>IF(I1331="","",_xlfn.XLOOKUP(I1331,Lists!$C:$C,Lists!$E:$E))</f>
        <v/>
      </c>
      <c r="Q1331" s="21" t="str">
        <f t="shared" si="139"/>
        <v/>
      </c>
      <c r="R1331" t="str">
        <f t="shared" si="140"/>
        <v/>
      </c>
      <c r="S1331" t="str">
        <f>IF(I1331="","",_xlfn.XLOOKUP(I1331,Lists!$C:$C,Lists!$I:$I))</f>
        <v/>
      </c>
    </row>
    <row r="1332" spans="8:8">
      <c r="C1332">
        <f>_xlfn.XLOOKUP(B1332,Lists!B:B,Lists!A:A,"")</f>
        <v>0.0</v>
      </c>
      <c r="G1332" t="str">
        <f t="shared" si="136"/>
        <v/>
      </c>
      <c r="H1332" s="20" t="str">
        <f t="shared" si="137"/>
        <v/>
      </c>
      <c r="J1332" t="str">
        <f>IF(I1332="","",_xlfn.XLOOKUP(I1332,Lists!$C:$C,Lists!$D:$D))</f>
        <v/>
      </c>
      <c r="N1332" t="str">
        <f t="shared" si="138"/>
        <v/>
      </c>
      <c r="O1332" t="str">
        <f>IF(I1332="","",_xlfn.XLOOKUP(I1332,Lists!$C:$C,Lists!$J:$J))</f>
        <v/>
      </c>
      <c r="P1332" t="str">
        <f>IF(I1332="","",_xlfn.XLOOKUP(I1332,Lists!$C:$C,Lists!$E:$E))</f>
        <v/>
      </c>
      <c r="Q1332" s="21" t="str">
        <f t="shared" si="139"/>
        <v/>
      </c>
      <c r="R1332" t="str">
        <f t="shared" si="140"/>
        <v/>
      </c>
      <c r="S1332" t="str">
        <f>IF(I1332="","",_xlfn.XLOOKUP(I1332,Lists!$C:$C,Lists!$I:$I))</f>
        <v/>
      </c>
    </row>
    <row r="1333" spans="8:8">
      <c r="C1333">
        <f>_xlfn.XLOOKUP(B1333,Lists!B:B,Lists!A:A,"")</f>
        <v>0.0</v>
      </c>
      <c r="G1333" t="str">
        <f t="shared" si="136"/>
        <v/>
      </c>
      <c r="H1333" s="20" t="str">
        <f t="shared" si="137"/>
        <v/>
      </c>
      <c r="J1333" t="str">
        <f>IF(I1333="","",_xlfn.XLOOKUP(I1333,Lists!$C:$C,Lists!$D:$D))</f>
        <v/>
      </c>
      <c r="N1333" t="str">
        <f t="shared" si="138"/>
        <v/>
      </c>
      <c r="O1333" t="str">
        <f>IF(I1333="","",_xlfn.XLOOKUP(I1333,Lists!$C:$C,Lists!$J:$J))</f>
        <v/>
      </c>
      <c r="P1333" t="str">
        <f>IF(I1333="","",_xlfn.XLOOKUP(I1333,Lists!$C:$C,Lists!$E:$E))</f>
        <v/>
      </c>
      <c r="Q1333" s="21" t="str">
        <f t="shared" si="139"/>
        <v/>
      </c>
      <c r="R1333" t="str">
        <f t="shared" si="140"/>
        <v/>
      </c>
      <c r="S1333" t="str">
        <f>IF(I1333="","",_xlfn.XLOOKUP(I1333,Lists!$C:$C,Lists!$I:$I))</f>
        <v/>
      </c>
    </row>
    <row r="1334" spans="8:8">
      <c r="C1334">
        <f>_xlfn.XLOOKUP(B1334,Lists!B:B,Lists!A:A,"")</f>
        <v>0.0</v>
      </c>
      <c r="G1334" t="str">
        <f t="shared" si="141" ref="G1334:G1335">IF(OR(E1334="",F1334=""),"",F1334-E1334+1)</f>
        <v/>
      </c>
      <c r="H1334" s="20" t="str">
        <f t="shared" si="142" ref="H1334:H1335">IF(D1334="","",IF(OR(D1334="A",D1334="B"),G1334/80,IF(D1334="A&amp;B",G1334/160,"")))</f>
        <v/>
      </c>
      <c r="J1334" t="str">
        <f>IF(I1334="","",_xlfn.XLOOKUP(I1334,Lists!$C:$C,Lists!$D:$D))</f>
        <v/>
      </c>
      <c r="N1334" t="str">
        <f t="shared" si="143" ref="N1334:N1335">IF(OR(M1334="",L1334=""),"",(M1334*L1334)/100000)</f>
        <v/>
      </c>
      <c r="O1334" t="str">
        <f>IF(I1334="","",_xlfn.XLOOKUP(I1334,Lists!$C:$C,Lists!$J:$J))</f>
        <v/>
      </c>
      <c r="P1334" t="str">
        <f>IF(I1334="","",_xlfn.XLOOKUP(I1334,Lists!$C:$C,Lists!$E:$E))</f>
        <v/>
      </c>
      <c r="Q1334" s="21" t="str">
        <f t="shared" si="144" ref="Q1334:Q1335">IF(OR(A1334="",P1334=""),"",A1334+P1334+1)</f>
        <v/>
      </c>
      <c r="R1334" t="str">
        <f t="shared" si="145" ref="R1334:R1335">IF(Q1334="","",IF(Q1334&lt;=TODAY(),"Allow","Not Allow"))</f>
        <v/>
      </c>
      <c r="S1334" t="str">
        <f>IF(I1334="","",_xlfn.XLOOKUP(I1334,Lists!$C:$C,Lists!$I:$I))</f>
        <v/>
      </c>
    </row>
    <row r="1335" spans="8:8">
      <c r="C1335">
        <f>_xlfn.XLOOKUP(B1335,Lists!B:B,Lists!A:A,"")</f>
        <v>0.0</v>
      </c>
      <c r="G1335" t="str">
        <f t="shared" si="141"/>
        <v/>
      </c>
      <c r="H1335" s="20" t="str">
        <f t="shared" si="142"/>
        <v/>
      </c>
      <c r="J1335" t="str">
        <f>IF(I1335="","",_xlfn.XLOOKUP(I1335,Lists!$C:$C,Lists!$D:$D))</f>
        <v/>
      </c>
      <c r="N1335" t="str">
        <f t="shared" si="143"/>
        <v/>
      </c>
      <c r="O1335" t="str">
        <f>IF(I1335="","",_xlfn.XLOOKUP(I1335,Lists!$C:$C,Lists!$J:$J))</f>
        <v/>
      </c>
      <c r="P1335" t="str">
        <f>IF(I1335="","",_xlfn.XLOOKUP(I1335,Lists!$C:$C,Lists!$E:$E))</f>
        <v/>
      </c>
      <c r="Q1335" s="21" t="str">
        <f t="shared" si="144"/>
        <v/>
      </c>
      <c r="R1335" t="str">
        <f t="shared" si="145"/>
        <v/>
      </c>
      <c r="S1335" t="str">
        <f>IF(I1335="","",_xlfn.XLOOKUP(I1335,Lists!$C:$C,Lists!$I:$I))</f>
        <v/>
      </c>
    </row>
    <row r="1336" spans="8:8">
      <c r="C1336">
        <f>_xlfn.XLOOKUP(B1336,Lists!B:B,Lists!A:A,"")</f>
        <v>0.0</v>
      </c>
      <c r="G1336" t="str">
        <f>IF(OR(E1336="",F1336=""),"",F1336-E1336+1)</f>
        <v/>
      </c>
      <c r="H1336" s="20" t="str">
        <f>IF(D1336="","",IF(OR(D1336="A",D1336="B"),G1336/80,IF(D1336="A&amp;B",G1336/160,"")))</f>
        <v/>
      </c>
      <c r="J1336" t="str">
        <f>IF(I1336="","",_xlfn.XLOOKUP(I1336,Lists!$C:$C,Lists!$D:$D))</f>
        <v/>
      </c>
      <c r="N1336" t="str">
        <f>IF(OR(M1336="",L1336=""),"",(M1336*L1336)/100000)</f>
        <v/>
      </c>
      <c r="O1336" t="str">
        <f>IF(I1336="","",_xlfn.XLOOKUP(I1336,Lists!$C:$C,Lists!$J:$J))</f>
        <v/>
      </c>
      <c r="P1336" t="str">
        <f>IF(I1336="","",_xlfn.XLOOKUP(I1336,Lists!$C:$C,Lists!$E:$E))</f>
        <v/>
      </c>
      <c r="Q1336" s="21" t="str">
        <f>IF(OR(A1336="",P1336=""),"",A1336+P1336+1)</f>
        <v/>
      </c>
      <c r="R1336" t="str">
        <f>IF(Q1336="","",IF(Q1336&lt;=TODAY(),"Allow","Not Allow"))</f>
        <v/>
      </c>
      <c r="S1336" t="str">
        <f>IF(I1336="","",_xlfn.XLOOKUP(I1336,Lists!$C:$C,Lists!$I:$I))</f>
        <v/>
      </c>
    </row>
    <row r="1337" spans="8:8">
      <c r="C1337">
        <f>_xlfn.XLOOKUP(B1337,Lists!B:B,Lists!A:A,"")</f>
        <v>0.0</v>
      </c>
      <c r="G1337" t="str">
        <f>IF(OR(E1337="",F1337=""),"",F1337-E1337+1)</f>
        <v/>
      </c>
      <c r="H1337" s="20" t="str">
        <f>IF(D1337="","",IF(OR(D1337="A",D1337="B"),G1337/80,IF(D1337="A&amp;B",G1337/160,"")))</f>
        <v/>
      </c>
      <c r="J1337" t="str">
        <f>IF(I1337="","",_xlfn.XLOOKUP(I1337,Lists!$C:$C,Lists!$D:$D))</f>
        <v/>
      </c>
      <c r="N1337" t="str">
        <f>IF(OR(M1337="",L1337=""),"",(M1337*L1337)/100000)</f>
        <v/>
      </c>
      <c r="O1337" t="str">
        <f>IF(I1337="","",_xlfn.XLOOKUP(I1337,Lists!$C:$C,Lists!$J:$J))</f>
        <v/>
      </c>
      <c r="P1337" t="str">
        <f>IF(I1337="","",_xlfn.XLOOKUP(I1337,Lists!$C:$C,Lists!$E:$E))</f>
        <v/>
      </c>
      <c r="Q1337" s="21" t="str">
        <f>IF(OR(A1337="",P1337=""),"",A1337+P1337+1)</f>
        <v/>
      </c>
      <c r="R1337" t="str">
        <f>IF(Q1337="","",IF(Q1337&lt;=TODAY(),"Allow","Not Allow"))</f>
        <v/>
      </c>
      <c r="S1337" t="str">
        <f>IF(I1337="","",_xlfn.XLOOKUP(I1337,Lists!$C:$C,Lists!$I:$I))</f>
        <v/>
      </c>
    </row>
    <row r="1338" spans="8:8">
      <c r="C1338">
        <f>_xlfn.XLOOKUP(B1338,Lists!B:B,Lists!A:A,"")</f>
        <v>0.0</v>
      </c>
      <c r="G1338" t="str">
        <f>IF(OR(E1338="",F1338=""),"",F1338-E1338+1)</f>
        <v/>
      </c>
      <c r="H1338" s="20" t="str">
        <f>IF(D1338="","",IF(OR(D1338="A",D1338="B"),G1338/80,IF(D1338="A&amp;B",G1338/160,"")))</f>
        <v/>
      </c>
      <c r="J1338" t="str">
        <f>IF(I1338="","",_xlfn.XLOOKUP(I1338,Lists!$C:$C,Lists!$D:$D))</f>
        <v/>
      </c>
      <c r="N1338" t="str">
        <f>IF(OR(M1338="",L1338=""),"",(M1338*L1338)/100000)</f>
        <v/>
      </c>
      <c r="O1338" t="str">
        <f>IF(I1338="","",_xlfn.XLOOKUP(I1338,Lists!$C:$C,Lists!$J:$J))</f>
        <v/>
      </c>
      <c r="P1338" t="str">
        <f>IF(I1338="","",_xlfn.XLOOKUP(I1338,Lists!$C:$C,Lists!$E:$E))</f>
        <v/>
      </c>
      <c r="Q1338" s="21" t="str">
        <f>IF(OR(A1338="",P1338=""),"",A1338+P1338+1)</f>
        <v/>
      </c>
      <c r="R1338" t="str">
        <f>IF(Q1338="","",IF(Q1338&lt;=TODAY(),"Allow","Not Allow"))</f>
        <v/>
      </c>
      <c r="S1338" t="str">
        <f>IF(I1338="","",_xlfn.XLOOKUP(I1338,Lists!$C:$C,Lists!$I:$I))</f>
        <v/>
      </c>
    </row>
  </sheetData>
  <sheetProtection algorithmName="SHA-512" hashValue="G3yzuTcB9fIEIrslUoA/LrTZVvJ07xGCmP7WG6egPBfahT+MKUlH7msxi339fog55AmORIxjmnKeCm1vA6d6bQ==" saltValue="gOr9ttfhejzdvnAoamsCMg==" spinCount="100000" sheet="1" objects="1" scenarios="1"/>
  <conditionalFormatting sqref="R2:R1048576">
    <cfRule type="expression" priority="3" dxfId="0">
      <formula>R2="Not Allow"</formula>
    </cfRule>
    <cfRule type="expression" priority="4" dxfId="1">
      <formula>R2="Allow"</formula>
    </cfRule>
  </conditionalFormatting>
  <conditionalFormatting sqref="S1:S1048576">
    <cfRule type="containsText" text="Off-Label" operator="containsText" priority="1" dxfId="2">
      <formula>NOT(ISERROR(SEARCH("Off-Label",S1)))</formula>
    </cfRule>
    <cfRule type="containsText" text="On-Label" operator="containsText" priority="2" dxfId="3">
      <formula>NOT(ISERROR(SEARCH("On-Label",S1)))</formula>
    </cfRule>
  </conditionalFormatting>
  <dataValidations count="462">
    <dataValidation allowBlank="1" type="any" operator="between" errorStyle="stop" showInputMessage="1" prompt="شهر_يوم_سنة" showErrorMessage="1" sqref="A258"/>
    <dataValidation allowBlank="1" type="any" operator="between" errorStyle="stop" showInputMessage="1" prompt="شهر_يوم_سنة" showErrorMessage="1" sqref="A271"/>
    <dataValidation allowBlank="1" type="any" operator="between" errorStyle="stop" showInputMessage="1" prompt="شهر_يوم_سنة" showErrorMessage="1" sqref="A248"/>
    <dataValidation allowBlank="1" type="list" errorStyle="stop" showInputMessage="1" showErrorMessage="1" sqref="D2:D256">
      <formula1>Lists!$Q:$Q</formula1>
    </dataValidation>
    <dataValidation allowBlank="1" type="any" operator="between" errorStyle="stop" showInputMessage="1" prompt="شهر_يوم_سنة" showErrorMessage="1" sqref="A311:A1048576"/>
    <dataValidation allowBlank="1" type="list" errorStyle="stop" showInputMessage="1" showErrorMessage="1" sqref="D311:D1048576">
      <formula1>Lists!$Q:$Q</formula1>
    </dataValidation>
    <dataValidation allowBlank="1" type="list" errorStyle="stop" showInputMessage="1" showErrorMessage="1" sqref="E253">
      <formula1>"1"</formula1>
    </dataValidation>
    <dataValidation allowBlank="1" type="any" operator="between" errorStyle="stop" showInputMessage="1" prompt="شهر_يوم_سنة" showErrorMessage="1" sqref="A265"/>
    <dataValidation allowBlank="1" type="list" errorStyle="stop" showInputMessage="1" showErrorMessage="1" sqref="E311:E1048576">
      <formula1>OFFSET(Lists!$S$1,0,0,_xlfn.XLOOKUP(D311,Lists!$Q$1:$Q$31,Lists!$R$1:$R$31),1)</formula1>
    </dataValidation>
    <dataValidation allowBlank="1" type="any" operator="between" errorStyle="stop" showInputMessage="1" prompt="شهر_يوم_سنة" showErrorMessage="1" sqref="A286"/>
    <dataValidation allowBlank="1" type="list" errorStyle="stop" showInputMessage="1" showErrorMessage="1" sqref="E295">
      <formula1>"1"</formula1>
    </dataValidation>
    <dataValidation allowBlank="1" type="list" errorStyle="stop" showInputMessage="1" showErrorMessage="1" sqref="D297">
      <formula1>Lists!$Q:$Q</formula1>
    </dataValidation>
    <dataValidation allowBlank="1" type="list" errorStyle="stop" showInputMessage="1" showErrorMessage="1" sqref="K255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9"/>
    <dataValidation allowBlank="1" type="list" errorStyle="stop" showInputMessage="1" showErrorMessage="1" sqref="K267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3"/>
    <dataValidation allowBlank="1" type="list" errorStyle="stop" showInputMessage="1" showErrorMessage="1" sqref="K270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7:L278"/>
    <dataValidation allowBlank="1" type="list" errorStyle="stop" showInputMessage="1" showErrorMessage="1" sqref="K265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1"/>
    <dataValidation allowBlank="1" type="list" errorStyle="stop" showInputMessage="1" showErrorMessage="1" sqref="K261">
      <formula1>"Spray,Injection,Drench,Fumigation,Bait,Soil Application"</formula1>
    </dataValidation>
    <dataValidation allowBlank="1" type="list" errorStyle="stop" showInputMessage="1" showErrorMessage="1" sqref="I268">
      <formula1>Lists!$C:$C</formula1>
    </dataValidation>
    <dataValidation allowBlank="1" type="list" errorStyle="stop" showInputMessage="1" showErrorMessage="1" sqref="I259">
      <formula1>Lists!$C:$C</formula1>
    </dataValidation>
    <dataValidation allowBlank="1" type="list" errorStyle="stop" showInputMessage="1" showErrorMessage="1" sqref="I270">
      <formula1>Lists!$C:$C</formula1>
    </dataValidation>
    <dataValidation allowBlank="1" type="list" errorStyle="stop" showInputMessage="1" showErrorMessage="1" sqref="I261">
      <formula1>Lists!$C:$C</formula1>
    </dataValidation>
    <dataValidation allowBlank="1" type="list" errorStyle="stop" showInputMessage="1" showErrorMessage="1" sqref="I260">
      <formula1>Lists!$C:$C</formula1>
    </dataValidation>
    <dataValidation allowBlank="1" type="list" errorStyle="stop" showInputMessage="1" showErrorMessage="1" sqref="I262">
      <formula1>Lists!$C:$C</formula1>
    </dataValidation>
    <dataValidation allowBlank="1" type="list" errorStyle="stop" showInputMessage="1" showErrorMessage="1" sqref="I266">
      <formula1>Lists!$C:$C</formula1>
    </dataValidation>
    <dataValidation allowBlank="1" type="list" errorStyle="stop" showInputMessage="1" showErrorMessage="1" sqref="I264">
      <formula1>Lists!$C:$C</formula1>
    </dataValidation>
    <dataValidation allowBlank="1" type="list" errorStyle="stop" showInputMessage="1" showErrorMessage="1" sqref="I257">
      <formula1>Lists!$C:$C</formula1>
    </dataValidation>
    <dataValidation allowBlank="1" type="list" errorStyle="stop" showInputMessage="1" showErrorMessage="1" sqref="I258">
      <formula1>Lists!$C:$C</formula1>
    </dataValidation>
    <dataValidation allowBlank="1" type="any" operator="between" errorStyle="stop" showInputMessage="1" prompt="شهر_يوم_سنة" showErrorMessage="1" sqref="A295"/>
    <dataValidation allowBlank="1" type="any" operator="between" errorStyle="stop" showInputMessage="1" prompt="شهر_يوم_سنة" showErrorMessage="1" sqref="A287"/>
    <dataValidation allowBlank="1" type="any" operator="between" errorStyle="stop" showInputMessage="1" prompt="شهر_يوم_سنة" showErrorMessage="1" sqref="A293"/>
    <dataValidation allowBlank="1" type="any" operator="between" errorStyle="stop" showInputMessage="1" prompt="شهر_يوم_سنة" showErrorMessage="1" sqref="A289"/>
    <dataValidation allowBlank="1" type="any" operator="between" errorStyle="stop" showInputMessage="1" prompt="شهر_يوم_سنة" showErrorMessage="1" sqref="A292"/>
    <dataValidation allowBlank="1" type="any" operator="between" errorStyle="stop" showInputMessage="1" prompt="شهر_يوم_سنة" showErrorMessage="1" sqref="A296"/>
    <dataValidation allowBlank="1" type="any" operator="between" errorStyle="stop" showInputMessage="1" prompt="شهر_يوم_سنة" showErrorMessage="1" sqref="A297"/>
    <dataValidation allowBlank="1" type="any" operator="between" errorStyle="stop" showInputMessage="1" prompt="شهر_يوم_سنة" showErrorMessage="1" sqref="A298"/>
    <dataValidation allowBlank="1" type="list" errorStyle="stop" showInputMessage="1" showErrorMessage="1" sqref="E296">
      <formula1>"1"</formula1>
    </dataValidation>
    <dataValidation allowBlank="1" type="any" operator="between" errorStyle="stop" showInputMessage="1" prompt="شهر_يوم_سنة" showErrorMessage="1" sqref="A288"/>
    <dataValidation allowBlank="1" type="list" errorStyle="stop" showInputMessage="1" showErrorMessage="1" sqref="D296">
      <formula1>Lists!$Q:$Q</formula1>
    </dataValidation>
    <dataValidation allowBlank="1" type="list" errorStyle="stop" showInputMessage="1" showErrorMessage="1" sqref="D295">
      <formula1>Lists!$Q:$Q</formula1>
    </dataValidation>
    <dataValidation allowBlank="1" type="any" operator="between" errorStyle="stop" showInputMessage="1" prompt="شهر_يوم_سنة" showErrorMessage="1" sqref="A290"/>
    <dataValidation allowBlank="1" type="any" operator="between" errorStyle="stop" showInputMessage="1" prompt="شهر_يوم_سنة" showErrorMessage="1" sqref="A294"/>
    <dataValidation allowBlank="1" type="list" errorStyle="stop" showInputMessage="1" showErrorMessage="1" sqref="E272">
      <formula1>"1"</formula1>
    </dataValidation>
    <dataValidation allowBlank="1" type="list" errorStyle="stop" showInputMessage="1" showErrorMessage="1" sqref="E302">
      <formula1>"1"</formula1>
    </dataValidation>
    <dataValidation allowBlank="1" type="list" errorStyle="stop" showInputMessage="1" showErrorMessage="1" sqref="K288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4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6"/>
    <dataValidation allowBlank="1" type="list" errorStyle="stop" showInputMessage="1" showErrorMessage="1" sqref="I295">
      <formula1>Lists!$C:$C</formula1>
    </dataValidation>
    <dataValidation allowBlank="1" type="list" errorStyle="stop" showInputMessage="1" showErrorMessage="1" sqref="K286">
      <formula1>"Spray,Injection,Drench,Fumigation,Bait,Soil Application"</formula1>
    </dataValidation>
    <dataValidation allowBlank="1" type="list" errorStyle="stop" showInputMessage="1" showErrorMessage="1" sqref="K294">
      <formula1>"Spray,Injection,Drench,Fumigation,Bait,Soil Application"</formula1>
    </dataValidation>
    <dataValidation allowBlank="1" type="list" errorStyle="stop" showInputMessage="1" showErrorMessage="1" sqref="K295">
      <formula1>"Spray,Injection,Drench,Fumigation,Bait,Soil Application"</formula1>
    </dataValidation>
    <dataValidation allowBlank="1" type="list" errorStyle="stop" showInputMessage="1" showErrorMessage="1" sqref="K296">
      <formula1>"Spray,Injection,Drench,Fumigation,Bait,Soil Application"</formula1>
    </dataValidation>
    <dataValidation allowBlank="1" type="list" errorStyle="stop" showInputMessage="1" showErrorMessage="1" sqref="K297">
      <formula1>"Spray,Injection,Drench,Fumigation,Bait,Soil Application"</formula1>
    </dataValidation>
    <dataValidation allowBlank="1" type="list" errorStyle="stop" showInputMessage="1" showErrorMessage="1" sqref="D303">
      <formula1>Lists!$Q:$Q</formula1>
    </dataValidation>
    <dataValidation allowBlank="1" type="list" errorStyle="stop" showInputMessage="1" showErrorMessage="1" sqref="D270">
      <formula1>Lists!$Q:$Q</formula1>
    </dataValidation>
    <dataValidation allowBlank="1" type="list" errorStyle="stop" showInputMessage="1" showErrorMessage="1" sqref="D301">
      <formula1>Lists!$Q:$Q</formula1>
    </dataValidation>
    <dataValidation allowBlank="1" type="list" errorStyle="stop" showInputMessage="1" showErrorMessage="1" sqref="D300">
      <formula1>Lists!$Q:$Q</formula1>
    </dataValidation>
    <dataValidation allowBlank="1" type="list" errorStyle="stop" showInputMessage="1" showErrorMessage="1" sqref="D299">
      <formula1>Lists!$Q:$Q</formula1>
    </dataValidation>
    <dataValidation allowBlank="1" type="list" errorStyle="stop" showInputMessage="1" showErrorMessage="1" sqref="D298">
      <formula1>Lists!$Q:$Q</formula1>
    </dataValidation>
    <dataValidation allowBlank="1" type="list" errorStyle="stop" showInputMessage="1" showErrorMessage="1" sqref="D278">
      <formula1>Lists!$Q:$Q</formula1>
    </dataValidation>
    <dataValidation allowBlank="1" type="list" errorStyle="stop" showInputMessage="1" showErrorMessage="1" sqref="D304">
      <formula1>Lists!$Q:$Q</formula1>
    </dataValidation>
    <dataValidation allowBlank="1" type="list" errorStyle="stop" showInputMessage="1" showErrorMessage="1" sqref="D302">
      <formula1>Lists!$Q:$Q</formula1>
    </dataValidation>
    <dataValidation allowBlank="1" type="list" errorStyle="stop" showInputMessage="1" showErrorMessage="1" sqref="E297">
      <formula1>"1"</formula1>
    </dataValidation>
    <dataValidation allowBlank="1" type="list" errorStyle="stop" showInputMessage="1" showErrorMessage="1" sqref="E303">
      <formula1>"1"</formula1>
    </dataValidation>
    <dataValidation allowBlank="1" type="list" errorStyle="stop" showInputMessage="1" showErrorMessage="1" sqref="E301">
      <formula1>"1"</formula1>
    </dataValidation>
    <dataValidation allowBlank="1" type="list" errorStyle="stop" showInputMessage="1" showErrorMessage="1" sqref="E300">
      <formula1>"1"</formula1>
    </dataValidation>
    <dataValidation allowBlank="1" type="list" errorStyle="stop" showInputMessage="1" showErrorMessage="1" sqref="E299">
      <formula1>"1"</formula1>
    </dataValidation>
    <dataValidation allowBlank="1" type="list" errorStyle="stop" showInputMessage="1" showErrorMessage="1" sqref="E298">
      <formula1>"1"</formula1>
    </dataValidation>
    <dataValidation allowBlank="1" type="list" errorStyle="stop" showInputMessage="1" showErrorMessage="1" sqref="E304">
      <formula1>"1"</formula1>
    </dataValidation>
    <dataValidation allowBlank="1" type="list" errorStyle="stop" showInputMessage="1" showErrorMessage="1" sqref="E243">
      <formula1>"1"</formula1>
    </dataValidation>
    <dataValidation allowBlank="1" type="any" operator="between" errorStyle="stop" showInputMessage="1" prompt="شهر_يوم_سنة" showErrorMessage="1" sqref="A260"/>
    <dataValidation allowBlank="1" type="any" operator="between" errorStyle="stop" showInputMessage="1" prompt="شهر_يوم_سنة" showErrorMessage="1" sqref="A243"/>
    <dataValidation allowBlank="1" type="list" errorStyle="stop" showInputMessage="1" showErrorMessage="1" sqref="E275">
      <formula1>"1"</formula1>
    </dataValidation>
    <dataValidation allowBlank="1" type="list" errorStyle="stop" showInputMessage="1" showErrorMessage="1" sqref="F311:F1048576">
      <formula1>OFFSET(Lists!$S$1,0,0,_xlfn.XLOOKUP(D311,Lists!$Q$1:$Q$31,Lists!$R$1:$R$31),1)</formula1>
    </dataValidation>
    <dataValidation allowBlank="1" type="list" errorStyle="stop" showInputMessage="1" showErrorMessage="1" sqref="I285">
      <formula1>Lists!$C:$C</formula1>
    </dataValidation>
    <dataValidation allowBlank="1" type="list" errorStyle="stop" showInputMessage="1" showErrorMessage="1" sqref="I296">
      <formula1>Lists!$C:$C</formula1>
    </dataValidation>
    <dataValidation allowBlank="1" type="list" errorStyle="stop" showInputMessage="1" showErrorMessage="1" sqref="I292">
      <formula1>Lists!$C:$C</formula1>
    </dataValidation>
    <dataValidation allowBlank="1" type="list" errorStyle="stop" showInputMessage="1" showErrorMessage="1" sqref="I290">
      <formula1>Lists!$C:$C</formula1>
    </dataValidation>
    <dataValidation allowBlank="1" type="list" errorStyle="stop" showInputMessage="1" showErrorMessage="1" sqref="I294">
      <formula1>Lists!$C:$C</formula1>
    </dataValidation>
    <dataValidation allowBlank="1" type="list" errorStyle="stop" showInputMessage="1" showErrorMessage="1" sqref="I297">
      <formula1>Lists!$C:$C</formula1>
    </dataValidation>
    <dataValidation allowBlank="1" type="list" errorStyle="stop" showInputMessage="1" showErrorMessage="1" sqref="E278">
      <formula1>"1"</formula1>
    </dataValidation>
    <dataValidation allowBlank="1" type="list" errorStyle="stop" showInputMessage="1" showErrorMessage="1" sqref="D274">
      <formula1>Lists!$Q:$Q</formula1>
    </dataValidation>
    <dataValidation allowBlank="1" type="list" errorStyle="stop" showInputMessage="1" showErrorMessage="1" sqref="E271">
      <formula1>"1"</formula1>
    </dataValidation>
    <dataValidation allowBlank="1" type="list" errorStyle="stop" showInputMessage="1" showErrorMessage="1" sqref="D283">
      <formula1>Lists!$Q:$Q</formula1>
    </dataValidation>
    <dataValidation allowBlank="1" type="list" errorStyle="stop" showInputMessage="1" showErrorMessage="1" sqref="D273">
      <formula1>Lists!$Q:$Q</formula1>
    </dataValidation>
    <dataValidation allowBlank="1" type="list" errorStyle="stop" showInputMessage="1" showErrorMessage="1" sqref="D281">
      <formula1>Lists!$Q:$Q</formula1>
    </dataValidation>
    <dataValidation allowBlank="1" type="list" errorStyle="stop" showInputMessage="1" showErrorMessage="1" sqref="D280">
      <formula1>Lists!$Q:$Q</formula1>
    </dataValidation>
    <dataValidation allowBlank="1" type="list" errorStyle="stop" showInputMessage="1" showErrorMessage="1" sqref="D276">
      <formula1>Lists!$Q:$Q</formula1>
    </dataValidation>
    <dataValidation allowBlank="1" type="list" errorStyle="stop" showInputMessage="1" showErrorMessage="1" sqref="D277">
      <formula1>Lists!$Q:$Q</formula1>
    </dataValidation>
    <dataValidation allowBlank="1" type="list" errorStyle="stop" showInputMessage="1" showErrorMessage="1" sqref="D279">
      <formula1>Lists!$Q:$Q</formula1>
    </dataValidation>
    <dataValidation allowBlank="1" type="list" errorStyle="stop" showInputMessage="1" showErrorMessage="1" sqref="D284">
      <formula1>Lists!$Q:$Q</formula1>
    </dataValidation>
    <dataValidation allowBlank="1" type="list" errorStyle="stop" showInputMessage="1" showErrorMessage="1" sqref="D272">
      <formula1>Lists!$Q:$Q</formula1>
    </dataValidation>
    <dataValidation allowBlank="1" type="list" errorStyle="stop" showInputMessage="1" showErrorMessage="1" sqref="E280">
      <formula1>"1"</formula1>
    </dataValidation>
    <dataValidation allowBlank="1" type="list" errorStyle="stop" showInputMessage="1" showErrorMessage="1" sqref="E281">
      <formula1>"1"</formula1>
    </dataValidation>
    <dataValidation allowBlank="1" type="list" errorStyle="stop" showInputMessage="1" showErrorMessage="1" sqref="I288">
      <formula1>Lists!$C:$C</formula1>
    </dataValidation>
    <dataValidation allowBlank="1" type="list" errorStyle="stop" showInputMessage="1" showErrorMessage="1" sqref="I311:I1048576">
      <formula1>Lists!$C:$C</formula1>
    </dataValidation>
    <dataValidation allowBlank="1" type="list" errorStyle="stop" showInputMessage="1" showErrorMessage="1" sqref="K311:K1048576">
      <formula1>"Spray,Injection,Drench,Fumigation,Bait,Soil Application"</formula1>
    </dataValidation>
    <dataValidation allowBlank="1" type="list" errorStyle="stop" showInputMessage="1" showErrorMessage="1" sqref="I289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12:L104857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5"/>
    <dataValidation allowBlank="1" type="list" errorStyle="stop" showInputMessage="1" showErrorMessage="1" sqref="K290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8"/>
    <dataValidation allowBlank="1" type="list" errorStyle="stop" showInputMessage="1" showErrorMessage="1" sqref="K292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7"/>
    <dataValidation allowBlank="1" type="list" errorStyle="stop" showInputMessage="1" showErrorMessage="1" sqref="E273">
      <formula1>"1"</formula1>
    </dataValidation>
    <dataValidation allowBlank="1" type="any" operator="between" errorStyle="stop" showInputMessage="1" prompt="شهر_يوم_سنة" showErrorMessage="1" sqref="A30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5"/>
    <dataValidation allowBlank="1" type="list" errorStyle="stop" showInputMessage="1" showErrorMessage="1" sqref="K291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7"/>
    <dataValidation allowBlank="1" type="list" errorStyle="stop" showInputMessage="1" showErrorMessage="1" sqref="K287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1"/>
    <dataValidation allowBlank="1" type="list" errorStyle="stop" showInputMessage="1" showErrorMessage="1" sqref="I291">
      <formula1>Lists!$C:$C</formula1>
    </dataValidation>
    <dataValidation allowBlank="1" type="list" errorStyle="stop" showInputMessage="1" showErrorMessage="1" sqref="K285">
      <formula1>"Spray,Injection,Drench,Fumigation,Bait,Soil Application"</formula1>
    </dataValidation>
    <dataValidation allowBlank="1" type="list" errorStyle="stop" showInputMessage="1" showErrorMessage="1" sqref="K293">
      <formula1>"Spray,Injection,Drench,Fumigation,Bait,Soil Application"</formula1>
    </dataValidation>
    <dataValidation allowBlank="1" type="list" errorStyle="stop" showInputMessage="1" showErrorMessage="1" sqref="E274">
      <formula1>"1"</formula1>
    </dataValidation>
    <dataValidation allowBlank="1" type="list" errorStyle="stop" showInputMessage="1" showErrorMessage="1" sqref="E284">
      <formula1>"1"</formula1>
    </dataValidation>
    <dataValidation allowBlank="1" type="list" errorStyle="stop" showInputMessage="1" showErrorMessage="1" sqref="E277">
      <formula1>"1"</formula1>
    </dataValidation>
    <dataValidation allowBlank="1" type="list" errorStyle="stop" showInputMessage="1" showErrorMessage="1" sqref="I286">
      <formula1>Lists!$C:$C</formula1>
    </dataValidation>
    <dataValidation allowBlank="1" type="list" errorStyle="stop" showInputMessage="1" showErrorMessage="1" sqref="I287">
      <formula1>Lists!$C:$C</formula1>
    </dataValidation>
    <dataValidation allowBlank="1" type="list" errorStyle="stop" showInputMessage="1" showErrorMessage="1" sqref="E283">
      <formula1>"1"</formula1>
    </dataValidation>
    <dataValidation allowBlank="1" type="list" errorStyle="stop" showInputMessage="1" showErrorMessage="1" sqref="I293">
      <formula1>Lists!$C:$C</formula1>
    </dataValidation>
    <dataValidation allowBlank="1" type="list" errorStyle="stop" showInputMessage="1" showErrorMessage="1" sqref="K289">
      <formula1>"Spray,Injection,Drench,Fumigation,Bait,Soil Application"</formula1>
    </dataValidation>
    <dataValidation allowBlank="1" type="any" operator="between" errorStyle="stop" showInputMessage="1" prompt="شهر_يوم_سنة" showErrorMessage="1" sqref="A303"/>
    <dataValidation allowBlank="1" type="list" errorStyle="stop" showInputMessage="1" showErrorMessage="1" sqref="E276">
      <formula1>"1"</formula1>
    </dataValidation>
    <dataValidation allowBlank="1" type="any" operator="between" errorStyle="stop" showInputMessage="1" prompt="شهر_يوم_سنة" showErrorMessage="1" sqref="A301"/>
    <dataValidation allowBlank="1" type="any" operator="between" errorStyle="stop" showInputMessage="1" prompt="شهر_يوم_سنة" showErrorMessage="1" sqref="A300"/>
    <dataValidation allowBlank="1" type="any" operator="between" errorStyle="stop" showInputMessage="1" prompt="شهر_يوم_سنة" showErrorMessage="1" sqref="A299"/>
    <dataValidation allowBlank="1" type="list" errorStyle="stop" showInputMessage="1" showErrorMessage="1" sqref="E279">
      <formula1>"1"</formula1>
    </dataValidation>
    <dataValidation allowBlank="1" type="list" errorStyle="stop" showInputMessage="1" showErrorMessage="1" sqref="E282">
      <formula1>"1"</formula1>
    </dataValidation>
    <dataValidation allowBlank="1" type="any" operator="between" errorStyle="stop" showInputMessage="1" prompt="شهر_يوم_سنة" showErrorMessage="1" sqref="A304"/>
    <dataValidation allowBlank="1" type="any" operator="between" errorStyle="stop" showInputMessage="1" prompt="شهر_يوم_سنة" showErrorMessage="1" sqref="A285"/>
    <dataValidation allowBlank="1" type="any" operator="between" errorStyle="stop" showInputMessage="1" prompt="شهر_يوم_سنة" showErrorMessage="1" sqref="A275"/>
    <dataValidation allowBlank="1" type="any" operator="between" errorStyle="stop" showInputMessage="1" prompt="شهر_يوم_سنة" showErrorMessage="1" sqref="A281"/>
    <dataValidation allowBlank="1" type="any" operator="between" errorStyle="stop" showInputMessage="1" prompt="شهر_يوم_سنة" showErrorMessage="1" sqref="A276"/>
    <dataValidation allowBlank="1" type="any" operator="between" errorStyle="stop" showInputMessage="1" prompt="شهر_يوم_سنة" showErrorMessage="1" sqref="A277"/>
    <dataValidation allowBlank="1" type="any" operator="between" errorStyle="stop" showInputMessage="1" prompt="شهر_يوم_سنة" showErrorMessage="1" sqref="A279"/>
    <dataValidation allowBlank="1" type="any" operator="between" errorStyle="stop" showInputMessage="1" prompt="شهر_يوم_سنة" showErrorMessage="1" sqref="A28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9"/>
    <dataValidation allowBlank="1" type="list" errorStyle="stop" showInputMessage="1" showErrorMessage="1" sqref="K258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5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4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0"/>
    <dataValidation allowBlank="1" type="any" operator="between" errorStyle="stop" showInputMessage="1" prompt="شهر_يوم_سنة" showErrorMessage="1" sqref="A257"/>
    <dataValidation allowBlank="1" type="list" errorStyle="stop" showInputMessage="1" showErrorMessage="1" sqref="D261">
      <formula1>Lists!$Q:$Q</formula1>
    </dataValidation>
    <dataValidation allowBlank="1" type="any" operator="between" errorStyle="stop" showInputMessage="1" prompt="شهر_يوم_سنة" showErrorMessage="1" sqref="A268"/>
    <dataValidation allowBlank="1" type="list" errorStyle="stop" showInputMessage="1" showErrorMessage="1" sqref="E259">
      <formula1>"1"</formula1>
    </dataValidation>
    <dataValidation allowBlank="1" type="any" operator="between" errorStyle="stop" showInputMessage="1" prompt="شهر_يوم_سنة" showErrorMessage="1" sqref="A267"/>
    <dataValidation allowBlank="1" type="list" errorStyle="stop" showInputMessage="1" showErrorMessage="1" sqref="E270">
      <formula1>"1"</formula1>
    </dataValidation>
    <dataValidation allowBlank="1" type="any" operator="between" errorStyle="stop" showInputMessage="1" prompt="شهر_يوم_سنة" showErrorMessage="1" sqref="A282"/>
    <dataValidation allowBlank="1" type="list" errorStyle="stop" showInputMessage="1" showErrorMessage="1" sqref="E268">
      <formula1>"1"</formula1>
    </dataValidation>
    <dataValidation allowBlank="1" type="any" operator="between" errorStyle="stop" showInputMessage="1" prompt="شهر_يوم_سنة" showErrorMessage="1" sqref="A280"/>
    <dataValidation allowBlank="1" type="list" errorStyle="stop" showInputMessage="1" showErrorMessage="1" sqref="E263">
      <formula1>"1"</formula1>
    </dataValidation>
    <dataValidation allowBlank="1" type="any" operator="between" errorStyle="stop" showInputMessage="1" prompt="شهر_يوم_سنة" showErrorMessage="1" sqref="A278"/>
    <dataValidation allowBlank="1" type="list" errorStyle="stop" showInputMessage="1" showErrorMessage="1" sqref="E262">
      <formula1>"1"</formula1>
    </dataValidation>
    <dataValidation allowBlank="1" type="any" operator="between" errorStyle="stop" showInputMessage="1" prompt="شهر_يوم_سنة" showErrorMessage="1" sqref="A274"/>
    <dataValidation allowBlank="1" type="any" operator="between" errorStyle="stop" showInputMessage="1" prompt="شهر_يوم_سنة" showErrorMessage="1" sqref="A272"/>
    <dataValidation allowBlank="1" type="list" errorStyle="stop" showInputMessage="1" showErrorMessage="1" sqref="E265">
      <formula1>"1"</formula1>
    </dataValidation>
    <dataValidation allowBlank="1" type="list" errorStyle="stop" showInputMessage="1" showErrorMessage="1" sqref="D258">
      <formula1>Lists!$Q:$Q</formula1>
    </dataValidation>
    <dataValidation allowBlank="1" type="any" operator="between" errorStyle="stop" showInputMessage="1" prompt="شهر_يوم_سنة" showErrorMessage="1" sqref="A263"/>
    <dataValidation allowBlank="1" type="list" errorStyle="stop" showInputMessage="1" showErrorMessage="1" sqref="E255">
      <formula1>"1"</formula1>
    </dataValidation>
    <dataValidation allowBlank="1" type="any" operator="between" errorStyle="stop" showInputMessage="1" prompt="شهر_يوم_سنة" showErrorMessage="1" sqref="A245"/>
    <dataValidation allowBlank="1" type="list" errorStyle="stop" showInputMessage="1" showErrorMessage="1" sqref="E246">
      <formula1>"1"</formula1>
    </dataValidation>
    <dataValidation allowBlank="1" type="list" errorStyle="stop" showInputMessage="1" showErrorMessage="1" sqref="E248">
      <formula1>"1"</formula1>
    </dataValidation>
    <dataValidation allowBlank="1" type="any" operator="between" errorStyle="stop" showInputMessage="1" prompt="شهر_يوم_سنة" showErrorMessage="1" sqref="A261"/>
    <dataValidation allowBlank="1" type="list" errorStyle="stop" showInputMessage="1" showErrorMessage="1" sqref="D269">
      <formula1>Lists!$Q:$Q</formula1>
    </dataValidation>
    <dataValidation allowBlank="1" type="list" errorStyle="stop" showInputMessage="1" showErrorMessage="1" sqref="D268">
      <formula1>Lists!$Q:$Q</formula1>
    </dataValidation>
    <dataValidation allowBlank="1" type="list" errorStyle="stop" showInputMessage="1" showErrorMessage="1" sqref="D267">
      <formula1>Lists!$Q:$Q</formula1>
    </dataValidation>
    <dataValidation allowBlank="1" type="list" errorStyle="stop" showInputMessage="1" showErrorMessage="1" sqref="D262">
      <formula1>Lists!$Q:$Q</formula1>
    </dataValidation>
    <dataValidation allowBlank="1" type="list" errorStyle="stop" showInputMessage="1" showErrorMessage="1" sqref="D264">
      <formula1>Lists!$Q:$Q</formula1>
    </dataValidation>
    <dataValidation allowBlank="1" type="list" errorStyle="stop" showInputMessage="1" showErrorMessage="1" sqref="E252">
      <formula1>"1"</formula1>
    </dataValidation>
    <dataValidation allowBlank="1" type="list" errorStyle="stop" showInputMessage="1" showErrorMessage="1" sqref="D257">
      <formula1>Lists!$Q:$Q</formula1>
    </dataValidation>
    <dataValidation allowBlank="1" type="any" operator="between" errorStyle="stop" showInputMessage="1" prompt="شهر_يوم_سنة" showErrorMessage="1" sqref="A269"/>
    <dataValidation allowBlank="1" type="list" errorStyle="stop" showInputMessage="1" showErrorMessage="1" sqref="E254">
      <formula1>"1"</formula1>
    </dataValidation>
    <dataValidation allowBlank="1" type="any" operator="between" errorStyle="stop" showInputMessage="1" prompt="شهر_يوم_سنة" showErrorMessage="1" sqref="A270"/>
    <dataValidation allowBlank="1" type="list" errorStyle="stop" showInputMessage="1" showErrorMessage="1" sqref="D260">
      <formula1>Lists!$Q:$Q</formula1>
    </dataValidation>
    <dataValidation allowBlank="1" type="list" errorStyle="stop" showInputMessage="1" showErrorMessage="1" sqref="D259">
      <formula1>Lists!$Q:$Q</formula1>
    </dataValidation>
    <dataValidation allowBlank="1" type="any" operator="between" errorStyle="stop" showInputMessage="1" prompt="شهر_يوم_سنة" showErrorMessage="1" sqref="A266"/>
    <dataValidation allowBlank="1" type="list" errorStyle="stop" showInputMessage="1" showErrorMessage="1" sqref="D263">
      <formula1>Lists!$Q:$Q</formula1>
    </dataValidation>
    <dataValidation allowBlank="1" type="any" operator="between" errorStyle="stop" showInputMessage="1" prompt="شهر_يوم_سنة" showErrorMessage="1" sqref="A262"/>
    <dataValidation allowBlank="1" type="list" errorStyle="stop" showInputMessage="1" showErrorMessage="1" sqref="D265">
      <formula1>Lists!$Q:$Q</formula1>
    </dataValidation>
    <dataValidation allowBlank="1" type="list" errorStyle="stop" showInputMessage="1" showErrorMessage="1" sqref="D266">
      <formula1>Lists!$Q:$Q</formula1>
    </dataValidation>
    <dataValidation allowBlank="1" type="list" errorStyle="stop" showInputMessage="1" showErrorMessage="1" sqref="E250">
      <formula1>"1"</formula1>
    </dataValidation>
    <dataValidation allowBlank="1" type="list" errorStyle="stop" showInputMessage="1" showErrorMessage="1" sqref="E249">
      <formula1>"1"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7"/>
    <dataValidation allowBlank="1" type="list" errorStyle="stop" showInputMessage="1" showErrorMessage="1" sqref="F252">
      <formula1>"160"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5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4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2"/>
    <dataValidation allowBlank="1" type="any" operator="between" errorStyle="stop" showInputMessage="1" prompt="شهر_يوم_سنة" showErrorMessage="1" sqref="A247"/>
    <dataValidation allowBlank="1" type="any" operator="between" errorStyle="stop" showInputMessage="1" prompt="شهر_يوم_سنة" showErrorMessage="1" sqref="A256"/>
    <dataValidation allowBlank="1" type="any" operator="between" errorStyle="stop" showInputMessage="1" prompt="شهر_يوم_سنة" showErrorMessage="1" sqref="A252"/>
    <dataValidation allowBlank="1" type="any" operator="between" errorStyle="stop" showInputMessage="1" prompt="شهر_يوم_سنة" showErrorMessage="1" sqref="A254"/>
    <dataValidation allowBlank="1" type="list" errorStyle="stop" showInputMessage="1" showErrorMessage="1" sqref="F245">
      <formula1>"160"</formula1>
    </dataValidation>
    <dataValidation allowBlank="1" type="list" errorStyle="stop" showInputMessage="1" showErrorMessage="1" sqref="F254">
      <formula1>"160"</formula1>
    </dataValidation>
    <dataValidation allowBlank="1" type="list" errorStyle="stop" showInputMessage="1" showErrorMessage="1" sqref="F247">
      <formula1>"160"</formula1>
    </dataValidation>
    <dataValidation allowBlank="1" type="list" errorStyle="stop" showInputMessage="1" showErrorMessage="1" sqref="F249">
      <formula1>"160"</formula1>
    </dataValidation>
    <dataValidation allowBlank="1" type="list" errorStyle="stop" showInputMessage="1" showErrorMessage="1" sqref="E244">
      <formula1>"1"</formula1>
    </dataValidation>
    <dataValidation allowBlank="1" type="list" errorStyle="stop" showInputMessage="1" showErrorMessage="1" sqref="F250">
      <formula1>"160"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4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44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45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46:L24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4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0"/>
    <dataValidation allowBlank="1" type="list" errorStyle="stop" showInputMessage="1" showErrorMessage="1" sqref="F242">
      <formula1>"160"</formula1>
    </dataValidation>
    <dataValidation allowBlank="1" type="any" operator="between" errorStyle="stop" showInputMessage="1" prompt="شهر_يوم_سنة" showErrorMessage="1" sqref="A251"/>
    <dataValidation allowBlank="1" type="list" errorStyle="stop" showInputMessage="1" showErrorMessage="1" sqref="F2:F241">
      <formula1>OFFSET(Lists!$S$1,0,0,_xlfn.XLOOKUP(D2,Lists!$Q$1:$Q$31,Lists!$R$1:$R$31),1)</formula1>
    </dataValidation>
    <dataValidation allowBlank="1" type="list" errorStyle="stop" showInputMessage="1" showErrorMessage="1" sqref="K248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68"/>
    <dataValidation allowBlank="1" type="any" operator="between" errorStyle="stop" showInputMessage="1" prompt="شهر_يوم_سنة" showErrorMessage="1" sqref="A273"/>
    <dataValidation allowBlank="1" type="any" operator="between" errorStyle="stop" showInputMessage="1" prompt="شهر_يوم_سنة" showErrorMessage="1" sqref="A284"/>
    <dataValidation allowBlank="1" type="list" errorStyle="stop" showInputMessage="1" showErrorMessage="1" sqref="E242">
      <formula1>"1"</formula1>
    </dataValidation>
    <dataValidation allowBlank="1" type="any" operator="between" errorStyle="stop" showInputMessage="1" prompt="شهر_يوم_سنة" showErrorMessage="1" sqref="A244"/>
    <dataValidation allowBlank="1" type="list" errorStyle="stop" showInputMessage="1" showErrorMessage="1" sqref="F255">
      <formula1>"160"</formula1>
    </dataValidation>
    <dataValidation allowBlank="1" type="list" errorStyle="stop" showInputMessage="1" showErrorMessage="1" sqref="F246">
      <formula1>"160"</formula1>
    </dataValidation>
    <dataValidation allowBlank="1" type="list" errorStyle="stop" showInputMessage="1" showErrorMessage="1" sqref="F251">
      <formula1>"160"</formula1>
    </dataValidation>
    <dataValidation allowBlank="1" type="list" errorStyle="stop" showInputMessage="1" showErrorMessage="1" sqref="F248">
      <formula1>"160"</formula1>
    </dataValidation>
    <dataValidation allowBlank="1" type="list" errorStyle="stop" showInputMessage="1" showErrorMessage="1" sqref="F253">
      <formula1>"160"</formula1>
    </dataValidation>
    <dataValidation allowBlank="1" type="list" errorStyle="stop" showInputMessage="1" showErrorMessage="1" sqref="F256">
      <formula1>"160"</formula1>
    </dataValidation>
    <dataValidation allowBlank="1" type="list" errorStyle="stop" showInputMessage="1" showErrorMessage="1" sqref="F243">
      <formula1>"160"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6"/>
    <dataValidation allowBlank="1" type="any" operator="between" errorStyle="stop" showInputMessage="1" prompt="شهر_يوم_سنة" showErrorMessage="1" sqref="A253"/>
    <dataValidation allowBlank="1" type="list" errorStyle="stop" showInputMessage="1" showErrorMessage="1" sqref="F244">
      <formula1>"160"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4:L135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4"/>
    <dataValidation allowBlank="1" type="list" errorStyle="stop" showInputMessage="1" showErrorMessage="1" sqref="K254">
      <formula1>"Spray,Injection,Drench,Fumigation,Bait,Soil Application"</formula1>
    </dataValidation>
    <dataValidation allowBlank="1" type="list" errorStyle="stop" showInputMessage="1" showErrorMessage="1" sqref="K266">
      <formula1>"Spray,Injection,Drench,Fumigation,Bait,Soil Application"</formula1>
    </dataValidation>
    <dataValidation allowBlank="1" type="list" errorStyle="stop" showInputMessage="1" showErrorMessage="1" sqref="K259">
      <formula1>"Spray,Injection,Drench,Fumigation,Bait,Soil Application"</formula1>
    </dataValidation>
    <dataValidation allowBlank="1" type="list" errorStyle="stop" showInputMessage="1" showErrorMessage="1" sqref="K263">
      <formula1>"Spray,Injection,Drench,Fumigation,Bait,Soil Application"</formula1>
    </dataValidation>
    <dataValidation allowBlank="1" type="list" errorStyle="stop" showInputMessage="1" showErrorMessage="1" sqref="I265">
      <formula1>Lists!$C:$C</formula1>
    </dataValidation>
    <dataValidation allowBlank="1" type="list" errorStyle="stop" showInputMessage="1" showErrorMessage="1" sqref="I267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4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4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58:L26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9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9:L14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4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2"/>
    <dataValidation allowBlank="1" type="list" errorStyle="stop" showInputMessage="1" showErrorMessage="1" sqref="K302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5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3:L125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7:L11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1"/>
    <dataValidation allowBlank="1" type="list" errorStyle="stop" showInputMessage="1" showErrorMessage="1" sqref="K250">
      <formula1>"Spray,Injection,Drench,Fumigation,Bait,Soil Application"</formula1>
    </dataValidation>
    <dataValidation allowBlank="1" type="list" errorStyle="stop" showInputMessage="1" showErrorMessage="1" sqref="E257">
      <formula1>"1"</formula1>
    </dataValidation>
    <dataValidation allowBlank="1" type="list" errorStyle="stop" showInputMessage="1" showErrorMessage="1" sqref="K257">
      <formula1>"Spray,Injection,Drench,Fumigation,Bait,Soil Application"</formula1>
    </dataValidation>
    <dataValidation allowBlank="1" type="list" errorStyle="stop" showInputMessage="1" showErrorMessage="1" sqref="K256">
      <formula1>"Spray,Injection,Drench,Fumigation,Bait,Soil Application"</formula1>
    </dataValidation>
    <dataValidation allowBlank="1" type="list" errorStyle="stop" showInputMessage="1" showErrorMessage="1" sqref="I274">
      <formula1>Lists!$C:$C</formula1>
    </dataValidation>
    <dataValidation allowBlank="1" type="list" errorStyle="stop" showInputMessage="1" showErrorMessage="1" sqref="D291">
      <formula1>Lists!$Q:$Q</formula1>
    </dataValidation>
    <dataValidation allowBlank="1" type="list" errorStyle="stop" showInputMessage="1" showErrorMessage="1" sqref="D294">
      <formula1>Lists!$Q:$Q</formula1>
    </dataValidation>
    <dataValidation allowBlank="1" type="list" errorStyle="stop" showInputMessage="1" showErrorMessage="1" sqref="D292">
      <formula1>Lists!$Q:$Q</formula1>
    </dataValidation>
    <dataValidation allowBlank="1" type="list" errorStyle="stop" showInputMessage="1" showErrorMessage="1" sqref="I276">
      <formula1>Lists!$C:$C</formula1>
    </dataValidation>
    <dataValidation allowBlank="1" type="list" errorStyle="stop" showInputMessage="1" showErrorMessage="1" sqref="D290">
      <formula1>Lists!$Q:$Q</formula1>
    </dataValidation>
    <dataValidation allowBlank="1" type="list" errorStyle="stop" showInputMessage="1" showErrorMessage="1" sqref="I284">
      <formula1>Lists!$C:$C</formula1>
    </dataValidation>
    <dataValidation allowBlank="1" type="list" errorStyle="stop" showInputMessage="1" showErrorMessage="1" sqref="I281">
      <formula1>Lists!$C:$C</formula1>
    </dataValidation>
    <dataValidation allowBlank="1" type="list" errorStyle="stop" showInputMessage="1" showErrorMessage="1" sqref="I279">
      <formula1>Lists!$C:$C</formula1>
    </dataValidation>
    <dataValidation allowBlank="1" type="list" errorStyle="stop" showInputMessage="1" showErrorMessage="1" sqref="I283">
      <formula1>Lists!$C:$C</formula1>
    </dataValidation>
    <dataValidation allowBlank="1" type="any" operator="between" errorStyle="stop" showInputMessage="1" prompt="شهر_يوم_سنة" showErrorMessage="1" sqref="A291"/>
    <dataValidation allowBlank="1" type="list" errorStyle="stop" showInputMessage="1" showErrorMessage="1" sqref="I273">
      <formula1>Lists!$C:$C</formula1>
    </dataValidation>
    <dataValidation allowBlank="1" type="list" errorStyle="stop" showInputMessage="1" showErrorMessage="1" sqref="I275">
      <formula1>Lists!$C:$C</formula1>
    </dataValidation>
    <dataValidation allowBlank="1" type="list" errorStyle="stop" showInputMessage="1" showErrorMessage="1" sqref="I277">
      <formula1>Lists!$C:$C</formula1>
    </dataValidation>
    <dataValidation allowBlank="1" type="list" errorStyle="stop" showInputMessage="1" showErrorMessage="1" sqref="I282">
      <formula1>Lists!$C:$C</formula1>
    </dataValidation>
    <dataValidation allowBlank="1" type="list" errorStyle="stop" showInputMessage="1" showErrorMessage="1" sqref="I263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4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2"/>
    <dataValidation allowBlank="1" type="any" operator="between" errorStyle="stop" showInputMessage="1" prompt="شهر_يوم_سنة" showErrorMessage="1" sqref="A246"/>
    <dataValidation allowBlank="1" type="list" errorStyle="stop" showInputMessage="1" showErrorMessage="1" sqref="I254">
      <formula1>Lists!$C:$C</formula1>
    </dataValidation>
    <dataValidation allowBlank="1" type="list" errorStyle="stop" showInputMessage="1" showErrorMessage="1" sqref="E256">
      <formula1>"1"</formula1>
    </dataValidation>
    <dataValidation allowBlank="1" type="list" errorStyle="stop" showInputMessage="1" showErrorMessage="1" sqref="E2:E241">
      <formula1>OFFSET(Lists!$S$1,0,0,_xlfn.XLOOKUP(D2,Lists!$Q$1:$Q$31,Lists!$R$1:$R$31),1)</formula1>
    </dataValidation>
    <dataValidation allowBlank="1" type="list" errorStyle="stop" showInputMessage="1" showErrorMessage="1" sqref="K271">
      <formula1>"Spray,Injection,Drench,Fumigation,Bait,Soil Application"</formula1>
    </dataValidation>
    <dataValidation allowBlank="1" type="list" errorStyle="stop" showInputMessage="1" showErrorMessage="1" sqref="K281">
      <formula1>"Spray,Injection,Drench,Fumigation,Bait,Soil Application"</formula1>
    </dataValidation>
    <dataValidation allowBlank="1" type="list" errorStyle="stop" showInputMessage="1" showErrorMessage="1" sqref="K273">
      <formula1>"Spray,Injection,Drench,Fumigation,Bait,Soil Application"</formula1>
    </dataValidation>
    <dataValidation allowBlank="1" type="list" errorStyle="stop" showInputMessage="1" showErrorMessage="1" sqref="K276">
      <formula1>"Spray,Injection,Drench,Fumigation,Bait,Soil Application"</formula1>
    </dataValidation>
    <dataValidation allowBlank="1" type="list" errorStyle="stop" showInputMessage="1" showErrorMessage="1" sqref="K283">
      <formula1>"Spray,Injection,Drench,Fumigation,Bait,Soil Application"</formula1>
    </dataValidation>
    <dataValidation allowBlank="1" type="list" errorStyle="stop" showInputMessage="1" showErrorMessage="1" sqref="K284">
      <formula1>"Spray,Injection,Drench,Fumigation,Bait,Soil Application"</formula1>
    </dataValidation>
    <dataValidation allowBlank="1" type="list" errorStyle="stop" showInputMessage="1" showErrorMessage="1" sqref="I255">
      <formula1>Lists!$C:$C</formula1>
    </dataValidation>
    <dataValidation allowBlank="1" type="list" errorStyle="stop" showInputMessage="1" showErrorMessage="1" sqref="K279">
      <formula1>"Spray,Injection,Drench,Fumigation,Bait,Soil Application"</formula1>
    </dataValidation>
    <dataValidation allowBlank="1" type="list" errorStyle="stop" showInputMessage="1" showErrorMessage="1" sqref="I253">
      <formula1>Lists!$C:$C</formula1>
    </dataValidation>
    <dataValidation allowBlank="1" type="list" errorStyle="stop" showInputMessage="1" showErrorMessage="1" sqref="K277">
      <formula1>"Spray,Injection,Drench,Fumigation,Bait,Soil Application"</formula1>
    </dataValidation>
    <dataValidation allowBlank="1" type="any" operator="between" errorStyle="stop" showInputMessage="1" prompt="شهر_يوم_سنة" showErrorMessage="1" sqref="A255"/>
    <dataValidation allowBlank="1" type="list" errorStyle="stop" showInputMessage="1" showErrorMessage="1" sqref="K249">
      <formula1>"Spray,Injection,Drench,Fumigation,Bait,Soil Application"</formula1>
    </dataValidation>
    <dataValidation allowBlank="1" type="list" errorStyle="stop" showInputMessage="1" showErrorMessage="1" sqref="K247">
      <formula1>"Spray,Injection,Drench,Fumigation,Bait,Soil Application"</formula1>
    </dataValidation>
    <dataValidation allowBlank="1" type="list" errorStyle="stop" showInputMessage="1" showErrorMessage="1" sqref="E251">
      <formula1>"1"</formula1>
    </dataValidation>
    <dataValidation allowBlank="1" type="list" errorStyle="stop" showInputMessage="1" showErrorMessage="1" sqref="I256">
      <formula1>Lists!$C:$C</formula1>
    </dataValidation>
    <dataValidation allowBlank="1" type="any" operator="between" errorStyle="stop" showInputMessage="1" prompt="شهر_يوم_سنة" showErrorMessage="1" sqref="A249"/>
    <dataValidation allowBlank="1" type="list" errorStyle="stop" showInputMessage="1" showErrorMessage="1" sqref="E247">
      <formula1>"1"</formula1>
    </dataValidation>
    <dataValidation allowBlank="1" type="list" errorStyle="stop" showInputMessage="1" showErrorMessage="1" sqref="K275">
      <formula1>"Spray,Injection,Drench,Fumigation,Bait,Soil Application"</formula1>
    </dataValidation>
    <dataValidation allowBlank="1" type="list" errorStyle="stop" showInputMessage="1" showErrorMessage="1" sqref="D308">
      <formula1>Lists!$Q:$Q</formula1>
    </dataValidation>
    <dataValidation allowBlank="1" type="list" errorStyle="stop" showInputMessage="1" showErrorMessage="1" sqref="E266">
      <formula1>"1"</formula1>
    </dataValidation>
    <dataValidation allowBlank="1" type="list" errorStyle="stop" showInputMessage="1" showErrorMessage="1" sqref="K299">
      <formula1>"Spray,Injection,Drench,Fumigation,Bait,Soil Application"</formula1>
    </dataValidation>
    <dataValidation allowBlank="1" type="list" errorStyle="stop" showInputMessage="1" showErrorMessage="1" sqref="E286">
      <formula1>"1"</formula1>
    </dataValidation>
    <dataValidation allowBlank="1" type="list" errorStyle="stop" showInputMessage="1" showErrorMessage="1" sqref="D288">
      <formula1>Lists!$Q:$Q</formula1>
    </dataValidation>
    <dataValidation allowBlank="1" type="list" errorStyle="stop" showInputMessage="1" showErrorMessage="1" sqref="I299">
      <formula1>Lists!$C:$C</formula1>
    </dataValidation>
    <dataValidation allowBlank="1" type="list" errorStyle="stop" showInputMessage="1" showErrorMessage="1" sqref="I300">
      <formula1>Lists!$C:$C</formula1>
    </dataValidation>
    <dataValidation allowBlank="1" type="list" errorStyle="stop" showInputMessage="1" showErrorMessage="1" sqref="D282">
      <formula1>Lists!$Q:$Q</formula1>
    </dataValidation>
    <dataValidation allowBlank="1" type="list" errorStyle="stop" showInputMessage="1" showErrorMessage="1" sqref="E293">
      <formula1>"1"</formula1>
    </dataValidation>
    <dataValidation allowBlank="1" type="list" errorStyle="stop" showInputMessage="1" showErrorMessage="1" sqref="D309">
      <formula1>Lists!$Q:$Q</formula1>
    </dataValidation>
    <dataValidation allowBlank="1" type="list" errorStyle="stop" showInputMessage="1" showErrorMessage="1" sqref="I309">
      <formula1>Lists!$C:$C</formula1>
    </dataValidation>
    <dataValidation allowBlank="1" type="list" errorStyle="stop" showInputMessage="1" showErrorMessage="1" sqref="I310">
      <formula1>Lists!$C:$C</formula1>
    </dataValidation>
    <dataValidation allowBlank="1" type="list" errorStyle="stop" showInputMessage="1" showErrorMessage="1" sqref="D289">
      <formula1>Lists!$Q:$Q</formula1>
    </dataValidation>
    <dataValidation allowBlank="1" type="list" errorStyle="stop" showInputMessage="1" showErrorMessage="1" sqref="I307">
      <formula1>Lists!$C:$C</formula1>
    </dataValidation>
    <dataValidation allowBlank="1" type="list" errorStyle="stop" showInputMessage="1" showErrorMessage="1" sqref="K301">
      <formula1>"Spray,Injection,Drench,Fumigation,Bait,Soil Application"</formula1>
    </dataValidation>
    <dataValidation allowBlank="1" type="list" errorStyle="stop" showInputMessage="1" showErrorMessage="1" sqref="I272">
      <formula1>Lists!$C:$C</formula1>
    </dataValidation>
    <dataValidation allowBlank="1" type="list" errorStyle="stop" showInputMessage="1" showErrorMessage="1" sqref="E290">
      <formula1>"1"</formula1>
    </dataValidation>
    <dataValidation allowBlank="1" type="list" errorStyle="stop" showInputMessage="1" showErrorMessage="1" sqref="D287">
      <formula1>Lists!$Q:$Q</formula1>
    </dataValidation>
    <dataValidation allowBlank="1" type="list" errorStyle="stop" showInputMessage="1" showErrorMessage="1" sqref="D286">
      <formula1>Lists!$Q:$Q</formula1>
    </dataValidation>
    <dataValidation allowBlank="1" type="list" errorStyle="stop" showInputMessage="1" showErrorMessage="1" sqref="K300">
      <formula1>"Spray,Injection,Drench,Fumigation,Bait,Soil Application"</formula1>
    </dataValidation>
    <dataValidation allowBlank="1" type="list" errorStyle="stop" showInputMessage="1" showErrorMessage="1" sqref="I302">
      <formula1>Lists!$C:$C</formula1>
    </dataValidation>
    <dataValidation allowBlank="1" type="list" errorStyle="stop" showInputMessage="1" showErrorMessage="1" sqref="K303">
      <formula1>"Spray,Injection,Drench,Fumigation,Bait,Soil Application"</formula1>
    </dataValidation>
    <dataValidation allowBlank="1" type="list" errorStyle="stop" showInputMessage="1" showErrorMessage="1" sqref="E292">
      <formula1>"1"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10"/>
    <dataValidation allowBlank="1" type="list" errorStyle="stop" showInputMessage="1" showErrorMessage="1" sqref="E294">
      <formula1>"1"</formula1>
    </dataValidation>
    <dataValidation allowBlank="1" type="list" errorStyle="stop" showInputMessage="1" showErrorMessage="1" sqref="K305">
      <formula1>"Spray,Injection,Drench,Fumigation,Bait,Soil Application"</formula1>
    </dataValidation>
    <dataValidation allowBlank="1" type="list" errorStyle="stop" showInputMessage="1" showErrorMessage="1" sqref="K298">
      <formula1>"Spray,Injection,Drench,Fumigation,Bait,Soil Application"</formula1>
    </dataValidation>
    <dataValidation allowBlank="1" type="list" errorStyle="stop" showInputMessage="1" showErrorMessage="1" sqref="I305">
      <formula1>Lists!$C:$C</formula1>
    </dataValidation>
    <dataValidation allowBlank="1" type="list" errorStyle="stop" showInputMessage="1" showErrorMessage="1" sqref="I306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11"/>
    <dataValidation allowBlank="1" type="list" errorStyle="stop" showInputMessage="1" showErrorMessage="1" sqref="D271">
      <formula1>Lists!$Q:$Q</formula1>
    </dataValidation>
    <dataValidation allowBlank="1" type="any" operator="between" errorStyle="stop" showInputMessage="1" prompt="شهر_يوم_سنة" showErrorMessage="1" sqref="A305"/>
    <dataValidation allowBlank="1" type="any" operator="between" errorStyle="stop" showInputMessage="1" prompt="شهر_يوم_سنة" showErrorMessage="1" sqref="A306"/>
    <dataValidation allowBlank="1" type="any" operator="between" errorStyle="stop" showInputMessage="1" prompt="شهر_يوم_سنة" showErrorMessage="1" sqref="A307"/>
    <dataValidation allowBlank="1" type="any" operator="between" errorStyle="stop" showInputMessage="1" prompt="شهر_يوم_سنة" showErrorMessage="1" sqref="A308"/>
    <dataValidation allowBlank="1" type="any" operator="between" errorStyle="stop" showInputMessage="1" prompt="شهر_يوم_سنة" showErrorMessage="1" sqref="A309"/>
    <dataValidation allowBlank="1" type="any" operator="between" errorStyle="stop" showInputMessage="1" prompt="شهر_يوم_سنة" showErrorMessage="1" sqref="A31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61"/>
    <dataValidation allowBlank="1" type="list" errorStyle="stop" showInputMessage="1" showErrorMessage="1" sqref="K268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60"/>
    <dataValidation allowBlank="1" type="list" errorStyle="stop" showInputMessage="1" showErrorMessage="1" sqref="I271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80"/>
    <dataValidation allowBlank="1" type="list" errorStyle="stop" showInputMessage="1" showErrorMessage="1" sqref="K282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2"/>
    <dataValidation allowBlank="1" type="any" operator="between" errorStyle="stop" showInputMessage="1" prompt="شهر_يوم_سنة" showErrorMessage="1" sqref="A2:A242"/>
    <dataValidation allowBlank="1" type="list" errorStyle="stop" showInputMessage="1" showErrorMessage="1" sqref="E245">
      <formula1>"1"</formula1>
    </dataValidation>
    <dataValidation allowBlank="1" type="any" operator="between" errorStyle="stop" showInputMessage="1" prompt="شهر_يوم_سنة" showErrorMessage="1" sqref="A250"/>
    <dataValidation allowBlank="1" type="list" errorStyle="stop" showInputMessage="1" showErrorMessage="1" sqref="I2:I251">
      <formula1>Lists!$C:$C</formula1>
    </dataValidation>
    <dataValidation allowBlank="1" type="list" errorStyle="stop" showInputMessage="1" showErrorMessage="1" sqref="K2:K246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1"/>
    <dataValidation allowBlank="1" type="list" errorStyle="stop" showInputMessage="1" showErrorMessage="1" sqref="K278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5"/>
    <dataValidation allowBlank="1" type="list" errorStyle="stop" showInputMessage="1" showErrorMessage="1" sqref="K274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4"/>
    <dataValidation allowBlank="1" type="list" errorStyle="stop" showInputMessage="1" showErrorMessage="1" sqref="K280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73"/>
    <dataValidation allowBlank="1" type="list" errorStyle="stop" showInputMessage="1" showErrorMessage="1" sqref="K272">
      <formula1>"Spray,Injection,Drench,Fumigation,Bait,Soil Application"</formula1>
    </dataValidation>
    <dataValidation allowBlank="1" type="list" errorStyle="stop" showInputMessage="1" showErrorMessage="1" sqref="E258">
      <formula1>"1"</formula1>
    </dataValidation>
    <dataValidation allowBlank="1" type="list" errorStyle="stop" showInputMessage="1" showErrorMessage="1" sqref="K251">
      <formula1>"Spray,Injection,Drench,Fumigation,Bait,Soil Application"</formula1>
    </dataValidation>
    <dataValidation allowBlank="1" type="list" errorStyle="stop" showInputMessage="1" showErrorMessage="1" sqref="K252">
      <formula1>"Spray,Injection,Drench,Fumigation,Bait,Soil Application"</formula1>
    </dataValidation>
    <dataValidation allowBlank="1" type="list" errorStyle="stop" showInputMessage="1" showErrorMessage="1" sqref="K253">
      <formula1>"Spray,Injection,Drench,Fumigation,Bait,Soil Application"</formula1>
    </dataValidation>
    <dataValidation allowBlank="1" type="list" errorStyle="stop" showInputMessage="1" showErrorMessage="1" sqref="I252">
      <formula1>Lists!$C:$C</formula1>
    </dataValidation>
    <dataValidation allowBlank="1" type="list" errorStyle="stop" showInputMessage="1" showErrorMessage="1" sqref="K264">
      <formula1>"Spray,Injection,Drench,Fumigation,Bait,Soil Application"</formula1>
    </dataValidation>
    <dataValidation allowBlank="1" type="list" errorStyle="stop" showInputMessage="1" showErrorMessage="1" sqref="K262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:L101"/>
    <dataValidation allowBlank="1" type="list" errorStyle="stop" showInputMessage="1" showErrorMessage="1" sqref="E264">
      <formula1>"1"</formula1>
    </dataValidation>
    <dataValidation allowBlank="1" type="list" errorStyle="stop" showInputMessage="1" showErrorMessage="1" sqref="D293">
      <formula1>Lists!$Q:$Q</formula1>
    </dataValidation>
    <dataValidation allowBlank="1" type="list" errorStyle="stop" showInputMessage="1" showErrorMessage="1" sqref="E285">
      <formula1>"1"</formula1>
    </dataValidation>
    <dataValidation allowBlank="1" type="list" errorStyle="stop" showInputMessage="1" showErrorMessage="1" sqref="E288">
      <formula1>"1"</formula1>
    </dataValidation>
    <dataValidation allowBlank="1" type="list" errorStyle="stop" showInputMessage="1" showErrorMessage="1" sqref="E287">
      <formula1>"1"</formula1>
    </dataValidation>
    <dataValidation allowBlank="1" type="list" errorStyle="stop" showInputMessage="1" showErrorMessage="1" sqref="E291">
      <formula1>"1"</formula1>
    </dataValidation>
    <dataValidation allowBlank="1" type="list" errorStyle="stop" showInputMessage="1" showErrorMessage="1" sqref="D285">
      <formula1>Lists!$Q:$Q</formula1>
    </dataValidation>
    <dataValidation allowBlank="1" type="list" errorStyle="stop" showInputMessage="1" showErrorMessage="1" sqref="K310">
      <formula1>"Spray,Injection,Drench,Fumigation,Bait,Soil Application"</formula1>
    </dataValidation>
    <dataValidation allowBlank="1" type="list" errorStyle="stop" showInputMessage="1" showErrorMessage="1" sqref="E289">
      <formula1>"1"</formula1>
    </dataValidation>
    <dataValidation allowBlank="1" type="list" errorStyle="stop" showInputMessage="1" showErrorMessage="1" sqref="D310">
      <formula1>Lists!$Q:$Q</formula1>
    </dataValidation>
    <dataValidation allowBlank="1" type="list" errorStyle="stop" showInputMessage="1" showErrorMessage="1" sqref="E305">
      <formula1>"1"</formula1>
    </dataValidation>
    <dataValidation allowBlank="1" type="list" errorStyle="stop" showInputMessage="1" showErrorMessage="1" sqref="E308">
      <formula1>"1"</formula1>
    </dataValidation>
    <dataValidation allowBlank="1" type="list" errorStyle="stop" showInputMessage="1" showErrorMessage="1" sqref="D305">
      <formula1>Lists!$Q:$Q</formula1>
    </dataValidation>
    <dataValidation allowBlank="1" type="list" errorStyle="stop" showInputMessage="1" showErrorMessage="1" sqref="E306">
      <formula1>"1"</formula1>
    </dataValidation>
    <dataValidation allowBlank="1" type="list" errorStyle="stop" showInputMessage="1" showErrorMessage="1" sqref="E307">
      <formula1>"1"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3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1:L11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0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05:L10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02"/>
    <dataValidation allowBlank="1" type="list" errorStyle="stop" showInputMessage="1" showErrorMessage="1" sqref="E269">
      <formula1>"1"</formula1>
    </dataValidation>
    <dataValidation allowBlank="1" type="list" errorStyle="stop" showInputMessage="1" showErrorMessage="1" sqref="D306">
      <formula1>Lists!$Q:$Q</formula1>
    </dataValidation>
    <dataValidation allowBlank="1" type="list" errorStyle="stop" showInputMessage="1" showErrorMessage="1" sqref="E309">
      <formula1>"1"</formula1>
    </dataValidation>
    <dataValidation allowBlank="1" type="list" errorStyle="stop" showInputMessage="1" showErrorMessage="1" sqref="E310">
      <formula1>"1"</formula1>
    </dataValidation>
    <dataValidation allowBlank="1" type="list" errorStyle="stop" showInputMessage="1" showErrorMessage="1" sqref="I304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2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09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1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0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04"/>
    <dataValidation allowBlank="1" type="list" errorStyle="stop" showInputMessage="1" showErrorMessage="1" sqref="I303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6"/>
    <dataValidation allowBlank="1" type="list" errorStyle="stop" showInputMessage="1" showErrorMessage="1" sqref="K307">
      <formula1>"Spray,Injection,Drench,Fumigation,Bait,Soil Application"</formula1>
    </dataValidation>
    <dataValidation allowBlank="1" type="list" errorStyle="stop" showInputMessage="1" showErrorMessage="1" sqref="K306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5"/>
    <dataValidation allowBlank="1" type="list" errorStyle="stop" showInputMessage="1" showErrorMessage="1" sqref="I298">
      <formula1>Lists!$C:$C</formula1>
    </dataValidation>
    <dataValidation allowBlank="1" type="list" errorStyle="stop" showInputMessage="1" showErrorMessage="1" sqref="K308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4"/>
    <dataValidation allowBlank="1" type="list" errorStyle="stop" showInputMessage="1" showErrorMessage="1" sqref="I301">
      <formula1>Lists!$C:$C</formula1>
    </dataValidation>
    <dataValidation allowBlank="1" type="list" errorStyle="stop" showInputMessage="1" showErrorMessage="1" sqref="K309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303:L305"/>
    <dataValidation allowBlank="1" type="list" errorStyle="stop" showInputMessage="1" showErrorMessage="1" sqref="I269">
      <formula1>Lists!$C:$C</formula1>
    </dataValidation>
    <dataValidation allowBlank="1" type="list" errorStyle="stop" showInputMessage="1" showErrorMessage="1" sqref="D307">
      <formula1>Lists!$Q:$Q</formula1>
    </dataValidation>
    <dataValidation allowBlank="1" type="list" errorStyle="stop" showInputMessage="1" showErrorMessage="1" sqref="E261">
      <formula1>"1"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6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8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7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5:L176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4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8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9"/>
    <dataValidation allowBlank="1" type="any" operator="between" errorStyle="stop" showInputMessage="1" prompt="شهر_يوم_سنة" showErrorMessage="1" sqref="A264"/>
    <dataValidation allowBlank="1" type="list" errorStyle="stop" showInputMessage="1" showErrorMessage="1" sqref="D275">
      <formula1>Lists!$Q:$Q</formula1>
    </dataValidation>
    <dataValidation allowBlank="1" type="list" errorStyle="stop" showInputMessage="1" showErrorMessage="1" sqref="E260">
      <formula1>"1"</formula1>
    </dataValidation>
    <dataValidation allowBlank="1" type="any" operator="between" errorStyle="stop" showInputMessage="1" prompt="شهر_يوم_سنة" showErrorMessage="1" sqref="A259"/>
    <dataValidation allowBlank="1" type="list" errorStyle="stop" showInputMessage="1" showErrorMessage="1" sqref="E267">
      <formula1>"1"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56:L159"/>
    <dataValidation allowBlank="1" type="list" errorStyle="stop" showInputMessage="1" showErrorMessage="1" sqref="I278">
      <formula1>Lists!$C:$C</formula1>
    </dataValidation>
    <dataValidation allowBlank="1" type="list" errorStyle="stop" showInputMessage="1" showErrorMessage="1" sqref="K304">
      <formula1>"Spray,Injection,Drench,Fumigation,Bait,Soil Application"</formula1>
    </dataValidation>
    <dataValidation allowBlank="1" type="list" errorStyle="stop" showInputMessage="1" showErrorMessage="1" sqref="K260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0"/>
    <dataValidation allowBlank="1" type="list" errorStyle="stop" showInputMessage="1" showErrorMessage="1" sqref="K269">
      <formula1>"Spray,Injection,Drench,Fumigation,Bait,Soil Application"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64:L169"/>
    <dataValidation allowBlank="1" type="list" errorStyle="stop" showInputMessage="1" showErrorMessage="1" sqref="I280">
      <formula1>Lists!$C:$C</formula1>
    </dataValidation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6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81:L20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21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02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172:L173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03:L220"/>
    <dataValidation allowBlank="1" type="any" operator="between" errorStyle="stop" showInputMessage="1" prompt="⚠️ تنبيه الجرعة يجب أن تكون   بالملل او بالجرام لكل 100 لتر ماء فقط. لا تُدخل جرعات محسوبة لكل 1000 لتر أو لكل متر مكعب" showErrorMessage="1" sqref="L222:L242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Lists!$B:$B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wewe erer</dc:creator>
  <cp:lastModifiedBy>Eng.Abdelrahman</cp:lastModifiedBy>
  <dcterms:created xsi:type="dcterms:W3CDTF">٢٠٢٦-٠٥-٢٥T٠٤:٠٤:٠٥Z</dcterms:created>
  <dcterms:modified xsi:type="dcterms:W3CDTF">٢٠٢٦-٠٦-٢٥T٠٩:٥٨:١٢Z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e2a8b480f3c242dfb778250c4d4eb927</vt:lpwstr>
  </property>
</Properties>
</file>