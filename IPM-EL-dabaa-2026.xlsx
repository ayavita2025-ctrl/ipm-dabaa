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64C7C15-397D-D24B-B89B-3AF8FFAF8FF6}" xr6:coauthVersionLast="47" xr6:coauthVersionMax="47" xr10:uidLastSave="{00000000-0000-0000-0000-000000000000}"/>
  <bookViews>
    <workbookView xWindow="-120" yWindow="-120" windowWidth="19440" windowHeight="10440" activeTab="1" xr2:uid="{24ECD831-CDE5-424E-8629-ADCF89B3D3E3}"/>
  </bookViews>
  <sheets>
    <sheet name="Lists" sheetId="2" r:id="rId1"/>
    <sheet name="IPM2026" sheetId="1" r:id="rId2"/>
  </sheets>
  <definedNames>
    <definedName name="_xlnm._FilterDatabase" localSheetId="0" hidden="1">Lists!$C$1:$C$160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" i="1" l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C1319" i="1"/>
  <c r="C1320" i="1"/>
  <c r="C1321" i="1"/>
  <c r="C1322" i="1"/>
  <c r="C1323" i="1"/>
  <c r="C1324" i="1"/>
  <c r="C1325" i="1"/>
  <c r="C1326" i="1"/>
  <c r="C1327" i="1"/>
  <c r="C1328" i="1"/>
  <c r="G1319" i="1"/>
  <c r="G1320" i="1"/>
  <c r="G1321" i="1"/>
  <c r="G1322" i="1"/>
  <c r="G1323" i="1"/>
  <c r="G1324" i="1"/>
  <c r="G1325" i="1"/>
  <c r="G1326" i="1"/>
  <c r="G1327" i="1"/>
  <c r="G1328" i="1"/>
  <c r="H1319" i="1"/>
  <c r="H1320" i="1"/>
  <c r="H1321" i="1"/>
  <c r="H1322" i="1"/>
  <c r="H1323" i="1"/>
  <c r="H1324" i="1"/>
  <c r="H1325" i="1"/>
  <c r="H1326" i="1"/>
  <c r="H1327" i="1"/>
  <c r="H1328" i="1"/>
  <c r="J1319" i="1"/>
  <c r="J1320" i="1"/>
  <c r="J1321" i="1"/>
  <c r="J1322" i="1"/>
  <c r="J1323" i="1"/>
  <c r="J1324" i="1"/>
  <c r="J1325" i="1"/>
  <c r="J1326" i="1"/>
  <c r="J1327" i="1"/>
  <c r="J1328" i="1"/>
  <c r="N1319" i="1"/>
  <c r="N1320" i="1"/>
  <c r="N1321" i="1"/>
  <c r="N1322" i="1"/>
  <c r="N1323" i="1"/>
  <c r="N1324" i="1"/>
  <c r="N1325" i="1"/>
  <c r="N1326" i="1"/>
  <c r="N1327" i="1"/>
  <c r="N1328" i="1"/>
  <c r="O1319" i="1"/>
  <c r="O1320" i="1"/>
  <c r="O1321" i="1"/>
  <c r="O1322" i="1"/>
  <c r="O1323" i="1"/>
  <c r="O1324" i="1"/>
  <c r="O1325" i="1"/>
  <c r="O1326" i="1"/>
  <c r="O1327" i="1"/>
  <c r="O1328" i="1"/>
  <c r="P1319" i="1"/>
  <c r="P1320" i="1"/>
  <c r="P1321" i="1"/>
  <c r="P1322" i="1"/>
  <c r="P1323" i="1"/>
  <c r="P1324" i="1"/>
  <c r="P1325" i="1"/>
  <c r="P1326" i="1"/>
  <c r="P1327" i="1"/>
  <c r="P1328" i="1"/>
  <c r="Q1319" i="1"/>
  <c r="Q1320" i="1"/>
  <c r="Q1321" i="1"/>
  <c r="Q1322" i="1"/>
  <c r="Q1323" i="1"/>
  <c r="Q1324" i="1"/>
  <c r="Q1325" i="1"/>
  <c r="Q1326" i="1"/>
  <c r="Q1327" i="1"/>
  <c r="Q1328" i="1"/>
  <c r="R1319" i="1"/>
  <c r="R1320" i="1"/>
  <c r="R1321" i="1"/>
  <c r="R1322" i="1"/>
  <c r="R1323" i="1"/>
  <c r="R1324" i="1"/>
  <c r="R1325" i="1"/>
  <c r="R1326" i="1"/>
  <c r="R1327" i="1"/>
  <c r="R1328" i="1"/>
  <c r="S1319" i="1"/>
  <c r="S1320" i="1"/>
  <c r="S1321" i="1"/>
  <c r="S1322" i="1"/>
  <c r="S1323" i="1"/>
  <c r="S1324" i="1"/>
  <c r="S1325" i="1"/>
  <c r="S1326" i="1"/>
  <c r="S1327" i="1"/>
  <c r="S1328" i="1"/>
  <c r="C1329" i="1"/>
  <c r="C1330" i="1"/>
  <c r="C1331" i="1"/>
  <c r="C1332" i="1"/>
  <c r="C1333" i="1"/>
  <c r="G1329" i="1"/>
  <c r="G1330" i="1"/>
  <c r="G1331" i="1"/>
  <c r="G1332" i="1"/>
  <c r="G1333" i="1"/>
  <c r="H1329" i="1"/>
  <c r="H1330" i="1"/>
  <c r="H1331" i="1"/>
  <c r="H1332" i="1"/>
  <c r="H1333" i="1"/>
  <c r="J1329" i="1"/>
  <c r="J1330" i="1"/>
  <c r="J1331" i="1"/>
  <c r="J1332" i="1"/>
  <c r="J1333" i="1"/>
  <c r="N1329" i="1"/>
  <c r="N1330" i="1"/>
  <c r="N1331" i="1"/>
  <c r="N1332" i="1"/>
  <c r="N1333" i="1"/>
  <c r="O1329" i="1"/>
  <c r="O1330" i="1"/>
  <c r="O1331" i="1"/>
  <c r="O1332" i="1"/>
  <c r="O1333" i="1"/>
  <c r="P1329" i="1"/>
  <c r="P1330" i="1"/>
  <c r="P1331" i="1"/>
  <c r="P1332" i="1"/>
  <c r="P1333" i="1"/>
  <c r="Q1329" i="1"/>
  <c r="Q1332" i="1"/>
  <c r="S1329" i="1"/>
  <c r="S1330" i="1"/>
  <c r="S1331" i="1"/>
  <c r="S1332" i="1"/>
  <c r="S1333" i="1"/>
  <c r="C1337" i="1"/>
  <c r="G1337" i="1"/>
  <c r="H1337" i="1"/>
  <c r="J1337" i="1"/>
  <c r="N1337" i="1"/>
  <c r="O1337" i="1"/>
  <c r="P1337" i="1"/>
  <c r="S1337" i="1"/>
  <c r="C1334" i="1"/>
  <c r="C1335" i="1"/>
  <c r="G1334" i="1"/>
  <c r="G1335" i="1"/>
  <c r="H1334" i="1"/>
  <c r="H1335" i="1"/>
  <c r="J1334" i="1"/>
  <c r="J1335" i="1"/>
  <c r="N1334" i="1"/>
  <c r="N1335" i="1"/>
  <c r="O1334" i="1"/>
  <c r="O1335" i="1"/>
  <c r="P1334" i="1"/>
  <c r="P1335" i="1"/>
  <c r="S1334" i="1"/>
  <c r="S1335" i="1"/>
  <c r="C1338" i="1"/>
  <c r="G1338" i="1"/>
  <c r="H1338" i="1"/>
  <c r="J1338" i="1"/>
  <c r="N1338" i="1"/>
  <c r="O1338" i="1"/>
  <c r="P1338" i="1"/>
  <c r="S1338" i="1"/>
  <c r="C1336" i="1"/>
  <c r="G1336" i="1"/>
  <c r="H1336" i="1"/>
  <c r="J1336" i="1"/>
  <c r="N1336" i="1"/>
  <c r="O1336" i="1"/>
  <c r="P1336" i="1"/>
  <c r="S1336" i="1"/>
  <c r="C90" i="1"/>
  <c r="G90" i="1"/>
  <c r="J90" i="1"/>
  <c r="N90" i="1"/>
  <c r="O90" i="1"/>
  <c r="P90" i="1"/>
  <c r="S90" i="1"/>
  <c r="C89" i="1"/>
  <c r="G89" i="1"/>
  <c r="J89" i="1"/>
  <c r="N89" i="1"/>
  <c r="O89" i="1"/>
  <c r="P89" i="1"/>
  <c r="S89" i="1"/>
  <c r="C88" i="1"/>
  <c r="G88" i="1"/>
  <c r="H88" i="1"/>
  <c r="J88" i="1"/>
  <c r="N88" i="1"/>
  <c r="O88" i="1"/>
  <c r="P88" i="1"/>
  <c r="S88" i="1"/>
  <c r="C87" i="1"/>
  <c r="G87" i="1"/>
  <c r="H87" i="1"/>
  <c r="J87" i="1"/>
  <c r="N87" i="1"/>
  <c r="O87" i="1"/>
  <c r="P87" i="1"/>
  <c r="S87" i="1"/>
  <c r="C86" i="1"/>
  <c r="G86" i="1"/>
  <c r="J86" i="1"/>
  <c r="N86" i="1"/>
  <c r="O86" i="1"/>
  <c r="P86" i="1"/>
  <c r="S86" i="1"/>
  <c r="C85" i="1"/>
  <c r="G85" i="1"/>
  <c r="H85" i="1"/>
  <c r="J85" i="1"/>
  <c r="N85" i="1"/>
  <c r="O85" i="1"/>
  <c r="P85" i="1"/>
  <c r="S85" i="1"/>
  <c r="C84" i="1"/>
  <c r="G84" i="1"/>
  <c r="J84" i="1"/>
  <c r="N84" i="1"/>
  <c r="O84" i="1"/>
  <c r="P84" i="1"/>
  <c r="S84" i="1"/>
  <c r="C83" i="1"/>
  <c r="G83" i="1"/>
  <c r="H83" i="1"/>
  <c r="J83" i="1"/>
  <c r="N83" i="1"/>
  <c r="O83" i="1"/>
  <c r="P83" i="1"/>
  <c r="S83" i="1"/>
  <c r="C82" i="1"/>
  <c r="G82" i="1"/>
  <c r="J82" i="1"/>
  <c r="N82" i="1"/>
  <c r="O82" i="1"/>
  <c r="P82" i="1"/>
  <c r="S82" i="1"/>
  <c r="C81" i="1"/>
  <c r="G81" i="1"/>
  <c r="J81" i="1"/>
  <c r="N81" i="1"/>
  <c r="O81" i="1"/>
  <c r="P81" i="1"/>
  <c r="S81" i="1"/>
  <c r="C80" i="1"/>
  <c r="G80" i="1"/>
  <c r="J80" i="1"/>
  <c r="N80" i="1"/>
  <c r="O80" i="1"/>
  <c r="P80" i="1"/>
  <c r="S80" i="1"/>
  <c r="C79" i="1"/>
  <c r="G79" i="1"/>
  <c r="J79" i="1"/>
  <c r="N79" i="1"/>
  <c r="O79" i="1"/>
  <c r="P79" i="1"/>
  <c r="S79" i="1"/>
  <c r="C78" i="1"/>
  <c r="G78" i="1"/>
  <c r="H78" i="1"/>
  <c r="J78" i="1"/>
  <c r="N78" i="1"/>
  <c r="O78" i="1"/>
  <c r="P78" i="1"/>
  <c r="S78" i="1"/>
  <c r="C77" i="1"/>
  <c r="G77" i="1"/>
  <c r="J77" i="1"/>
  <c r="N77" i="1"/>
  <c r="O77" i="1"/>
  <c r="P77" i="1"/>
  <c r="S77" i="1"/>
  <c r="C76" i="1"/>
  <c r="G76" i="1"/>
  <c r="J76" i="1"/>
  <c r="N76" i="1"/>
  <c r="O76" i="1"/>
  <c r="P76" i="1"/>
  <c r="S76" i="1"/>
  <c r="C75" i="1"/>
  <c r="G75" i="1"/>
  <c r="J75" i="1"/>
  <c r="N75" i="1"/>
  <c r="O75" i="1"/>
  <c r="P75" i="1"/>
  <c r="S75" i="1"/>
  <c r="C74" i="1"/>
  <c r="G74" i="1"/>
  <c r="J74" i="1"/>
  <c r="N74" i="1"/>
  <c r="O74" i="1"/>
  <c r="P74" i="1"/>
  <c r="S74" i="1"/>
  <c r="C73" i="1"/>
  <c r="G73" i="1"/>
  <c r="J73" i="1"/>
  <c r="N73" i="1"/>
  <c r="O73" i="1"/>
  <c r="P73" i="1"/>
  <c r="S73" i="1"/>
  <c r="C72" i="1"/>
  <c r="G72" i="1"/>
  <c r="H72" i="1"/>
  <c r="J72" i="1"/>
  <c r="N72" i="1"/>
  <c r="O72" i="1"/>
  <c r="P72" i="1"/>
  <c r="S72" i="1"/>
  <c r="C71" i="1"/>
  <c r="G71" i="1"/>
  <c r="H71" i="1"/>
  <c r="J71" i="1"/>
  <c r="N71" i="1"/>
  <c r="O71" i="1"/>
  <c r="P71" i="1"/>
  <c r="S71" i="1"/>
  <c r="C70" i="1"/>
  <c r="G70" i="1"/>
  <c r="J70" i="1"/>
  <c r="N70" i="1"/>
  <c r="O70" i="1"/>
  <c r="P70" i="1"/>
  <c r="S70" i="1"/>
  <c r="C69" i="1"/>
  <c r="G69" i="1"/>
  <c r="J69" i="1"/>
  <c r="N69" i="1"/>
  <c r="O69" i="1"/>
  <c r="P69" i="1"/>
  <c r="S69" i="1"/>
  <c r="C68" i="1"/>
  <c r="G68" i="1"/>
  <c r="H68" i="1"/>
  <c r="J68" i="1"/>
  <c r="N68" i="1"/>
  <c r="O68" i="1"/>
  <c r="P68" i="1"/>
  <c r="S68" i="1"/>
  <c r="C67" i="1"/>
  <c r="G67" i="1"/>
  <c r="H67" i="1"/>
  <c r="J67" i="1"/>
  <c r="N67" i="1"/>
  <c r="O67" i="1"/>
  <c r="P67" i="1"/>
  <c r="S67" i="1"/>
  <c r="C66" i="1"/>
  <c r="G66" i="1"/>
  <c r="J66" i="1"/>
  <c r="N66" i="1"/>
  <c r="O66" i="1"/>
  <c r="P66" i="1"/>
  <c r="S66" i="1"/>
  <c r="C65" i="1"/>
  <c r="G65" i="1"/>
  <c r="H65" i="1"/>
  <c r="J65" i="1"/>
  <c r="N65" i="1"/>
  <c r="O65" i="1"/>
  <c r="P65" i="1"/>
  <c r="S65" i="1"/>
  <c r="C64" i="1"/>
  <c r="G64" i="1"/>
  <c r="H64" i="1"/>
  <c r="J64" i="1"/>
  <c r="N64" i="1"/>
  <c r="O64" i="1"/>
  <c r="P64" i="1"/>
  <c r="S64" i="1"/>
  <c r="C63" i="1"/>
  <c r="G63" i="1"/>
  <c r="H63" i="1"/>
  <c r="J63" i="1"/>
  <c r="N63" i="1"/>
  <c r="O63" i="1"/>
  <c r="P63" i="1"/>
  <c r="S63" i="1"/>
  <c r="C62" i="1"/>
  <c r="G62" i="1"/>
  <c r="J62" i="1"/>
  <c r="N62" i="1"/>
  <c r="O62" i="1"/>
  <c r="P62" i="1"/>
  <c r="S62" i="1"/>
  <c r="C61" i="1"/>
  <c r="G61" i="1"/>
  <c r="J61" i="1"/>
  <c r="N61" i="1"/>
  <c r="O61" i="1"/>
  <c r="P61" i="1"/>
  <c r="S61" i="1"/>
  <c r="C60" i="1"/>
  <c r="G60" i="1"/>
  <c r="J60" i="1"/>
  <c r="N60" i="1"/>
  <c r="O60" i="1"/>
  <c r="P60" i="1"/>
  <c r="S60" i="1"/>
  <c r="C59" i="1"/>
  <c r="G59" i="1"/>
  <c r="J59" i="1"/>
  <c r="N59" i="1"/>
  <c r="O59" i="1"/>
  <c r="P59" i="1"/>
  <c r="S59" i="1"/>
  <c r="C58" i="1"/>
  <c r="G58" i="1"/>
  <c r="J58" i="1"/>
  <c r="N58" i="1"/>
  <c r="O58" i="1"/>
  <c r="P58" i="1"/>
  <c r="S58" i="1"/>
  <c r="C57" i="1"/>
  <c r="G57" i="1"/>
  <c r="J57" i="1"/>
  <c r="N57" i="1"/>
  <c r="O57" i="1"/>
  <c r="P57" i="1"/>
  <c r="S57" i="1"/>
  <c r="C56" i="1"/>
  <c r="G56" i="1"/>
  <c r="J56" i="1"/>
  <c r="N56" i="1"/>
  <c r="O56" i="1"/>
  <c r="P56" i="1"/>
  <c r="S56" i="1"/>
  <c r="C55" i="1"/>
  <c r="G55" i="1"/>
  <c r="H55" i="1"/>
  <c r="J55" i="1"/>
  <c r="N55" i="1"/>
  <c r="O55" i="1"/>
  <c r="P55" i="1"/>
  <c r="S55" i="1"/>
  <c r="C54" i="1"/>
  <c r="G54" i="1"/>
  <c r="H54" i="1"/>
  <c r="J54" i="1"/>
  <c r="N54" i="1"/>
  <c r="O54" i="1"/>
  <c r="P54" i="1"/>
  <c r="S54" i="1"/>
  <c r="C53" i="1"/>
  <c r="G53" i="1"/>
  <c r="J53" i="1"/>
  <c r="N53" i="1"/>
  <c r="O53" i="1"/>
  <c r="P53" i="1"/>
  <c r="S53" i="1"/>
  <c r="C52" i="1"/>
  <c r="G52" i="1"/>
  <c r="H52" i="1"/>
  <c r="J52" i="1"/>
  <c r="N52" i="1"/>
  <c r="O52" i="1"/>
  <c r="P52" i="1"/>
  <c r="S52" i="1"/>
  <c r="C51" i="1"/>
  <c r="G51" i="1"/>
  <c r="H51" i="1"/>
  <c r="J51" i="1"/>
  <c r="N51" i="1"/>
  <c r="O51" i="1"/>
  <c r="P51" i="1"/>
  <c r="S51" i="1"/>
  <c r="C50" i="1"/>
  <c r="G50" i="1"/>
  <c r="H50" i="1"/>
  <c r="J50" i="1"/>
  <c r="N50" i="1"/>
  <c r="O50" i="1"/>
  <c r="P50" i="1"/>
  <c r="S50" i="1"/>
  <c r="C49" i="1"/>
  <c r="G49" i="1"/>
  <c r="H49" i="1"/>
  <c r="J49" i="1"/>
  <c r="N49" i="1"/>
  <c r="O49" i="1"/>
  <c r="P49" i="1"/>
  <c r="S49" i="1"/>
  <c r="C48" i="1"/>
  <c r="G48" i="1"/>
  <c r="J48" i="1"/>
  <c r="N48" i="1"/>
  <c r="O48" i="1"/>
  <c r="P48" i="1"/>
  <c r="S48" i="1"/>
  <c r="C47" i="1"/>
  <c r="G47" i="1"/>
  <c r="J47" i="1"/>
  <c r="N47" i="1"/>
  <c r="O47" i="1"/>
  <c r="P47" i="1"/>
  <c r="S47" i="1"/>
  <c r="C46" i="1"/>
  <c r="G46" i="1"/>
  <c r="H46" i="1"/>
  <c r="J46" i="1"/>
  <c r="N46" i="1"/>
  <c r="O46" i="1"/>
  <c r="P46" i="1"/>
  <c r="S46" i="1"/>
  <c r="C45" i="1"/>
  <c r="G45" i="1"/>
  <c r="J45" i="1"/>
  <c r="N45" i="1"/>
  <c r="O45" i="1"/>
  <c r="P45" i="1"/>
  <c r="S45" i="1"/>
  <c r="C44" i="1"/>
  <c r="G44" i="1"/>
  <c r="J44" i="1"/>
  <c r="N44" i="1"/>
  <c r="O44" i="1"/>
  <c r="P44" i="1"/>
  <c r="S44" i="1"/>
  <c r="C43" i="1"/>
  <c r="G43" i="1"/>
  <c r="J43" i="1"/>
  <c r="N43" i="1"/>
  <c r="O43" i="1"/>
  <c r="P43" i="1"/>
  <c r="S43" i="1"/>
  <c r="C42" i="1"/>
  <c r="G42" i="1"/>
  <c r="J42" i="1"/>
  <c r="N42" i="1"/>
  <c r="O42" i="1"/>
  <c r="P42" i="1"/>
  <c r="S42" i="1"/>
  <c r="C41" i="1"/>
  <c r="G41" i="1"/>
  <c r="J41" i="1"/>
  <c r="N41" i="1"/>
  <c r="O41" i="1"/>
  <c r="P41" i="1"/>
  <c r="S41" i="1"/>
  <c r="C40" i="1"/>
  <c r="G40" i="1"/>
  <c r="H40" i="1"/>
  <c r="J40" i="1"/>
  <c r="N40" i="1"/>
  <c r="O40" i="1"/>
  <c r="P40" i="1"/>
  <c r="S40" i="1"/>
  <c r="C39" i="1"/>
  <c r="G39" i="1"/>
  <c r="H39" i="1"/>
  <c r="J39" i="1"/>
  <c r="N39" i="1"/>
  <c r="O39" i="1"/>
  <c r="P39" i="1"/>
  <c r="S39" i="1"/>
  <c r="C38" i="1"/>
  <c r="G38" i="1"/>
  <c r="J38" i="1"/>
  <c r="N38" i="1"/>
  <c r="O38" i="1"/>
  <c r="P38" i="1"/>
  <c r="S38" i="1"/>
  <c r="C37" i="1"/>
  <c r="G37" i="1"/>
  <c r="J37" i="1"/>
  <c r="N37" i="1"/>
  <c r="O37" i="1"/>
  <c r="P37" i="1"/>
  <c r="S37" i="1"/>
  <c r="C36" i="1"/>
  <c r="G36" i="1"/>
  <c r="H36" i="1"/>
  <c r="J36" i="1"/>
  <c r="N36" i="1"/>
  <c r="O36" i="1"/>
  <c r="P36" i="1"/>
  <c r="S36" i="1"/>
  <c r="C35" i="1"/>
  <c r="G35" i="1"/>
  <c r="H35" i="1"/>
  <c r="J35" i="1"/>
  <c r="N35" i="1"/>
  <c r="O35" i="1"/>
  <c r="P35" i="1"/>
  <c r="S35" i="1"/>
  <c r="C34" i="1"/>
  <c r="G34" i="1"/>
  <c r="H34" i="1"/>
  <c r="J34" i="1"/>
  <c r="N34" i="1"/>
  <c r="O34" i="1"/>
  <c r="P34" i="1"/>
  <c r="S34" i="1"/>
  <c r="C33" i="1"/>
  <c r="G33" i="1"/>
  <c r="J33" i="1"/>
  <c r="N33" i="1"/>
  <c r="O33" i="1"/>
  <c r="P33" i="1"/>
  <c r="S33" i="1"/>
  <c r="C32" i="1"/>
  <c r="G32" i="1"/>
  <c r="H32" i="1"/>
  <c r="J32" i="1"/>
  <c r="N32" i="1"/>
  <c r="O32" i="1"/>
  <c r="P32" i="1"/>
  <c r="S32" i="1"/>
  <c r="C31" i="1"/>
  <c r="G31" i="1"/>
  <c r="J31" i="1"/>
  <c r="N31" i="1"/>
  <c r="O31" i="1"/>
  <c r="P31" i="1"/>
  <c r="S31" i="1"/>
  <c r="C30" i="1"/>
  <c r="G30" i="1"/>
  <c r="J30" i="1"/>
  <c r="N30" i="1"/>
  <c r="O30" i="1"/>
  <c r="P30" i="1"/>
  <c r="S30" i="1"/>
  <c r="C29" i="1"/>
  <c r="G29" i="1"/>
  <c r="J29" i="1"/>
  <c r="N29" i="1"/>
  <c r="O29" i="1"/>
  <c r="P29" i="1"/>
  <c r="S29" i="1"/>
  <c r="C28" i="1"/>
  <c r="G28" i="1"/>
  <c r="J28" i="1"/>
  <c r="N28" i="1"/>
  <c r="O28" i="1"/>
  <c r="P28" i="1"/>
  <c r="S28" i="1"/>
  <c r="C27" i="1"/>
  <c r="G27" i="1"/>
  <c r="H27" i="1"/>
  <c r="J27" i="1"/>
  <c r="N27" i="1"/>
  <c r="O27" i="1"/>
  <c r="P27" i="1"/>
  <c r="S27" i="1"/>
  <c r="C26" i="1"/>
  <c r="G26" i="1"/>
  <c r="J26" i="1"/>
  <c r="N26" i="1"/>
  <c r="O26" i="1"/>
  <c r="P26" i="1"/>
  <c r="S26" i="1"/>
  <c r="C25" i="1"/>
  <c r="G25" i="1"/>
  <c r="H25" i="1"/>
  <c r="J25" i="1"/>
  <c r="N25" i="1"/>
  <c r="O25" i="1"/>
  <c r="P25" i="1"/>
  <c r="S25" i="1"/>
  <c r="C24" i="1"/>
  <c r="G24" i="1"/>
  <c r="H24" i="1"/>
  <c r="J24" i="1"/>
  <c r="N24" i="1"/>
  <c r="O24" i="1"/>
  <c r="P24" i="1"/>
  <c r="S24" i="1"/>
  <c r="C23" i="1"/>
  <c r="G23" i="1"/>
  <c r="H23" i="1"/>
  <c r="J23" i="1"/>
  <c r="N23" i="1"/>
  <c r="O23" i="1"/>
  <c r="P23" i="1"/>
  <c r="S23" i="1"/>
  <c r="C22" i="1"/>
  <c r="G22" i="1"/>
  <c r="H22" i="1"/>
  <c r="J22" i="1"/>
  <c r="N22" i="1"/>
  <c r="O22" i="1"/>
  <c r="P22" i="1"/>
  <c r="S22" i="1"/>
  <c r="C21" i="1"/>
  <c r="G21" i="1"/>
  <c r="H21" i="1"/>
  <c r="J21" i="1"/>
  <c r="N21" i="1"/>
  <c r="O21" i="1"/>
  <c r="P21" i="1"/>
  <c r="S21" i="1"/>
  <c r="C20" i="1"/>
  <c r="G20" i="1"/>
  <c r="H20" i="1"/>
  <c r="J20" i="1"/>
  <c r="N20" i="1"/>
  <c r="O20" i="1"/>
  <c r="P20" i="1"/>
  <c r="S20" i="1"/>
  <c r="C19" i="1"/>
  <c r="G19" i="1"/>
  <c r="H19" i="1"/>
  <c r="J19" i="1"/>
  <c r="N19" i="1"/>
  <c r="O19" i="1"/>
  <c r="P19" i="1"/>
  <c r="S19" i="1"/>
  <c r="C18" i="1"/>
  <c r="G18" i="1"/>
  <c r="J18" i="1"/>
  <c r="N18" i="1"/>
  <c r="O18" i="1"/>
  <c r="P18" i="1"/>
  <c r="S18" i="1"/>
  <c r="C17" i="1"/>
  <c r="G17" i="1"/>
  <c r="J17" i="1"/>
  <c r="N17" i="1"/>
  <c r="O17" i="1"/>
  <c r="P17" i="1"/>
  <c r="S17" i="1"/>
  <c r="C16" i="1"/>
  <c r="G16" i="1"/>
  <c r="J16" i="1"/>
  <c r="N16" i="1"/>
  <c r="O16" i="1"/>
  <c r="P16" i="1"/>
  <c r="S16" i="1"/>
  <c r="C15" i="1"/>
  <c r="G15" i="1"/>
  <c r="J15" i="1"/>
  <c r="N15" i="1"/>
  <c r="O15" i="1"/>
  <c r="P15" i="1"/>
  <c r="S15" i="1"/>
  <c r="C14" i="1"/>
  <c r="G14" i="1"/>
  <c r="H14" i="1"/>
  <c r="J14" i="1"/>
  <c r="N14" i="1"/>
  <c r="O14" i="1"/>
  <c r="P14" i="1"/>
  <c r="S14" i="1"/>
  <c r="C13" i="1"/>
  <c r="G13" i="1"/>
  <c r="J13" i="1"/>
  <c r="N13" i="1"/>
  <c r="O13" i="1"/>
  <c r="P13" i="1"/>
  <c r="S13" i="1"/>
  <c r="C12" i="1"/>
  <c r="G12" i="1"/>
  <c r="J12" i="1"/>
  <c r="N12" i="1"/>
  <c r="O12" i="1"/>
  <c r="P12" i="1"/>
  <c r="S12" i="1"/>
  <c r="C11" i="1"/>
  <c r="G11" i="1"/>
  <c r="H11" i="1"/>
  <c r="J11" i="1"/>
  <c r="N11" i="1"/>
  <c r="O11" i="1"/>
  <c r="P11" i="1"/>
  <c r="S11" i="1"/>
  <c r="C10" i="1"/>
  <c r="G10" i="1"/>
  <c r="H10" i="1"/>
  <c r="J10" i="1"/>
  <c r="N10" i="1"/>
  <c r="O10" i="1"/>
  <c r="P10" i="1"/>
  <c r="S10" i="1"/>
  <c r="C9" i="1"/>
  <c r="G9" i="1"/>
  <c r="J9" i="1"/>
  <c r="N9" i="1"/>
  <c r="O9" i="1"/>
  <c r="P9" i="1"/>
  <c r="S9" i="1"/>
  <c r="C8" i="1"/>
  <c r="G8" i="1"/>
  <c r="J8" i="1"/>
  <c r="N8" i="1"/>
  <c r="O8" i="1"/>
  <c r="P8" i="1"/>
  <c r="S8" i="1"/>
  <c r="C7" i="1"/>
  <c r="G7" i="1"/>
  <c r="H7" i="1"/>
  <c r="J7" i="1"/>
  <c r="N7" i="1"/>
  <c r="O7" i="1"/>
  <c r="P7" i="1"/>
  <c r="S7" i="1"/>
  <c r="C6" i="1"/>
  <c r="G6" i="1"/>
  <c r="J6" i="1"/>
  <c r="N6" i="1"/>
  <c r="O6" i="1"/>
  <c r="P6" i="1"/>
  <c r="S6" i="1"/>
  <c r="C5" i="1"/>
  <c r="G5" i="1"/>
  <c r="J5" i="1"/>
  <c r="N5" i="1"/>
  <c r="O5" i="1"/>
  <c r="P5" i="1"/>
  <c r="S5" i="1"/>
  <c r="C4" i="1"/>
  <c r="G4" i="1"/>
  <c r="J4" i="1"/>
  <c r="N4" i="1"/>
  <c r="O4" i="1"/>
  <c r="P4" i="1"/>
  <c r="S4" i="1"/>
  <c r="S2" i="1"/>
  <c r="S3" i="1"/>
  <c r="P2" i="1"/>
  <c r="P3" i="1"/>
  <c r="O2" i="1"/>
  <c r="O3" i="1"/>
  <c r="J2" i="1"/>
  <c r="J3" i="1"/>
  <c r="C3" i="1"/>
  <c r="G3" i="1"/>
  <c r="N3" i="1"/>
  <c r="N2" i="1"/>
  <c r="G2" i="1"/>
  <c r="C2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H86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H91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1027" i="1"/>
  <c r="R1027" i="1"/>
  <c r="Q1028" i="1"/>
  <c r="R1028" i="1"/>
  <c r="Q1029" i="1"/>
  <c r="R1029" i="1"/>
  <c r="Q1030" i="1"/>
  <c r="R1030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H82" i="1"/>
  <c r="Q1333" i="1"/>
  <c r="R1333" i="1"/>
  <c r="R1332" i="1"/>
  <c r="Q1335" i="1"/>
  <c r="Q1334" i="1"/>
  <c r="Q1330" i="1"/>
  <c r="Q1331" i="1"/>
  <c r="R1329" i="1"/>
  <c r="R1330" i="1"/>
  <c r="Q1336" i="1"/>
  <c r="H30" i="1"/>
  <c r="Q1337" i="1"/>
  <c r="R1337" i="1"/>
  <c r="R1334" i="1"/>
  <c r="R1335" i="1"/>
  <c r="Q1338" i="1"/>
  <c r="R1338" i="1"/>
  <c r="R1336" i="1"/>
  <c r="H77" i="1"/>
  <c r="H26" i="1"/>
  <c r="Q89" i="1"/>
  <c r="Q76" i="1"/>
  <c r="Q83" i="1"/>
  <c r="H90" i="1"/>
  <c r="H89" i="1"/>
  <c r="Q90" i="1"/>
  <c r="R90" i="1"/>
  <c r="R89" i="1"/>
  <c r="Q88" i="1"/>
  <c r="R88" i="1"/>
  <c r="Q87" i="1"/>
  <c r="R87" i="1"/>
  <c r="Q86" i="1"/>
  <c r="R86" i="1"/>
  <c r="Q85" i="1"/>
  <c r="R85" i="1"/>
  <c r="Q82" i="1"/>
  <c r="H84" i="1"/>
  <c r="H81" i="1"/>
  <c r="Q84" i="1"/>
  <c r="R84" i="1"/>
  <c r="Q81" i="1"/>
  <c r="R81" i="1"/>
  <c r="Q80" i="1"/>
  <c r="Q78" i="1"/>
  <c r="H80" i="1"/>
  <c r="H79" i="1"/>
  <c r="R80" i="1"/>
  <c r="Q79" i="1"/>
  <c r="R79" i="1"/>
  <c r="H76" i="1"/>
  <c r="Q77" i="1"/>
  <c r="R77" i="1"/>
  <c r="Q72" i="1"/>
  <c r="Q75" i="1"/>
  <c r="H74" i="1"/>
  <c r="H75" i="1"/>
  <c r="H73" i="1"/>
  <c r="Q67" i="1"/>
  <c r="Q48" i="1"/>
  <c r="Q74" i="1"/>
  <c r="R74" i="1"/>
  <c r="Q73" i="1"/>
  <c r="R73" i="1"/>
  <c r="Q71" i="1"/>
  <c r="R71" i="1"/>
  <c r="H70" i="1"/>
  <c r="H69" i="1"/>
  <c r="Q70" i="1"/>
  <c r="R70" i="1"/>
  <c r="Q69" i="1"/>
  <c r="R69" i="1"/>
  <c r="Q68" i="1"/>
  <c r="H66" i="1"/>
  <c r="R67" i="1"/>
  <c r="Q66" i="1"/>
  <c r="R66" i="1"/>
  <c r="Q64" i="1"/>
  <c r="Q63" i="1"/>
  <c r="Q62" i="1"/>
  <c r="H62" i="1"/>
  <c r="Q65" i="1"/>
  <c r="R65" i="1"/>
  <c r="R64" i="1"/>
  <c r="R63" i="1"/>
  <c r="R62" i="1"/>
  <c r="Q61" i="1"/>
  <c r="H59" i="1"/>
  <c r="H61" i="1"/>
  <c r="H60" i="1"/>
  <c r="Q60" i="1"/>
  <c r="R60" i="1"/>
  <c r="Q59" i="1"/>
  <c r="R59" i="1"/>
  <c r="H57" i="1"/>
  <c r="H58" i="1"/>
  <c r="Q58" i="1"/>
  <c r="R58" i="1"/>
  <c r="Q57" i="1"/>
  <c r="R57" i="1"/>
  <c r="Q56" i="1"/>
  <c r="H56" i="1"/>
  <c r="Q51" i="1"/>
  <c r="H53" i="1"/>
  <c r="Q55" i="1"/>
  <c r="R55" i="1"/>
  <c r="Q54" i="1"/>
  <c r="R54" i="1"/>
  <c r="Q53" i="1"/>
  <c r="R53" i="1"/>
  <c r="Q52" i="1"/>
  <c r="R52" i="1"/>
  <c r="R51" i="1"/>
  <c r="Q50" i="1"/>
  <c r="H48" i="1"/>
  <c r="Q49" i="1"/>
  <c r="R49" i="1"/>
  <c r="R48" i="1"/>
  <c r="Q47" i="1"/>
  <c r="H47" i="1"/>
  <c r="Q45" i="1"/>
  <c r="H45" i="1"/>
  <c r="Q46" i="1"/>
  <c r="R46" i="1"/>
  <c r="H44" i="1"/>
  <c r="Q44" i="1"/>
  <c r="R44" i="1"/>
  <c r="Q41" i="1"/>
  <c r="Q43" i="1"/>
  <c r="H42" i="1"/>
  <c r="H41" i="1"/>
  <c r="H43" i="1"/>
  <c r="Q42" i="1"/>
  <c r="R42" i="1"/>
  <c r="Q39" i="1"/>
  <c r="Q40" i="1"/>
  <c r="Q38" i="1"/>
  <c r="H37" i="1"/>
  <c r="H38" i="1"/>
  <c r="Q37" i="1"/>
  <c r="R37" i="1"/>
  <c r="Q36" i="1"/>
  <c r="Q35" i="1"/>
  <c r="Q34" i="1"/>
  <c r="R34" i="1"/>
  <c r="H33" i="1"/>
  <c r="Q33" i="1"/>
  <c r="H31" i="1"/>
  <c r="Q32" i="1"/>
  <c r="R32" i="1"/>
  <c r="Q31" i="1"/>
  <c r="R31" i="1"/>
  <c r="Q30" i="1"/>
  <c r="R30" i="1"/>
  <c r="H29" i="1"/>
  <c r="Q29" i="1"/>
  <c r="R29" i="1"/>
  <c r="Q28" i="1"/>
  <c r="Q26" i="1"/>
  <c r="H28" i="1"/>
  <c r="Q27" i="1"/>
  <c r="R27" i="1"/>
  <c r="Q25" i="1"/>
  <c r="Q24" i="1"/>
  <c r="Q23" i="1"/>
  <c r="Q22" i="1"/>
  <c r="R22" i="1"/>
  <c r="Q21" i="1"/>
  <c r="R21" i="1"/>
  <c r="Q19" i="1"/>
  <c r="Q20" i="1"/>
  <c r="Q18" i="1"/>
  <c r="H18" i="1"/>
  <c r="Q15" i="1"/>
  <c r="Q14" i="1"/>
  <c r="H16" i="1"/>
  <c r="H17" i="1"/>
  <c r="H15" i="1"/>
  <c r="Q17" i="1"/>
  <c r="R17" i="1"/>
  <c r="Q16" i="1"/>
  <c r="R16" i="1"/>
  <c r="Q13" i="1"/>
  <c r="Q12" i="1"/>
  <c r="H12" i="1"/>
  <c r="H13" i="1"/>
  <c r="Q11" i="1"/>
  <c r="R11" i="1"/>
  <c r="Q8" i="1"/>
  <c r="Q10" i="1"/>
  <c r="Q9" i="1"/>
  <c r="H9" i="1"/>
  <c r="H8" i="1"/>
  <c r="Q6" i="1"/>
  <c r="H6" i="1"/>
  <c r="Q7" i="1"/>
  <c r="R7" i="1"/>
  <c r="Q5" i="1"/>
  <c r="H5" i="1"/>
  <c r="Q4" i="1"/>
  <c r="H4" i="1"/>
  <c r="H2" i="1"/>
  <c r="H3" i="1"/>
  <c r="Q2" i="1"/>
  <c r="Q3" i="1"/>
  <c r="R3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3" i="1"/>
  <c r="R76" i="1"/>
  <c r="R61" i="1"/>
  <c r="R1331" i="1"/>
  <c r="R82" i="1"/>
  <c r="R68" i="1"/>
  <c r="R78" i="1"/>
  <c r="R72" i="1"/>
  <c r="R75" i="1"/>
  <c r="R56" i="1"/>
  <c r="R50" i="1"/>
  <c r="R47" i="1"/>
  <c r="R26" i="1"/>
  <c r="R25" i="1"/>
  <c r="R15" i="1"/>
  <c r="R24" i="1"/>
  <c r="R28" i="1"/>
  <c r="R19" i="1"/>
  <c r="R38" i="1"/>
  <c r="R35" i="1"/>
  <c r="R20" i="1"/>
  <c r="R40" i="1"/>
  <c r="R12" i="1"/>
  <c r="R5" i="1"/>
  <c r="R39" i="1"/>
  <c r="R18" i="1"/>
  <c r="R4" i="1"/>
  <c r="R36" i="1"/>
  <c r="R14" i="1"/>
  <c r="R13" i="1"/>
  <c r="R45" i="1"/>
  <c r="R43" i="1"/>
  <c r="R41" i="1"/>
  <c r="R23" i="1"/>
  <c r="R33" i="1"/>
  <c r="R10" i="1"/>
  <c r="R8" i="1"/>
  <c r="R9" i="1"/>
  <c r="R6" i="1"/>
  <c r="R2" i="1"/>
</calcChain>
</file>

<file path=xl/sharedStrings.xml><?xml version="1.0" encoding="utf-8"?>
<sst xmlns="http://schemas.openxmlformats.org/spreadsheetml/2006/main" count="676" uniqueCount="241">
  <si>
    <t>Date</t>
  </si>
  <si>
    <t>Gh.</t>
  </si>
  <si>
    <t>Vulve</t>
  </si>
  <si>
    <t>First Line</t>
  </si>
  <si>
    <t>End line</t>
  </si>
  <si>
    <t>Pesticide Name</t>
  </si>
  <si>
    <t xml:space="preserve">Active ingrediant </t>
  </si>
  <si>
    <t>No. Of Lines</t>
  </si>
  <si>
    <t>Dose/100L(cc Or g)</t>
  </si>
  <si>
    <t xml:space="preserve">Total Qty (kg OrL) </t>
  </si>
  <si>
    <t>Unit</t>
  </si>
  <si>
    <t>PHI</t>
  </si>
  <si>
    <t>Method</t>
  </si>
  <si>
    <t>Allawed Harvest date</t>
  </si>
  <si>
    <t>Sector</t>
  </si>
  <si>
    <t>GH.</t>
  </si>
  <si>
    <t>Mystic 20% WP</t>
  </si>
  <si>
    <t>Prev-AM</t>
  </si>
  <si>
    <t>Vegetable Oil</t>
  </si>
  <si>
    <t>Pestside Name</t>
  </si>
  <si>
    <t>Active Ingridiant</t>
  </si>
  <si>
    <t>Egysect 5%EC</t>
  </si>
  <si>
    <t>Lambda-Cyhalothrin</t>
  </si>
  <si>
    <t>Roxy 10% EC</t>
  </si>
  <si>
    <t>Biomectin 5% EC</t>
  </si>
  <si>
    <t>Thrips</t>
  </si>
  <si>
    <t>Pleo 50% EC</t>
  </si>
  <si>
    <t>Exirel 10% SE</t>
  </si>
  <si>
    <t>Hydrogen peroxide</t>
  </si>
  <si>
    <t>Hydrogen peroxide (H2O2)</t>
  </si>
  <si>
    <t>Ran Way 25% SC</t>
  </si>
  <si>
    <t>Buprofezin</t>
  </si>
  <si>
    <t>Speedo 5.7% WG</t>
  </si>
  <si>
    <t>Provy 10%EC</t>
  </si>
  <si>
    <t>Pyriproxyfen</t>
  </si>
  <si>
    <t>Aphids</t>
  </si>
  <si>
    <t>Bellis 38% WG</t>
  </si>
  <si>
    <t>Protecto 9.4 % WP</t>
  </si>
  <si>
    <t>Bacillus thuringiensis kurstaki</t>
  </si>
  <si>
    <t>Serenade 1.34% SC</t>
  </si>
  <si>
    <t xml:space="preserve">Bacillus Subtilis </t>
  </si>
  <si>
    <t xml:space="preserve">G-Oil </t>
  </si>
  <si>
    <t>Biossiana 2.5%</t>
  </si>
  <si>
    <t xml:space="preserve">Beauveria bassiana </t>
  </si>
  <si>
    <t>Safe Oil</t>
  </si>
  <si>
    <t>Azadirachtin</t>
  </si>
  <si>
    <t>Oikos</t>
  </si>
  <si>
    <t>Delta Star 10% EC</t>
  </si>
  <si>
    <t>A</t>
  </si>
  <si>
    <t>Water Vol.(L)</t>
  </si>
  <si>
    <t>B</t>
  </si>
  <si>
    <t>Status</t>
  </si>
  <si>
    <t>Spray</t>
  </si>
  <si>
    <t>L</t>
  </si>
  <si>
    <t>Deltamethrin</t>
  </si>
  <si>
    <t>Equo 10% EC</t>
  </si>
  <si>
    <t>Castello 10% EC</t>
  </si>
  <si>
    <t>Applaud 25%SC</t>
  </si>
  <si>
    <t>Sivanto Prime 20% SL</t>
  </si>
  <si>
    <t>Velum Prime 40% SC</t>
  </si>
  <si>
    <t>Benevia 10% OD</t>
  </si>
  <si>
    <t>Cantus 50% WG</t>
  </si>
  <si>
    <t>Azoxam 44.7% SC</t>
  </si>
  <si>
    <t>Mosiplan 20% SP</t>
  </si>
  <si>
    <t>King Chem 5.7% WG</t>
  </si>
  <si>
    <t>Trolls 25% EW</t>
  </si>
  <si>
    <t>Tomaga 10.1%  EC</t>
  </si>
  <si>
    <t>Magnifico 5% EC</t>
  </si>
  <si>
    <t>Nativo 75% WG</t>
  </si>
  <si>
    <t>Morduretic 20%  EC</t>
  </si>
  <si>
    <t>Moonsensation 50%  SC</t>
  </si>
  <si>
    <t>Pyriproxyfen [10%]</t>
  </si>
  <si>
    <t>Etoxazole [10%]</t>
  </si>
  <si>
    <t>Novaluron [10%]</t>
  </si>
  <si>
    <t>Lufenuron [10%]</t>
  </si>
  <si>
    <t>Pymetrozine [50%]</t>
  </si>
  <si>
    <t>Flonicamid (p) [50%]</t>
  </si>
  <si>
    <t>Imidacloprid [35%]</t>
  </si>
  <si>
    <t>Flupyradifurone [20%]</t>
  </si>
  <si>
    <t>Lambda-Cyhalothrin [2.5%]</t>
  </si>
  <si>
    <t>Copper hydroxide [53.8%]</t>
  </si>
  <si>
    <t>Penconazole [10%]</t>
  </si>
  <si>
    <t>Spirotetramat (p) [10%]</t>
  </si>
  <si>
    <t>Milbemectin A3 [1%]</t>
  </si>
  <si>
    <t>Trifloxystrobin [50%]</t>
  </si>
  <si>
    <t>Trichoderma asperellum (strain T34) [12%]</t>
  </si>
  <si>
    <t>Spinosad (p) [24%]</t>
  </si>
  <si>
    <t>Pyrimethanil [20%]</t>
  </si>
  <si>
    <t>Myclobutanil [12.5%]</t>
  </si>
  <si>
    <t>Methoxyfenozide [24%]</t>
  </si>
  <si>
    <t>Indoxacarb (p) [15%]</t>
  </si>
  <si>
    <t>Hexythiazox [5%]</t>
  </si>
  <si>
    <t>Fosetyl-aluminium [80%]</t>
  </si>
  <si>
    <t>Fluopyram [40%]</t>
  </si>
  <si>
    <t>Fenpyroximate [5%]</t>
  </si>
  <si>
    <t>Fenpyrazamine [50%]</t>
  </si>
  <si>
    <t>Fenhexamid [50%]</t>
  </si>
  <si>
    <t>Difenoconazole [25%]</t>
  </si>
  <si>
    <t>Cyantraniliprole [10%]</t>
  </si>
  <si>
    <t>Chlorantraniliprole [20%]</t>
  </si>
  <si>
    <t>Captan [80%]</t>
  </si>
  <si>
    <t>Captan [50%]</t>
  </si>
  <si>
    <t>Bifenazate [24%]</t>
  </si>
  <si>
    <t>Bacillus thurigiensis [6.4%]</t>
  </si>
  <si>
    <t>Acetamiprid [20%]</t>
  </si>
  <si>
    <t>Tebuconazole 25%</t>
  </si>
  <si>
    <t>MRL EU</t>
  </si>
  <si>
    <t>MRL GB</t>
  </si>
  <si>
    <t/>
  </si>
  <si>
    <t>7.0000</t>
  </si>
  <si>
    <t>0.0020;0.0100</t>
  </si>
  <si>
    <t>0.0100;0.8000</t>
  </si>
  <si>
    <t>0.8000</t>
  </si>
  <si>
    <t>1.5000</t>
  </si>
  <si>
    <t>4.0000</t>
  </si>
  <si>
    <t>0.0100;5.0000</t>
  </si>
  <si>
    <t>0.0300;1.5000</t>
  </si>
  <si>
    <t>1.5000;0.9000</t>
  </si>
  <si>
    <t>7.0000;1.5000</t>
  </si>
  <si>
    <t>NA</t>
  </si>
  <si>
    <t>4.0000;0.4000</t>
  </si>
  <si>
    <t>7.0000;8.0000</t>
  </si>
  <si>
    <t>4.0000;15.0000</t>
  </si>
  <si>
    <t>0.0100;4.0000</t>
  </si>
  <si>
    <t>8.0000;4.0000</t>
  </si>
  <si>
    <t>10.0000;5.0000</t>
  </si>
  <si>
    <t>20.0000</t>
  </si>
  <si>
    <t>5.0000;0.0100</t>
  </si>
  <si>
    <t>4.0000;5.0000</t>
  </si>
  <si>
    <t>Grendo 10% EC</t>
  </si>
  <si>
    <t>Red Spider Mites</t>
  </si>
  <si>
    <t>RSM</t>
  </si>
  <si>
    <t>Cotton Leaf Worms and Thrips</t>
  </si>
  <si>
    <t>caterpillars</t>
  </si>
  <si>
    <t>Leaf Hoppers</t>
  </si>
  <si>
    <t>Thrips and Aphids</t>
  </si>
  <si>
    <t>White Fly</t>
  </si>
  <si>
    <t>Aphids, blueberry maggots</t>
  </si>
  <si>
    <t>Powdery Mildew and Fruit rots</t>
  </si>
  <si>
    <t>after Transplant</t>
  </si>
  <si>
    <t>Powdery Mildew</t>
  </si>
  <si>
    <t>Leaf spots</t>
  </si>
  <si>
    <t>Fruit rots</t>
  </si>
  <si>
    <t>Root Rots</t>
  </si>
  <si>
    <t>Nematodes</t>
  </si>
  <si>
    <t>Powdery Mildew and Leaf Spots</t>
  </si>
  <si>
    <t>Brotrytis</t>
  </si>
  <si>
    <t>RSM -Insecticide</t>
  </si>
  <si>
    <t>Mealy Bugas</t>
  </si>
  <si>
    <t>Baroque10% SC</t>
  </si>
  <si>
    <t>Emamectin Benzoate [5.7%]</t>
  </si>
  <si>
    <t>Penny 9% SC</t>
  </si>
  <si>
    <t>Emamectin Benzoate [1.5%]&amp;Indoxacarb [7.5%]</t>
  </si>
  <si>
    <t>Prituo 50% WG</t>
  </si>
  <si>
    <t>Chess 50% WG</t>
  </si>
  <si>
    <t>Chinook 35% SC</t>
  </si>
  <si>
    <t>Buprofezin [25%]</t>
  </si>
  <si>
    <t>Karate 2.5% EC</t>
  </si>
  <si>
    <t>Blue Jet 85% WG</t>
  </si>
  <si>
    <t>Copper Oxychloride [85%]</t>
  </si>
  <si>
    <t>Metalaxyl-M [2.5%]&amp;Copper oxychloride [69%]</t>
  </si>
  <si>
    <t>Ridomil Gold Plus 71.5% WP</t>
  </si>
  <si>
    <t>Kocide (2000) 53.8 % DF</t>
  </si>
  <si>
    <t>Mystic Pro 50% EC</t>
  </si>
  <si>
    <t>Prochloraz (p) [30%]&amp;Tebuconazole [20%]</t>
  </si>
  <si>
    <t>Topas (100) 10% EC</t>
  </si>
  <si>
    <t>Tebuconazole [15%]&amp;Kresoxim-Methyl [15%]</t>
  </si>
  <si>
    <t>Fluopyram [20%]&amp;Tebuconazole [20%]</t>
  </si>
  <si>
    <t>Fabric 30% SC</t>
  </si>
  <si>
    <t>Luna Experience 40% SC</t>
  </si>
  <si>
    <t>Movento 10% SC</t>
  </si>
  <si>
    <t>Milbecknok 1% EC</t>
  </si>
  <si>
    <t>Flint 50% WG</t>
  </si>
  <si>
    <t>Biocontrol T34 12% WP</t>
  </si>
  <si>
    <t>Bio Zeid 2.5% WP</t>
  </si>
  <si>
    <t>Trichoderma Album [2.5%]</t>
  </si>
  <si>
    <t>Tracer 24% SC</t>
  </si>
  <si>
    <t>Uphold 36% SC</t>
  </si>
  <si>
    <t>Methoxyfenozide [30%]&amp;Spinetoram [6%]</t>
  </si>
  <si>
    <t>Radiant 12% SC</t>
  </si>
  <si>
    <t>Spinetoram [12%]</t>
  </si>
  <si>
    <t>Luna Tranquility 50% SC</t>
  </si>
  <si>
    <t>Fluopyram [11.3%]&amp;Pyrimethanil [33.8%]</t>
  </si>
  <si>
    <t>Pyraclostrobin [12.8%]&amp;Boscalid [25.2%]</t>
  </si>
  <si>
    <t>Systhane 12.5% EC</t>
  </si>
  <si>
    <t>Runner 24% SC</t>
  </si>
  <si>
    <t>Maxim Xl 3.5% FS</t>
  </si>
  <si>
    <t>Metalaxyl-M [1%]; Fludioxonil [2.5%]</t>
  </si>
  <si>
    <t>Avaunt 15% EC</t>
  </si>
  <si>
    <t>Procar 5% EC</t>
  </si>
  <si>
    <t>Aliette 80% WP</t>
  </si>
  <si>
    <t>Switch 62.5% WG</t>
  </si>
  <si>
    <t>Cyprodinil [37.5%]&amp; Fludioxonil [25%]</t>
  </si>
  <si>
    <t>Ortus Super 5% EC</t>
  </si>
  <si>
    <t>Ortus 5% SC</t>
  </si>
  <si>
    <t>Prolectus 50% WG</t>
  </si>
  <si>
    <t>Teldor 50% SC</t>
  </si>
  <si>
    <t>Benzafast 2.3% EC</t>
  </si>
  <si>
    <t>Emamectin Benoate (p) [2.3%]</t>
  </si>
  <si>
    <t>Score 25% EC</t>
  </si>
  <si>
    <t>Coragen 20% SC</t>
  </si>
  <si>
    <t>Alpha Captan 80% WG</t>
  </si>
  <si>
    <t>Captan Ultra 50% WP</t>
  </si>
  <si>
    <t>Cortiano 50% WP</t>
  </si>
  <si>
    <t>Boscalid [50%]</t>
  </si>
  <si>
    <t>Baldario 10% EW</t>
  </si>
  <si>
    <t>Bifenthrin [10%]</t>
  </si>
  <si>
    <t>Solo 24% SC</t>
  </si>
  <si>
    <t>Dipel Df 6.4% WG</t>
  </si>
  <si>
    <t>Bio Arc 6% WP</t>
  </si>
  <si>
    <t>Bacillus megaterium var. phosphaticum [6%]</t>
  </si>
  <si>
    <t>Azoxystrobin [32.2%]&amp; Metalaxyl-M [12.5%]</t>
  </si>
  <si>
    <t>Amistar Top 32.5% SC</t>
  </si>
  <si>
    <t>Difenoconazole [12.5%]&amp;Azoxystrobin [20%]</t>
  </si>
  <si>
    <t>Beticol 20% SL</t>
  </si>
  <si>
    <t>Nasr Actin 1.8% EC</t>
  </si>
  <si>
    <t>Abamectin [1.8%]</t>
  </si>
  <si>
    <t>Provy 10% EC</t>
  </si>
  <si>
    <t>Emamectin Benzoate (p) [5.7%]</t>
  </si>
  <si>
    <t>Cut Down 50% WG</t>
  </si>
  <si>
    <t>Lambda-Cyhalothrin [5%]</t>
  </si>
  <si>
    <t>Dolf-X 5% EC</t>
  </si>
  <si>
    <t>Abamectin [5%]</t>
  </si>
  <si>
    <t>Bifenthrin [8.8]&amp;Abamectin [1.3]</t>
  </si>
  <si>
    <t>Pyridalyl [50%]</t>
  </si>
  <si>
    <t>Trifloxystrobin [25%]&amp;Tebuconazole [50%]</t>
  </si>
  <si>
    <t>Emazen 9.1% WG</t>
  </si>
  <si>
    <t>Emamectin Benzoate(p) [9.1%]</t>
  </si>
  <si>
    <t>Morden 20% WP</t>
  </si>
  <si>
    <t>Pyridaben [20%]</t>
  </si>
  <si>
    <t>Binfenthrin [10%]&amp;pyriproxyfen [10%]</t>
  </si>
  <si>
    <t>Trifloxystrobin [25%]&amp;Fluopyram  [25%]</t>
  </si>
  <si>
    <t>Target Pest</t>
  </si>
  <si>
    <t>On-Label</t>
  </si>
  <si>
    <t>A&amp;B</t>
  </si>
  <si>
    <t>Uint</t>
  </si>
  <si>
    <t>PPL Sheet</t>
  </si>
  <si>
    <t>Off-Label</t>
  </si>
  <si>
    <t>Completion%</t>
  </si>
  <si>
    <t>Kg</t>
  </si>
  <si>
    <t>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</si>
</sst>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14" fontId="0" fillId="4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4" borderId="0" xfId="0" applyFill="1"/>
    <xf numFmtId="14" fontId="0" fillId="4" borderId="0" xfId="0" applyNumberFormat="1" applyFill="1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5" borderId="0" xfId="0" applyFill="1"/>
    <xf numFmtId="2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6" borderId="0" xfId="0" applyFill="1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2" fontId="0" fillId="0" borderId="0" xfId="0" applyNumberFormat="1" applyBorder="1"/>
    <xf numFmtId="2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0" xfId="0" applyProtection="1"/>
    <xf numFmtId="0" fontId="0" fillId="0" borderId="0" xfId="0" applyNumberFormat="1" applyProtection="1"/>
    <xf numFmtId="14" fontId="0" fillId="0" borderId="0" xfId="0" applyNumberFormat="1" applyProtection="1"/>
    <xf numFmtId="0" fontId="0" fillId="4" borderId="0" xfId="0" applyFill="1" applyProtection="1"/>
    <xf numFmtId="10" fontId="0" fillId="4" borderId="0" xfId="0" applyNumberFormat="1" applyFill="1"/>
    <xf numFmtId="10" fontId="0" fillId="0" borderId="0" xfId="0" applyNumberFormat="1"/>
    <xf numFmtId="10" fontId="0" fillId="0" borderId="0" xfId="0" applyNumberFormat="1" applyProtection="1"/>
    <xf numFmtId="0" fontId="0" fillId="0" borderId="0" xfId="0" applyFill="1"/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0" formatCode="General"/>
      <protection locked="1" hidden="0"/>
    </dxf>
    <dxf>
      <protection locked="1" hidden="0"/>
    </dxf>
    <dxf>
      <numFmt numFmtId="165" formatCode="m/d/yyyy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protection locked="0" hidden="0"/>
    </dxf>
    <dxf>
      <numFmt numFmtId="14" formatCode="0.00%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numFmt numFmtId="165" formatCode="m/d/yyyy"/>
      <protection locked="0" hidden="0"/>
    </dxf>
    <dxf>
      <protection locked="0" hidden="0"/>
    </dxf>
    <dxf>
      <fill>
        <patternFill patternType="solid">
          <fgColor indexed="64"/>
          <bgColor theme="2" tint="-0.499984740745262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990E4-6415-423D-8726-354031893E61}" name="Table1" displayName="Table1" ref="A1:S1338" totalsRowShown="0" headerRowDxfId="24" dataDxfId="23">
  <autoFilter ref="A1:S1338" xr:uid="{45D990E4-6415-423D-8726-354031893E61}"/>
  <tableColumns count="19">
    <tableColumn id="1" xr3:uid="{87D383E8-A034-4D03-BBBA-2FB5386E1ECA}" name="Date" dataDxfId="22"/>
    <tableColumn id="2" xr3:uid="{5BDE24AD-9608-4FAE-A242-FD97DB8DD4A9}" name="Gh." dataDxfId="21"/>
    <tableColumn id="3" xr3:uid="{4065A6A6-2FE0-4C9E-B4B8-6713AE39CEA6}" name="Sector" dataDxfId="20">
      <calculatedColumnFormula>_xlfn.XLOOKUP(B2,Lists!B:B,Lists!A:A,"")</calculatedColumnFormula>
    </tableColumn>
    <tableColumn id="4" xr3:uid="{4B199905-5BB7-438A-82E7-7429490E8A88}" name="Vulve" dataDxfId="19"/>
    <tableColumn id="5" xr3:uid="{79909EA6-F51F-4AE0-87FF-46E70A7EFF27}" name="First Line" dataDxfId="18"/>
    <tableColumn id="6" xr3:uid="{C21DA74C-082B-4C21-8617-C3EDFE162B89}" name="End line" dataDxfId="17"/>
    <tableColumn id="7" xr3:uid="{BBB4B3A0-F1B9-44E8-863C-33E9AACE57B4}" name="No. Of Lines" dataDxfId="16">
      <calculatedColumnFormula>IF(OR(E2="",F2=""),"",F2-E2+1)</calculatedColumnFormula>
    </tableColumn>
    <tableColumn id="19" xr3:uid="{4FF95BDB-4055-4268-B971-23430BAF925F}" name="Completion%" dataDxfId="15">
      <calculatedColumnFormula>IF(D2="","",IF(OR(D2="A",D2="B"),G2/80,IF(D2="A&amp;B",G2/160,"")))</calculatedColumnFormula>
    </tableColumn>
    <tableColumn id="8" xr3:uid="{0C6B607A-9514-4357-9CC0-AE86FC216323}" name="Pesticide Name" dataDxfId="14"/>
    <tableColumn id="9" xr3:uid="{E7C0C466-C807-4088-80D5-46BE3A22FA41}" name="Active ingrediant " dataDxfId="13">
      <calculatedColumnFormula>IF(I2="","",_xlfn.XLOOKUP(I2,Lists!$C:$C,Lists!$D:$D))</calculatedColumnFormula>
    </tableColumn>
    <tableColumn id="10" xr3:uid="{E1BC3C9C-AF78-4DF3-86AB-1ECF7237ACF0}" name="Method" dataDxfId="12"/>
    <tableColumn id="11" xr3:uid="{E737158E-4E79-4F52-8985-D3E4514D1130}" name="Dose/100L(cc Or g)" dataDxfId="11"/>
    <tableColumn id="12" xr3:uid="{B571653C-833F-4F8F-ACD1-A26C9F65B791}" name="Water Vol.(L)" dataDxfId="10"/>
    <tableColumn id="13" xr3:uid="{F3E0189E-1ABA-4C4C-83EA-76886AE9C186}" name="Total Qty (kg OrL) " dataDxfId="9">
      <calculatedColumnFormula>IF(OR(M2="",L2=""),"",(M2*L2)/100000)</calculatedColumnFormula>
    </tableColumn>
    <tableColumn id="14" xr3:uid="{500D8A4B-C0F3-4A70-98B0-A730B87CB8A8}" name="Unit" dataDxfId="8">
      <calculatedColumnFormula>IF(I2="","",_xlfn.XLOOKUP(I2,Lists!$C:$C,Lists!$J:$J))</calculatedColumnFormula>
    </tableColumn>
    <tableColumn id="15" xr3:uid="{937EA87F-698C-47BD-A87B-6C7B5D8C24E5}" name="PHI" dataDxfId="7">
      <calculatedColumnFormula>IF(I2="","",_xlfn.XLOOKUP(I2,Lists!$C:$C,Lists!$E:$E))</calculatedColumnFormula>
    </tableColumn>
    <tableColumn id="16" xr3:uid="{93BBE418-3AF5-4291-982A-D2F4967563B4}" name="Allawed Harvest date" dataDxfId="6">
      <calculatedColumnFormula>IF(OR(A2="",P2=""),"",A2+P2+1)</calculatedColumnFormula>
    </tableColumn>
    <tableColumn id="17" xr3:uid="{65E307C9-AFA1-46D0-9CE3-629045716C04}" name="Status" dataDxfId="5">
      <calculatedColumnFormula>IF(Q2="","",IF(Q2&lt;=TODAY(),"Allow","Not Allow"))</calculatedColumnFormula>
    </tableColumn>
    <tableColumn id="18" xr3:uid="{44EA6575-280C-4F7F-B828-EEAF9ED8E57F}" name="PPL Sheet" dataDxfId="4">
      <calculatedColumnFormula>IF(I2="","",_xlfn.XLOOKUP(I2,Lists!$C:$C,Lists!$I:$I))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7D46-FB85-41D9-A075-637D9DDBF4F4}">
  <dimension ref="A1:U160"/>
  <sheetViews>
    <sheetView topLeftCell="A11" zoomScaleNormal="100" workbookViewId="0">
      <selection activeCell="C32" sqref="C32"/>
    </sheetView>
  </sheetViews>
  <sheetFormatPr defaultRowHeight="15" x14ac:dyDescent="0.2"/>
  <cols>
    <col min="3" max="3" width="29.0546875" customWidth="1"/>
    <col min="4" max="4" width="40.7578125" bestFit="1" customWidth="1"/>
    <col min="5" max="5" width="9.01171875" style="10"/>
    <col min="6" max="6" width="12.375" bestFit="1" customWidth="1"/>
    <col min="7" max="7" width="13.44921875" bestFit="1" customWidth="1"/>
    <col min="8" max="8" width="26.5" bestFit="1" customWidth="1"/>
    <col min="13" max="13" width="28.3828125" bestFit="1" customWidth="1"/>
    <col min="14" max="14" width="11.296875" bestFit="1" customWidth="1"/>
    <col min="16" max="16" width="13.31640625" customWidth="1"/>
    <col min="17" max="17" width="14.125" customWidth="1"/>
    <col min="18" max="18" width="8.33984375" style="10" bestFit="1" customWidth="1"/>
    <col min="19" max="19" width="11.56640625" style="10" bestFit="1" customWidth="1"/>
    <col min="20" max="21" width="13.44921875" style="10" bestFit="1" customWidth="1"/>
  </cols>
  <sheetData>
    <row r="1" spans="1:19" x14ac:dyDescent="0.2">
      <c r="A1" t="s">
        <v>14</v>
      </c>
      <c r="B1" t="s">
        <v>15</v>
      </c>
      <c r="C1" t="s">
        <v>19</v>
      </c>
      <c r="D1" t="s">
        <v>20</v>
      </c>
      <c r="E1" s="10" t="s">
        <v>11</v>
      </c>
      <c r="F1" t="s">
        <v>106</v>
      </c>
      <c r="G1" t="s">
        <v>107</v>
      </c>
      <c r="H1" t="s">
        <v>232</v>
      </c>
      <c r="I1" t="s">
        <v>51</v>
      </c>
      <c r="J1" t="s">
        <v>235</v>
      </c>
      <c r="Q1" s="17" t="s">
        <v>48</v>
      </c>
      <c r="R1" s="18">
        <v>80</v>
      </c>
      <c r="S1" s="19">
        <v>1</v>
      </c>
    </row>
    <row r="2" spans="1:19" x14ac:dyDescent="0.2">
      <c r="A2">
        <v>1</v>
      </c>
      <c r="B2">
        <v>1</v>
      </c>
      <c r="C2" s="11" t="s">
        <v>21</v>
      </c>
      <c r="D2" s="11" t="s">
        <v>22</v>
      </c>
      <c r="E2" s="10">
        <v>15</v>
      </c>
      <c r="I2" s="12" t="s">
        <v>237</v>
      </c>
      <c r="Q2" s="20" t="s">
        <v>50</v>
      </c>
      <c r="R2" s="21">
        <v>80</v>
      </c>
      <c r="S2" s="22">
        <v>2</v>
      </c>
    </row>
    <row r="3" spans="1:19" x14ac:dyDescent="0.2">
      <c r="A3">
        <v>1</v>
      </c>
      <c r="B3">
        <v>2</v>
      </c>
      <c r="C3" s="11" t="s">
        <v>46</v>
      </c>
      <c r="D3" s="11" t="s">
        <v>45</v>
      </c>
      <c r="E3" s="10">
        <v>0</v>
      </c>
      <c r="I3" s="12" t="s">
        <v>237</v>
      </c>
      <c r="Q3" s="20" t="s">
        <v>234</v>
      </c>
      <c r="R3" s="21">
        <v>160</v>
      </c>
      <c r="S3" s="22">
        <v>3</v>
      </c>
    </row>
    <row r="4" spans="1:19" x14ac:dyDescent="0.2">
      <c r="A4">
        <v>1</v>
      </c>
      <c r="B4">
        <v>3</v>
      </c>
      <c r="C4" s="11" t="s">
        <v>47</v>
      </c>
      <c r="D4" s="11" t="s">
        <v>54</v>
      </c>
      <c r="E4" s="10">
        <v>10</v>
      </c>
      <c r="I4" s="12" t="s">
        <v>237</v>
      </c>
      <c r="J4" t="s">
        <v>53</v>
      </c>
      <c r="Q4" s="20"/>
      <c r="R4" s="21"/>
      <c r="S4" s="22">
        <v>4</v>
      </c>
    </row>
    <row r="5" spans="1:19" x14ac:dyDescent="0.2">
      <c r="A5">
        <v>1</v>
      </c>
      <c r="B5">
        <v>4</v>
      </c>
      <c r="C5" s="11"/>
      <c r="D5" s="11"/>
      <c r="I5" s="12" t="s">
        <v>237</v>
      </c>
      <c r="Q5" s="20"/>
      <c r="R5" s="21"/>
      <c r="S5" s="22">
        <v>5</v>
      </c>
    </row>
    <row r="6" spans="1:19" x14ac:dyDescent="0.2">
      <c r="A6">
        <v>1</v>
      </c>
      <c r="B6">
        <v>5</v>
      </c>
      <c r="C6" s="11" t="s">
        <v>17</v>
      </c>
      <c r="D6" s="11" t="s">
        <v>18</v>
      </c>
      <c r="E6" s="10">
        <v>0</v>
      </c>
      <c r="I6" s="12" t="s">
        <v>237</v>
      </c>
      <c r="Q6" s="20"/>
      <c r="R6" s="21"/>
      <c r="S6" s="22">
        <v>6</v>
      </c>
    </row>
    <row r="7" spans="1:19" x14ac:dyDescent="0.2">
      <c r="A7">
        <v>1</v>
      </c>
      <c r="B7">
        <v>6</v>
      </c>
      <c r="C7" s="11" t="s">
        <v>42</v>
      </c>
      <c r="D7" s="11" t="s">
        <v>43</v>
      </c>
      <c r="E7" s="10">
        <v>0</v>
      </c>
      <c r="I7" s="12" t="s">
        <v>237</v>
      </c>
      <c r="Q7" s="20"/>
      <c r="R7" s="21"/>
      <c r="S7" s="22">
        <v>7</v>
      </c>
    </row>
    <row r="8" spans="1:19" x14ac:dyDescent="0.2">
      <c r="A8">
        <v>1</v>
      </c>
      <c r="B8">
        <v>7</v>
      </c>
      <c r="C8" s="11" t="s">
        <v>44</v>
      </c>
      <c r="D8" s="11" t="s">
        <v>45</v>
      </c>
      <c r="E8" s="10">
        <v>0</v>
      </c>
      <c r="I8" s="12" t="s">
        <v>237</v>
      </c>
      <c r="Q8" s="20"/>
      <c r="R8" s="21"/>
      <c r="S8" s="22">
        <v>8</v>
      </c>
    </row>
    <row r="9" spans="1:19" x14ac:dyDescent="0.2">
      <c r="A9">
        <v>1</v>
      </c>
      <c r="B9">
        <v>8</v>
      </c>
      <c r="C9" s="11" t="s">
        <v>37</v>
      </c>
      <c r="D9" s="11" t="s">
        <v>38</v>
      </c>
      <c r="E9" s="10">
        <v>0</v>
      </c>
      <c r="I9" s="12" t="s">
        <v>237</v>
      </c>
      <c r="Q9" s="20"/>
      <c r="R9" s="21"/>
      <c r="S9" s="22">
        <v>9</v>
      </c>
    </row>
    <row r="10" spans="1:19" x14ac:dyDescent="0.2">
      <c r="A10">
        <v>1</v>
      </c>
      <c r="B10">
        <v>9</v>
      </c>
      <c r="C10" s="11" t="s">
        <v>39</v>
      </c>
      <c r="D10" s="11" t="s">
        <v>40</v>
      </c>
      <c r="E10" s="10">
        <v>0</v>
      </c>
      <c r="I10" s="12" t="s">
        <v>237</v>
      </c>
      <c r="Q10" s="20"/>
      <c r="R10" s="21"/>
      <c r="S10" s="22">
        <v>10</v>
      </c>
    </row>
    <row r="11" spans="1:19" x14ac:dyDescent="0.2">
      <c r="A11">
        <v>1</v>
      </c>
      <c r="B11">
        <v>10</v>
      </c>
      <c r="C11" s="11" t="s">
        <v>41</v>
      </c>
      <c r="D11" s="11" t="s">
        <v>18</v>
      </c>
      <c r="E11" s="10">
        <v>0</v>
      </c>
      <c r="I11" s="12" t="s">
        <v>237</v>
      </c>
      <c r="Q11" s="20"/>
      <c r="R11" s="21"/>
      <c r="S11" s="22">
        <v>11</v>
      </c>
    </row>
    <row r="12" spans="1:19" x14ac:dyDescent="0.2">
      <c r="A12">
        <v>2</v>
      </c>
      <c r="B12">
        <v>11</v>
      </c>
      <c r="C12" s="11" t="s">
        <v>33</v>
      </c>
      <c r="D12" s="11" t="s">
        <v>34</v>
      </c>
      <c r="I12" s="12" t="s">
        <v>237</v>
      </c>
      <c r="Q12" s="20"/>
      <c r="R12" s="21"/>
      <c r="S12" s="22">
        <v>12</v>
      </c>
    </row>
    <row r="13" spans="1:19" x14ac:dyDescent="0.2">
      <c r="A13">
        <v>2</v>
      </c>
      <c r="B13">
        <v>12</v>
      </c>
      <c r="C13" s="11" t="s">
        <v>28</v>
      </c>
      <c r="D13" s="11" t="s">
        <v>29</v>
      </c>
      <c r="E13" s="10">
        <v>0</v>
      </c>
      <c r="I13" s="12" t="s">
        <v>237</v>
      </c>
      <c r="Q13" s="20"/>
      <c r="R13" s="21"/>
      <c r="S13" s="22">
        <v>13</v>
      </c>
    </row>
    <row r="14" spans="1:19" x14ac:dyDescent="0.2">
      <c r="A14">
        <v>2</v>
      </c>
      <c r="B14">
        <v>13</v>
      </c>
      <c r="C14" s="11" t="s">
        <v>28</v>
      </c>
      <c r="D14" s="11" t="s">
        <v>29</v>
      </c>
      <c r="E14" s="10">
        <v>0</v>
      </c>
      <c r="I14" s="12" t="s">
        <v>237</v>
      </c>
      <c r="Q14" s="20"/>
      <c r="R14" s="21"/>
      <c r="S14" s="22">
        <v>14</v>
      </c>
    </row>
    <row r="15" spans="1:19" x14ac:dyDescent="0.2">
      <c r="A15">
        <v>2</v>
      </c>
      <c r="B15">
        <v>14</v>
      </c>
      <c r="C15" s="11" t="s">
        <v>30</v>
      </c>
      <c r="D15" s="11" t="s">
        <v>31</v>
      </c>
      <c r="I15" s="12" t="s">
        <v>237</v>
      </c>
      <c r="Q15" s="20"/>
      <c r="R15" s="21"/>
      <c r="S15" s="22">
        <v>15</v>
      </c>
    </row>
    <row r="16" spans="1:19" x14ac:dyDescent="0.2">
      <c r="A16">
        <v>2</v>
      </c>
      <c r="B16">
        <v>16</v>
      </c>
      <c r="C16" t="s">
        <v>129</v>
      </c>
      <c r="D16" t="s">
        <v>71</v>
      </c>
      <c r="E16" s="10">
        <v>10</v>
      </c>
      <c r="F16" s="10">
        <v>0.01</v>
      </c>
      <c r="G16" s="10">
        <v>0.05</v>
      </c>
      <c r="H16" t="s">
        <v>130</v>
      </c>
      <c r="I16" s="16" t="s">
        <v>233</v>
      </c>
      <c r="Q16" s="20"/>
      <c r="R16" s="21"/>
      <c r="S16" s="22">
        <v>16</v>
      </c>
    </row>
    <row r="17" spans="1:19" x14ac:dyDescent="0.2">
      <c r="A17">
        <v>2</v>
      </c>
      <c r="B17">
        <v>17</v>
      </c>
      <c r="C17" t="s">
        <v>149</v>
      </c>
      <c r="D17" t="s">
        <v>72</v>
      </c>
      <c r="E17" s="10">
        <v>10</v>
      </c>
      <c r="F17" s="10">
        <v>0.01</v>
      </c>
      <c r="G17" s="10">
        <v>0.01</v>
      </c>
      <c r="H17" t="s">
        <v>131</v>
      </c>
      <c r="I17" s="16" t="s">
        <v>233</v>
      </c>
      <c r="Q17" s="20"/>
      <c r="R17" s="21"/>
      <c r="S17" s="22">
        <v>17</v>
      </c>
    </row>
    <row r="18" spans="1:19" x14ac:dyDescent="0.2">
      <c r="A18">
        <v>2</v>
      </c>
      <c r="B18">
        <v>18</v>
      </c>
      <c r="C18" t="s">
        <v>55</v>
      </c>
      <c r="D18" t="s">
        <v>73</v>
      </c>
      <c r="E18" s="10">
        <v>7</v>
      </c>
      <c r="F18" s="10">
        <v>0.01</v>
      </c>
      <c r="G18" s="10">
        <v>7</v>
      </c>
      <c r="H18" t="s">
        <v>132</v>
      </c>
      <c r="I18" s="16" t="s">
        <v>233</v>
      </c>
      <c r="Q18" s="20"/>
      <c r="R18" s="21"/>
      <c r="S18" s="22">
        <v>18</v>
      </c>
    </row>
    <row r="19" spans="1:19" x14ac:dyDescent="0.2">
      <c r="A19">
        <v>2</v>
      </c>
      <c r="B19">
        <v>19</v>
      </c>
      <c r="C19" s="33" t="s">
        <v>32</v>
      </c>
      <c r="D19" t="s">
        <v>150</v>
      </c>
      <c r="E19" s="10">
        <v>7</v>
      </c>
      <c r="F19" s="14">
        <v>2E-3</v>
      </c>
      <c r="G19" s="10">
        <v>0.01</v>
      </c>
      <c r="H19" t="s">
        <v>132</v>
      </c>
      <c r="I19" s="16" t="s">
        <v>233</v>
      </c>
      <c r="Q19" s="20"/>
      <c r="R19" s="21"/>
      <c r="S19" s="22">
        <v>19</v>
      </c>
    </row>
    <row r="20" spans="1:19" x14ac:dyDescent="0.2">
      <c r="A20">
        <v>2</v>
      </c>
      <c r="B20">
        <v>20</v>
      </c>
      <c r="C20" t="s">
        <v>56</v>
      </c>
      <c r="D20" t="s">
        <v>74</v>
      </c>
      <c r="E20" s="10">
        <v>4</v>
      </c>
      <c r="F20" s="10">
        <v>0.01</v>
      </c>
      <c r="G20" s="10">
        <v>0.01</v>
      </c>
      <c r="H20" t="s">
        <v>132</v>
      </c>
      <c r="I20" s="16" t="s">
        <v>233</v>
      </c>
      <c r="Q20" s="20"/>
      <c r="R20" s="21"/>
      <c r="S20" s="22">
        <v>20</v>
      </c>
    </row>
    <row r="21" spans="1:19" x14ac:dyDescent="0.2">
      <c r="A21">
        <v>3</v>
      </c>
      <c r="B21">
        <v>21</v>
      </c>
      <c r="C21" t="s">
        <v>151</v>
      </c>
      <c r="D21" t="s">
        <v>152</v>
      </c>
      <c r="E21" s="10">
        <v>7</v>
      </c>
      <c r="F21" t="s">
        <v>110</v>
      </c>
      <c r="G21" t="s">
        <v>111</v>
      </c>
      <c r="H21" t="s">
        <v>133</v>
      </c>
      <c r="I21" s="16" t="s">
        <v>233</v>
      </c>
      <c r="Q21" s="20"/>
      <c r="R21" s="21"/>
      <c r="S21" s="22">
        <v>21</v>
      </c>
    </row>
    <row r="22" spans="1:19" x14ac:dyDescent="0.2">
      <c r="A22">
        <v>3</v>
      </c>
      <c r="B22">
        <v>22</v>
      </c>
      <c r="C22" s="33" t="s">
        <v>153</v>
      </c>
      <c r="D22" t="s">
        <v>76</v>
      </c>
      <c r="E22" s="10">
        <v>7</v>
      </c>
      <c r="F22" s="10">
        <v>0.8</v>
      </c>
      <c r="G22" s="10">
        <v>1.5</v>
      </c>
      <c r="H22" t="s">
        <v>35</v>
      </c>
      <c r="I22" s="16" t="s">
        <v>233</v>
      </c>
      <c r="Q22" s="20"/>
      <c r="R22" s="21"/>
      <c r="S22" s="22">
        <v>22</v>
      </c>
    </row>
    <row r="23" spans="1:19" x14ac:dyDescent="0.2">
      <c r="A23">
        <v>3</v>
      </c>
      <c r="B23">
        <v>23</v>
      </c>
      <c r="C23" t="s">
        <v>154</v>
      </c>
      <c r="D23" t="s">
        <v>75</v>
      </c>
      <c r="E23" s="10">
        <v>21</v>
      </c>
      <c r="F23" s="10">
        <v>0.02</v>
      </c>
      <c r="G23" s="10">
        <v>0.02</v>
      </c>
      <c r="H23" t="s">
        <v>134</v>
      </c>
      <c r="I23" s="16" t="s">
        <v>233</v>
      </c>
      <c r="Q23" s="20"/>
      <c r="R23" s="21"/>
      <c r="S23" s="22">
        <v>23</v>
      </c>
    </row>
    <row r="24" spans="1:19" x14ac:dyDescent="0.2">
      <c r="A24">
        <v>3</v>
      </c>
      <c r="B24">
        <v>24</v>
      </c>
      <c r="C24" t="s">
        <v>155</v>
      </c>
      <c r="D24" t="s">
        <v>77</v>
      </c>
      <c r="E24" s="10">
        <v>5</v>
      </c>
      <c r="F24" s="13">
        <v>5</v>
      </c>
      <c r="G24" s="13">
        <v>5</v>
      </c>
      <c r="H24" t="s">
        <v>135</v>
      </c>
      <c r="I24" s="16" t="s">
        <v>233</v>
      </c>
      <c r="Q24" s="20"/>
      <c r="R24" s="21"/>
      <c r="S24" s="22">
        <v>24</v>
      </c>
    </row>
    <row r="25" spans="1:19" x14ac:dyDescent="0.2">
      <c r="A25">
        <v>3</v>
      </c>
      <c r="B25">
        <v>25</v>
      </c>
      <c r="C25" t="s">
        <v>57</v>
      </c>
      <c r="D25" t="s">
        <v>156</v>
      </c>
      <c r="E25" s="13">
        <v>7</v>
      </c>
      <c r="F25" s="13">
        <v>0.01</v>
      </c>
      <c r="G25" s="13">
        <v>0.01</v>
      </c>
      <c r="H25" t="s">
        <v>136</v>
      </c>
      <c r="I25" s="16" t="s">
        <v>233</v>
      </c>
      <c r="Q25" s="20"/>
      <c r="R25" s="21"/>
      <c r="S25" s="22">
        <v>25</v>
      </c>
    </row>
    <row r="26" spans="1:19" x14ac:dyDescent="0.2">
      <c r="A26">
        <v>3</v>
      </c>
      <c r="B26">
        <v>26</v>
      </c>
      <c r="E26" s="13"/>
      <c r="F26" s="13"/>
      <c r="G26" s="13"/>
      <c r="I26" s="16" t="s">
        <v>233</v>
      </c>
      <c r="Q26" s="20"/>
      <c r="R26" s="21"/>
      <c r="S26" s="22">
        <v>26</v>
      </c>
    </row>
    <row r="27" spans="1:19" x14ac:dyDescent="0.2">
      <c r="A27">
        <v>3</v>
      </c>
      <c r="B27">
        <v>27</v>
      </c>
      <c r="C27" t="s">
        <v>58</v>
      </c>
      <c r="D27" t="s">
        <v>78</v>
      </c>
      <c r="E27" s="13">
        <v>3</v>
      </c>
      <c r="F27" s="13">
        <v>4</v>
      </c>
      <c r="G27" s="13">
        <v>0.01</v>
      </c>
      <c r="H27" t="s">
        <v>137</v>
      </c>
      <c r="I27" s="16" t="s">
        <v>233</v>
      </c>
      <c r="Q27" s="20"/>
      <c r="R27" s="21"/>
      <c r="S27" s="22">
        <v>27</v>
      </c>
    </row>
    <row r="28" spans="1:19" x14ac:dyDescent="0.2">
      <c r="A28">
        <v>3</v>
      </c>
      <c r="B28">
        <v>28</v>
      </c>
      <c r="C28" t="s">
        <v>157</v>
      </c>
      <c r="D28" t="s">
        <v>79</v>
      </c>
      <c r="E28" s="13">
        <v>5</v>
      </c>
      <c r="F28" s="13">
        <v>0.2</v>
      </c>
      <c r="G28" s="13">
        <v>0.2</v>
      </c>
      <c r="H28" t="s">
        <v>132</v>
      </c>
      <c r="I28" s="16" t="s">
        <v>233</v>
      </c>
      <c r="Q28" s="20"/>
      <c r="R28" s="21"/>
      <c r="S28" s="22">
        <v>28</v>
      </c>
    </row>
    <row r="29" spans="1:19" x14ac:dyDescent="0.2">
      <c r="A29">
        <v>3</v>
      </c>
      <c r="B29">
        <v>29</v>
      </c>
      <c r="C29" t="s">
        <v>158</v>
      </c>
      <c r="D29" t="s">
        <v>159</v>
      </c>
      <c r="E29" s="13">
        <v>5</v>
      </c>
      <c r="F29" s="13">
        <v>5</v>
      </c>
      <c r="G29" s="13">
        <v>5</v>
      </c>
      <c r="H29" t="s">
        <v>138</v>
      </c>
      <c r="I29" s="16" t="s">
        <v>233</v>
      </c>
      <c r="Q29" s="20"/>
      <c r="R29" s="21"/>
      <c r="S29" s="22">
        <v>29</v>
      </c>
    </row>
    <row r="30" spans="1:19" x14ac:dyDescent="0.2">
      <c r="A30">
        <v>3</v>
      </c>
      <c r="B30">
        <v>30</v>
      </c>
      <c r="C30" t="s">
        <v>161</v>
      </c>
      <c r="D30" t="s">
        <v>160</v>
      </c>
      <c r="E30" s="13">
        <v>30</v>
      </c>
      <c r="F30" s="13" t="s">
        <v>115</v>
      </c>
      <c r="G30" s="13" t="s">
        <v>115</v>
      </c>
      <c r="H30" t="s">
        <v>139</v>
      </c>
      <c r="I30" s="16" t="s">
        <v>233</v>
      </c>
      <c r="Q30" s="20"/>
      <c r="R30" s="21"/>
      <c r="S30" s="22">
        <v>30</v>
      </c>
    </row>
    <row r="31" spans="1:19" x14ac:dyDescent="0.2">
      <c r="A31" s="1">
        <v>5</v>
      </c>
      <c r="B31">
        <v>32</v>
      </c>
      <c r="C31" t="s">
        <v>162</v>
      </c>
      <c r="D31" t="s">
        <v>80</v>
      </c>
      <c r="E31" s="13">
        <v>2</v>
      </c>
      <c r="F31" s="13">
        <v>5</v>
      </c>
      <c r="G31" s="13">
        <v>5</v>
      </c>
      <c r="H31" t="s">
        <v>140</v>
      </c>
      <c r="I31" s="16" t="s">
        <v>233</v>
      </c>
      <c r="Q31" s="20"/>
      <c r="R31" s="21"/>
      <c r="S31" s="22">
        <v>31</v>
      </c>
    </row>
    <row r="32" spans="1:19" x14ac:dyDescent="0.2">
      <c r="A32" s="1">
        <v>5</v>
      </c>
      <c r="B32">
        <v>33</v>
      </c>
      <c r="C32" t="s">
        <v>163</v>
      </c>
      <c r="D32" t="s">
        <v>164</v>
      </c>
      <c r="E32" s="13">
        <v>10</v>
      </c>
      <c r="F32" s="13" t="s">
        <v>116</v>
      </c>
      <c r="G32" s="13" t="s">
        <v>116</v>
      </c>
      <c r="H32" t="s">
        <v>140</v>
      </c>
      <c r="I32" s="16" t="s">
        <v>233</v>
      </c>
      <c r="Q32" s="20"/>
      <c r="R32" s="21"/>
      <c r="S32" s="22">
        <v>32</v>
      </c>
    </row>
    <row r="33" spans="1:19" x14ac:dyDescent="0.2">
      <c r="A33" s="1">
        <v>5</v>
      </c>
      <c r="B33">
        <v>34</v>
      </c>
      <c r="C33" t="s">
        <v>165</v>
      </c>
      <c r="D33" t="s">
        <v>81</v>
      </c>
      <c r="E33" s="13">
        <v>3</v>
      </c>
      <c r="F33" s="13">
        <v>0.01</v>
      </c>
      <c r="G33" s="13">
        <v>0.01</v>
      </c>
      <c r="H33" t="s">
        <v>140</v>
      </c>
      <c r="I33" s="16" t="s">
        <v>233</v>
      </c>
      <c r="Q33" s="20"/>
      <c r="R33" s="21"/>
      <c r="S33" s="22">
        <v>33</v>
      </c>
    </row>
    <row r="34" spans="1:19" x14ac:dyDescent="0.2">
      <c r="A34" s="1">
        <v>5</v>
      </c>
      <c r="B34">
        <v>37</v>
      </c>
      <c r="C34" t="s">
        <v>168</v>
      </c>
      <c r="D34" t="s">
        <v>166</v>
      </c>
      <c r="E34" s="13">
        <v>5</v>
      </c>
      <c r="F34" s="13" t="s">
        <v>117</v>
      </c>
      <c r="G34" s="13" t="s">
        <v>117</v>
      </c>
      <c r="H34" t="s">
        <v>141</v>
      </c>
      <c r="I34" s="16" t="s">
        <v>233</v>
      </c>
      <c r="Q34" s="20"/>
      <c r="R34" s="21"/>
      <c r="S34" s="22">
        <v>34</v>
      </c>
    </row>
    <row r="35" spans="1:19" x14ac:dyDescent="0.2">
      <c r="A35" s="1">
        <v>5</v>
      </c>
      <c r="B35">
        <v>38</v>
      </c>
      <c r="C35" t="s">
        <v>169</v>
      </c>
      <c r="D35" t="s">
        <v>167</v>
      </c>
      <c r="E35" s="13">
        <v>3</v>
      </c>
      <c r="F35" s="13" t="s">
        <v>118</v>
      </c>
      <c r="G35" s="13" t="s">
        <v>118</v>
      </c>
      <c r="H35" t="s">
        <v>140</v>
      </c>
      <c r="I35" s="16" t="s">
        <v>233</v>
      </c>
      <c r="Q35" s="20"/>
      <c r="R35" s="21"/>
      <c r="S35" s="22">
        <v>35</v>
      </c>
    </row>
    <row r="36" spans="1:19" x14ac:dyDescent="0.2">
      <c r="A36" s="1">
        <v>5</v>
      </c>
      <c r="B36">
        <v>39</v>
      </c>
      <c r="C36" t="s">
        <v>170</v>
      </c>
      <c r="D36" t="s">
        <v>82</v>
      </c>
      <c r="E36" s="13">
        <v>10</v>
      </c>
      <c r="F36" s="13">
        <v>1.5</v>
      </c>
      <c r="G36" s="13">
        <v>0.7</v>
      </c>
      <c r="H36" t="s">
        <v>25</v>
      </c>
      <c r="I36" s="16" t="s">
        <v>233</v>
      </c>
      <c r="Q36" s="20"/>
      <c r="R36" s="21"/>
      <c r="S36" s="22">
        <v>36</v>
      </c>
    </row>
    <row r="37" spans="1:19" x14ac:dyDescent="0.2">
      <c r="A37" s="1">
        <v>5</v>
      </c>
      <c r="B37">
        <v>42</v>
      </c>
      <c r="C37" t="s">
        <v>171</v>
      </c>
      <c r="D37" t="s">
        <v>83</v>
      </c>
      <c r="E37" s="13">
        <v>7</v>
      </c>
      <c r="F37" s="13">
        <v>0.02</v>
      </c>
      <c r="G37" s="13">
        <v>0.02</v>
      </c>
      <c r="H37" t="s">
        <v>131</v>
      </c>
      <c r="I37" s="16" t="s">
        <v>233</v>
      </c>
      <c r="Q37" s="20"/>
      <c r="R37" s="21"/>
      <c r="S37" s="22">
        <v>37</v>
      </c>
    </row>
    <row r="38" spans="1:19" x14ac:dyDescent="0.2">
      <c r="A38" s="1">
        <v>5</v>
      </c>
      <c r="B38">
        <v>43</v>
      </c>
      <c r="C38" t="s">
        <v>172</v>
      </c>
      <c r="D38" t="s">
        <v>84</v>
      </c>
      <c r="E38" s="13">
        <v>5</v>
      </c>
      <c r="F38" s="13">
        <v>3</v>
      </c>
      <c r="G38" s="13">
        <v>3</v>
      </c>
      <c r="H38" t="s">
        <v>140</v>
      </c>
      <c r="I38" s="16" t="s">
        <v>233</v>
      </c>
      <c r="Q38" s="20"/>
      <c r="R38" s="21"/>
      <c r="S38" s="22">
        <v>38</v>
      </c>
    </row>
    <row r="39" spans="1:19" x14ac:dyDescent="0.2">
      <c r="A39" s="1">
        <v>5</v>
      </c>
      <c r="B39">
        <v>44</v>
      </c>
      <c r="C39" t="s">
        <v>173</v>
      </c>
      <c r="D39" t="s">
        <v>85</v>
      </c>
      <c r="E39" s="13">
        <v>0</v>
      </c>
      <c r="F39" s="13">
        <v>0.01</v>
      </c>
      <c r="G39" s="13" t="s">
        <v>119</v>
      </c>
      <c r="H39" t="s">
        <v>142</v>
      </c>
      <c r="I39" s="16" t="s">
        <v>233</v>
      </c>
      <c r="Q39" s="20"/>
      <c r="R39" s="21"/>
      <c r="S39" s="22">
        <v>39</v>
      </c>
    </row>
    <row r="40" spans="1:19" x14ac:dyDescent="0.2">
      <c r="A40" s="2">
        <v>4</v>
      </c>
      <c r="B40">
        <v>46</v>
      </c>
      <c r="C40" t="s">
        <v>174</v>
      </c>
      <c r="D40" t="s">
        <v>175</v>
      </c>
      <c r="E40" s="13">
        <v>0</v>
      </c>
      <c r="F40" s="13">
        <v>0.01</v>
      </c>
      <c r="G40" s="13">
        <v>0.01</v>
      </c>
      <c r="H40" t="s">
        <v>140</v>
      </c>
      <c r="I40" s="16" t="s">
        <v>233</v>
      </c>
      <c r="Q40" s="20"/>
      <c r="R40" s="21"/>
      <c r="S40" s="22">
        <v>40</v>
      </c>
    </row>
    <row r="41" spans="1:19" x14ac:dyDescent="0.2">
      <c r="A41" s="2">
        <v>4</v>
      </c>
      <c r="B41">
        <v>47</v>
      </c>
      <c r="C41" t="s">
        <v>176</v>
      </c>
      <c r="D41" t="s">
        <v>86</v>
      </c>
      <c r="E41" s="13">
        <v>4</v>
      </c>
      <c r="F41" s="13">
        <v>1.5</v>
      </c>
      <c r="G41" s="13">
        <v>1.5</v>
      </c>
      <c r="H41" t="s">
        <v>132</v>
      </c>
      <c r="I41" s="16" t="s">
        <v>233</v>
      </c>
      <c r="Q41" s="20"/>
      <c r="R41" s="21"/>
      <c r="S41" s="22">
        <v>41</v>
      </c>
    </row>
    <row r="42" spans="1:19" x14ac:dyDescent="0.2">
      <c r="A42" s="2">
        <v>4</v>
      </c>
      <c r="B42">
        <v>51</v>
      </c>
      <c r="C42" t="s">
        <v>177</v>
      </c>
      <c r="D42" t="s">
        <v>178</v>
      </c>
      <c r="E42" s="13">
        <v>7</v>
      </c>
      <c r="F42" s="13" t="s">
        <v>120</v>
      </c>
      <c r="G42" s="13" t="s">
        <v>120</v>
      </c>
      <c r="H42" t="s">
        <v>132</v>
      </c>
      <c r="I42" s="16" t="s">
        <v>233</v>
      </c>
      <c r="Q42" s="20"/>
      <c r="R42" s="21"/>
      <c r="S42" s="22">
        <v>42</v>
      </c>
    </row>
    <row r="43" spans="1:19" x14ac:dyDescent="0.2">
      <c r="A43" s="2">
        <v>4</v>
      </c>
      <c r="B43">
        <v>52</v>
      </c>
      <c r="C43" t="s">
        <v>179</v>
      </c>
      <c r="D43" t="s">
        <v>180</v>
      </c>
      <c r="E43" s="13">
        <v>5</v>
      </c>
      <c r="F43" s="13">
        <v>0.4</v>
      </c>
      <c r="G43" s="13">
        <v>0.4</v>
      </c>
      <c r="H43" t="s">
        <v>132</v>
      </c>
      <c r="I43" s="16" t="s">
        <v>233</v>
      </c>
      <c r="J43" t="s">
        <v>53</v>
      </c>
      <c r="Q43" s="20"/>
      <c r="R43" s="21"/>
      <c r="S43" s="22">
        <v>43</v>
      </c>
    </row>
    <row r="44" spans="1:19" x14ac:dyDescent="0.2">
      <c r="A44" s="2">
        <v>4</v>
      </c>
      <c r="B44">
        <v>56</v>
      </c>
      <c r="C44" t="s">
        <v>181</v>
      </c>
      <c r="D44" t="s">
        <v>182</v>
      </c>
      <c r="E44" s="13">
        <v>7</v>
      </c>
      <c r="F44" s="13" t="s">
        <v>121</v>
      </c>
      <c r="G44" s="13" t="s">
        <v>121</v>
      </c>
      <c r="H44" t="s">
        <v>142</v>
      </c>
      <c r="I44" s="16" t="s">
        <v>233</v>
      </c>
      <c r="Q44" s="20"/>
      <c r="R44" s="21"/>
      <c r="S44" s="22">
        <v>44</v>
      </c>
    </row>
    <row r="45" spans="1:19" x14ac:dyDescent="0.2">
      <c r="A45" s="2">
        <v>4</v>
      </c>
      <c r="B45">
        <v>57</v>
      </c>
      <c r="C45" t="s">
        <v>16</v>
      </c>
      <c r="D45" t="s">
        <v>87</v>
      </c>
      <c r="E45" s="13">
        <v>5</v>
      </c>
      <c r="F45" s="13">
        <v>8</v>
      </c>
      <c r="G45" s="13">
        <v>8</v>
      </c>
      <c r="H45" t="s">
        <v>138</v>
      </c>
      <c r="I45" s="16" t="s">
        <v>233</v>
      </c>
      <c r="Q45" s="20"/>
      <c r="R45" s="21"/>
      <c r="S45" s="22">
        <v>45</v>
      </c>
    </row>
    <row r="46" spans="1:19" x14ac:dyDescent="0.2">
      <c r="A46" s="2">
        <v>4</v>
      </c>
      <c r="B46">
        <v>58</v>
      </c>
      <c r="C46" t="s">
        <v>36</v>
      </c>
      <c r="D46" t="s">
        <v>183</v>
      </c>
      <c r="E46" s="13">
        <v>7</v>
      </c>
      <c r="F46" s="13" t="s">
        <v>122</v>
      </c>
      <c r="G46" s="13" t="s">
        <v>122</v>
      </c>
      <c r="H46" t="s">
        <v>138</v>
      </c>
      <c r="I46" s="16" t="s">
        <v>233</v>
      </c>
      <c r="Q46" s="20"/>
      <c r="R46" s="21"/>
      <c r="S46" s="22">
        <v>46</v>
      </c>
    </row>
    <row r="47" spans="1:19" x14ac:dyDescent="0.2">
      <c r="A47" s="2">
        <v>4</v>
      </c>
      <c r="B47">
        <v>59</v>
      </c>
      <c r="C47" t="s">
        <v>184</v>
      </c>
      <c r="D47" t="s">
        <v>88</v>
      </c>
      <c r="E47" s="13">
        <v>5</v>
      </c>
      <c r="F47" s="13">
        <v>0.01</v>
      </c>
      <c r="G47" s="13">
        <v>0.02</v>
      </c>
      <c r="H47" t="s">
        <v>140</v>
      </c>
      <c r="I47" s="16" t="s">
        <v>233</v>
      </c>
      <c r="Q47" s="20"/>
      <c r="R47" s="21"/>
      <c r="S47" s="22">
        <v>47</v>
      </c>
    </row>
    <row r="48" spans="1:19" x14ac:dyDescent="0.2">
      <c r="A48" s="2">
        <v>4</v>
      </c>
      <c r="B48">
        <v>61</v>
      </c>
      <c r="C48" t="s">
        <v>185</v>
      </c>
      <c r="D48" t="s">
        <v>89</v>
      </c>
      <c r="E48" s="13">
        <v>5</v>
      </c>
      <c r="F48" s="13">
        <v>4</v>
      </c>
      <c r="G48" s="13">
        <v>4</v>
      </c>
      <c r="H48" t="s">
        <v>132</v>
      </c>
      <c r="I48" s="16" t="s">
        <v>233</v>
      </c>
      <c r="Q48" s="20"/>
      <c r="R48" s="21"/>
      <c r="S48" s="22">
        <v>48</v>
      </c>
    </row>
    <row r="49" spans="1:19" x14ac:dyDescent="0.2">
      <c r="A49" s="2">
        <v>4</v>
      </c>
      <c r="B49">
        <v>62</v>
      </c>
      <c r="C49" t="s">
        <v>186</v>
      </c>
      <c r="D49" t="s">
        <v>187</v>
      </c>
      <c r="E49" s="13">
        <v>7</v>
      </c>
      <c r="F49" s="13" t="s">
        <v>123</v>
      </c>
      <c r="G49" s="13" t="s">
        <v>115</v>
      </c>
      <c r="H49" t="s">
        <v>143</v>
      </c>
      <c r="I49" s="16" t="s">
        <v>233</v>
      </c>
      <c r="Q49" s="20"/>
      <c r="R49" s="21"/>
      <c r="S49" s="22">
        <v>49</v>
      </c>
    </row>
    <row r="50" spans="1:19" x14ac:dyDescent="0.2">
      <c r="A50" s="2">
        <v>4</v>
      </c>
      <c r="B50">
        <v>63</v>
      </c>
      <c r="C50" t="s">
        <v>188</v>
      </c>
      <c r="D50" t="s">
        <v>90</v>
      </c>
      <c r="E50" s="13">
        <v>7</v>
      </c>
      <c r="F50" s="13">
        <v>0.01</v>
      </c>
      <c r="G50" s="13">
        <v>0.8</v>
      </c>
      <c r="H50" t="s">
        <v>131</v>
      </c>
      <c r="I50" s="16" t="s">
        <v>233</v>
      </c>
      <c r="Q50" s="20"/>
      <c r="R50" s="21"/>
      <c r="S50" s="22">
        <v>50</v>
      </c>
    </row>
    <row r="51" spans="1:19" x14ac:dyDescent="0.2">
      <c r="A51" s="2">
        <v>4</v>
      </c>
      <c r="B51">
        <v>64</v>
      </c>
      <c r="C51" t="s">
        <v>189</v>
      </c>
      <c r="D51" t="s">
        <v>91</v>
      </c>
      <c r="E51" s="13">
        <v>5</v>
      </c>
      <c r="F51" s="13">
        <v>0.01</v>
      </c>
      <c r="G51" s="13">
        <v>0.5</v>
      </c>
      <c r="H51" t="s">
        <v>131</v>
      </c>
      <c r="I51" s="16" t="s">
        <v>233</v>
      </c>
      <c r="Q51" s="20"/>
      <c r="R51" s="21"/>
      <c r="S51" s="22">
        <v>51</v>
      </c>
    </row>
    <row r="52" spans="1:19" x14ac:dyDescent="0.2">
      <c r="C52" t="s">
        <v>190</v>
      </c>
      <c r="D52" t="s">
        <v>92</v>
      </c>
      <c r="E52" s="13">
        <v>3</v>
      </c>
      <c r="F52" s="13">
        <v>200</v>
      </c>
      <c r="G52" s="13">
        <v>80</v>
      </c>
      <c r="H52" t="s">
        <v>143</v>
      </c>
      <c r="I52" s="16" t="s">
        <v>233</v>
      </c>
      <c r="Q52" s="20"/>
      <c r="R52" s="21"/>
      <c r="S52" s="22">
        <v>52</v>
      </c>
    </row>
    <row r="53" spans="1:19" x14ac:dyDescent="0.2">
      <c r="C53" t="s">
        <v>59</v>
      </c>
      <c r="D53" t="s">
        <v>93</v>
      </c>
      <c r="E53" s="13">
        <v>7</v>
      </c>
      <c r="F53" s="13">
        <v>7</v>
      </c>
      <c r="G53" s="13" t="s">
        <v>109</v>
      </c>
      <c r="H53" t="s">
        <v>144</v>
      </c>
      <c r="I53" s="16" t="s">
        <v>233</v>
      </c>
      <c r="Q53" s="20"/>
      <c r="R53" s="21"/>
      <c r="S53" s="22">
        <v>53</v>
      </c>
    </row>
    <row r="54" spans="1:19" x14ac:dyDescent="0.2">
      <c r="C54" t="s">
        <v>191</v>
      </c>
      <c r="D54" t="s">
        <v>192</v>
      </c>
      <c r="E54" s="13">
        <v>3</v>
      </c>
      <c r="F54" s="13" t="s">
        <v>124</v>
      </c>
      <c r="G54" s="13" t="s">
        <v>125</v>
      </c>
      <c r="H54" t="s">
        <v>142</v>
      </c>
      <c r="I54" s="16" t="s">
        <v>233</v>
      </c>
      <c r="Q54" s="20"/>
      <c r="R54" s="21"/>
      <c r="S54" s="22">
        <v>54</v>
      </c>
    </row>
    <row r="55" spans="1:19" x14ac:dyDescent="0.2">
      <c r="C55" t="s">
        <v>193</v>
      </c>
      <c r="D55" t="s">
        <v>94</v>
      </c>
      <c r="E55" s="13">
        <v>5</v>
      </c>
      <c r="F55" s="13">
        <v>0.4</v>
      </c>
      <c r="G55" s="13">
        <v>2</v>
      </c>
      <c r="H55" t="s">
        <v>131</v>
      </c>
      <c r="I55" s="16" t="s">
        <v>233</v>
      </c>
      <c r="Q55" s="20"/>
      <c r="R55" s="21"/>
      <c r="S55" s="22">
        <v>55</v>
      </c>
    </row>
    <row r="56" spans="1:19" x14ac:dyDescent="0.2">
      <c r="C56" t="s">
        <v>194</v>
      </c>
      <c r="D56" t="s">
        <v>94</v>
      </c>
      <c r="E56" s="13">
        <v>5</v>
      </c>
      <c r="F56" s="13">
        <v>0.4</v>
      </c>
      <c r="G56" s="13">
        <v>2</v>
      </c>
      <c r="H56" t="s">
        <v>131</v>
      </c>
      <c r="I56" s="16" t="s">
        <v>233</v>
      </c>
      <c r="Q56" s="20"/>
      <c r="R56" s="21"/>
      <c r="S56" s="22">
        <v>56</v>
      </c>
    </row>
    <row r="57" spans="1:19" x14ac:dyDescent="0.2">
      <c r="C57" t="s">
        <v>195</v>
      </c>
      <c r="D57" t="s">
        <v>95</v>
      </c>
      <c r="E57" s="13">
        <v>3</v>
      </c>
      <c r="F57" s="13">
        <v>4</v>
      </c>
      <c r="G57" s="13">
        <v>4</v>
      </c>
      <c r="H57" t="s">
        <v>138</v>
      </c>
      <c r="I57" s="16" t="s">
        <v>233</v>
      </c>
      <c r="Q57" s="20"/>
      <c r="R57" s="21"/>
      <c r="S57" s="22">
        <v>57</v>
      </c>
    </row>
    <row r="58" spans="1:19" x14ac:dyDescent="0.2">
      <c r="C58" t="s">
        <v>196</v>
      </c>
      <c r="D58" t="s">
        <v>96</v>
      </c>
      <c r="E58" s="13">
        <v>5</v>
      </c>
      <c r="F58" s="13">
        <v>20</v>
      </c>
      <c r="G58" s="13" t="s">
        <v>126</v>
      </c>
      <c r="H58" t="s">
        <v>138</v>
      </c>
      <c r="I58" s="16" t="s">
        <v>233</v>
      </c>
      <c r="Q58" s="20"/>
      <c r="R58" s="21"/>
      <c r="S58" s="22">
        <v>58</v>
      </c>
    </row>
    <row r="59" spans="1:19" x14ac:dyDescent="0.2">
      <c r="C59" t="s">
        <v>197</v>
      </c>
      <c r="D59" t="s">
        <v>198</v>
      </c>
      <c r="E59" s="13">
        <v>7</v>
      </c>
      <c r="F59" s="13">
        <v>2E-3</v>
      </c>
      <c r="G59" s="13">
        <v>0.01</v>
      </c>
      <c r="H59" t="s">
        <v>132</v>
      </c>
      <c r="I59" s="16" t="s">
        <v>233</v>
      </c>
      <c r="Q59" s="20"/>
      <c r="R59" s="21"/>
      <c r="S59" s="22">
        <v>59</v>
      </c>
    </row>
    <row r="60" spans="1:19" x14ac:dyDescent="0.2">
      <c r="C60" t="s">
        <v>199</v>
      </c>
      <c r="D60" t="s">
        <v>97</v>
      </c>
      <c r="E60" s="13">
        <v>5</v>
      </c>
      <c r="F60" s="13">
        <v>4</v>
      </c>
      <c r="G60" s="13" t="s">
        <v>114</v>
      </c>
      <c r="H60" t="s">
        <v>145</v>
      </c>
      <c r="I60" s="16" t="s">
        <v>233</v>
      </c>
      <c r="Q60" s="20"/>
      <c r="R60" s="21"/>
      <c r="S60" s="22">
        <v>60</v>
      </c>
    </row>
    <row r="61" spans="1:19" x14ac:dyDescent="0.2">
      <c r="C61" t="s">
        <v>60</v>
      </c>
      <c r="D61" t="s">
        <v>98</v>
      </c>
      <c r="E61" s="13">
        <v>5</v>
      </c>
      <c r="F61" s="13">
        <v>4</v>
      </c>
      <c r="G61" s="13">
        <v>4</v>
      </c>
      <c r="H61" t="s">
        <v>132</v>
      </c>
      <c r="I61" s="16" t="s">
        <v>233</v>
      </c>
      <c r="Q61" s="20"/>
      <c r="R61" s="21"/>
      <c r="S61" s="22">
        <v>61</v>
      </c>
    </row>
    <row r="62" spans="1:19" x14ac:dyDescent="0.2">
      <c r="C62" t="s">
        <v>200</v>
      </c>
      <c r="D62" t="s">
        <v>99</v>
      </c>
      <c r="E62" s="13">
        <v>4</v>
      </c>
      <c r="F62" s="13">
        <v>1.5</v>
      </c>
      <c r="G62" s="13">
        <v>1.5</v>
      </c>
      <c r="H62" t="s">
        <v>132</v>
      </c>
      <c r="I62" s="16" t="s">
        <v>233</v>
      </c>
      <c r="Q62" s="20"/>
      <c r="R62" s="21"/>
      <c r="S62" s="22">
        <v>62</v>
      </c>
    </row>
    <row r="63" spans="1:19" x14ac:dyDescent="0.2">
      <c r="C63" t="s">
        <v>201</v>
      </c>
      <c r="D63" t="s">
        <v>100</v>
      </c>
      <c r="E63" s="13">
        <v>3</v>
      </c>
      <c r="F63" s="13">
        <v>30</v>
      </c>
      <c r="G63" s="13">
        <v>30</v>
      </c>
      <c r="H63" t="s">
        <v>142</v>
      </c>
      <c r="I63" s="16" t="s">
        <v>233</v>
      </c>
      <c r="Q63" s="20"/>
      <c r="R63" s="21"/>
      <c r="S63" s="22">
        <v>63</v>
      </c>
    </row>
    <row r="64" spans="1:19" x14ac:dyDescent="0.2">
      <c r="C64" t="s">
        <v>202</v>
      </c>
      <c r="D64" t="s">
        <v>101</v>
      </c>
      <c r="E64" s="13">
        <v>5</v>
      </c>
      <c r="F64" s="13">
        <v>30</v>
      </c>
      <c r="G64" s="13">
        <v>30</v>
      </c>
      <c r="H64" t="s">
        <v>138</v>
      </c>
      <c r="I64" s="16" t="s">
        <v>233</v>
      </c>
      <c r="Q64" s="20"/>
      <c r="R64" s="21"/>
      <c r="S64" s="22">
        <v>64</v>
      </c>
    </row>
    <row r="65" spans="3:19" x14ac:dyDescent="0.2">
      <c r="C65" t="s">
        <v>203</v>
      </c>
      <c r="D65" t="s">
        <v>101</v>
      </c>
      <c r="E65" s="13">
        <v>7</v>
      </c>
      <c r="F65" s="13">
        <v>30</v>
      </c>
      <c r="G65" s="13">
        <v>30</v>
      </c>
      <c r="H65" t="s">
        <v>141</v>
      </c>
      <c r="I65" s="16" t="s">
        <v>233</v>
      </c>
      <c r="Q65" s="20"/>
      <c r="R65" s="21"/>
      <c r="S65" s="22">
        <v>65</v>
      </c>
    </row>
    <row r="66" spans="3:19" x14ac:dyDescent="0.2">
      <c r="C66" t="s">
        <v>61</v>
      </c>
      <c r="D66" t="s">
        <v>204</v>
      </c>
      <c r="E66" s="13">
        <v>7</v>
      </c>
      <c r="F66" s="13">
        <v>15</v>
      </c>
      <c r="G66" s="13">
        <v>15</v>
      </c>
      <c r="H66" t="s">
        <v>142</v>
      </c>
      <c r="I66" s="16" t="s">
        <v>233</v>
      </c>
      <c r="Q66" s="20"/>
      <c r="R66" s="21"/>
      <c r="S66" s="22">
        <v>66</v>
      </c>
    </row>
    <row r="67" spans="3:19" x14ac:dyDescent="0.2">
      <c r="C67" t="s">
        <v>205</v>
      </c>
      <c r="D67" t="s">
        <v>206</v>
      </c>
      <c r="E67" s="13">
        <v>5</v>
      </c>
      <c r="F67" s="13">
        <v>3</v>
      </c>
      <c r="G67" s="13">
        <v>3</v>
      </c>
      <c r="H67" t="s">
        <v>131</v>
      </c>
      <c r="I67" s="16" t="s">
        <v>233</v>
      </c>
      <c r="Q67" s="20"/>
      <c r="R67" s="21"/>
      <c r="S67" s="22">
        <v>67</v>
      </c>
    </row>
    <row r="68" spans="3:19" x14ac:dyDescent="0.2">
      <c r="C68" t="s">
        <v>207</v>
      </c>
      <c r="D68" t="s">
        <v>102</v>
      </c>
      <c r="E68" s="13">
        <v>5</v>
      </c>
      <c r="F68" s="13">
        <v>0.01</v>
      </c>
      <c r="G68" s="13">
        <v>0.7</v>
      </c>
      <c r="H68" t="s">
        <v>131</v>
      </c>
      <c r="I68" s="16" t="s">
        <v>233</v>
      </c>
      <c r="Q68" s="20"/>
      <c r="R68" s="21"/>
      <c r="S68" s="22">
        <v>68</v>
      </c>
    </row>
    <row r="69" spans="3:19" x14ac:dyDescent="0.2">
      <c r="C69" t="s">
        <v>208</v>
      </c>
      <c r="D69" t="s">
        <v>103</v>
      </c>
      <c r="E69" s="13">
        <v>0</v>
      </c>
      <c r="F69" s="13">
        <v>0.01</v>
      </c>
      <c r="G69" s="13">
        <v>0.01</v>
      </c>
      <c r="H69" t="s">
        <v>132</v>
      </c>
      <c r="I69" s="16" t="s">
        <v>233</v>
      </c>
      <c r="Q69" s="20"/>
      <c r="R69" s="21"/>
      <c r="S69" s="22">
        <v>69</v>
      </c>
    </row>
    <row r="70" spans="3:19" x14ac:dyDescent="0.2">
      <c r="C70" t="s">
        <v>209</v>
      </c>
      <c r="D70" t="s">
        <v>210</v>
      </c>
      <c r="E70" s="13">
        <v>0</v>
      </c>
      <c r="F70" s="13" t="s">
        <v>119</v>
      </c>
      <c r="G70" s="13" t="s">
        <v>119</v>
      </c>
      <c r="H70" t="s">
        <v>146</v>
      </c>
      <c r="I70" s="16" t="s">
        <v>233</v>
      </c>
      <c r="Q70" s="20"/>
      <c r="R70" s="21"/>
      <c r="S70" s="22">
        <v>70</v>
      </c>
    </row>
    <row r="71" spans="3:19" x14ac:dyDescent="0.2">
      <c r="C71" t="s">
        <v>62</v>
      </c>
      <c r="D71" t="s">
        <v>211</v>
      </c>
      <c r="E71" s="13">
        <v>7</v>
      </c>
      <c r="F71" s="13" t="s">
        <v>127</v>
      </c>
      <c r="G71" s="13" t="s">
        <v>127</v>
      </c>
      <c r="H71" t="s">
        <v>140</v>
      </c>
      <c r="I71" s="16" t="s">
        <v>233</v>
      </c>
      <c r="Q71" s="20"/>
      <c r="R71" s="21"/>
      <c r="S71" s="22">
        <v>71</v>
      </c>
    </row>
    <row r="72" spans="3:19" x14ac:dyDescent="0.2">
      <c r="C72" t="s">
        <v>212</v>
      </c>
      <c r="D72" t="s">
        <v>213</v>
      </c>
      <c r="E72" s="13">
        <v>5</v>
      </c>
      <c r="F72" s="13" t="s">
        <v>128</v>
      </c>
      <c r="G72" s="13" t="s">
        <v>128</v>
      </c>
      <c r="H72" t="s">
        <v>140</v>
      </c>
      <c r="I72" s="16" t="s">
        <v>233</v>
      </c>
      <c r="Q72" s="20"/>
      <c r="R72" s="21"/>
      <c r="S72" s="22">
        <v>72</v>
      </c>
    </row>
    <row r="73" spans="3:19" x14ac:dyDescent="0.2">
      <c r="C73" t="s">
        <v>214</v>
      </c>
      <c r="D73" t="s">
        <v>104</v>
      </c>
      <c r="E73" s="13">
        <v>4</v>
      </c>
      <c r="F73" s="13">
        <v>2</v>
      </c>
      <c r="G73" s="13">
        <v>2</v>
      </c>
      <c r="H73" t="s">
        <v>135</v>
      </c>
      <c r="I73" s="16" t="s">
        <v>233</v>
      </c>
      <c r="Q73" s="20"/>
      <c r="R73" s="21"/>
      <c r="S73" s="22">
        <v>73</v>
      </c>
    </row>
    <row r="74" spans="3:19" x14ac:dyDescent="0.2">
      <c r="C74" t="s">
        <v>63</v>
      </c>
      <c r="D74" t="s">
        <v>104</v>
      </c>
      <c r="E74" s="13">
        <v>5</v>
      </c>
      <c r="F74" s="13">
        <v>2</v>
      </c>
      <c r="G74" s="13">
        <v>2</v>
      </c>
      <c r="H74" t="s">
        <v>132</v>
      </c>
      <c r="I74" s="16" t="s">
        <v>233</v>
      </c>
      <c r="J74" t="s">
        <v>239</v>
      </c>
      <c r="Q74" s="20"/>
      <c r="R74" s="21"/>
      <c r="S74" s="22">
        <v>74</v>
      </c>
    </row>
    <row r="75" spans="3:19" x14ac:dyDescent="0.2">
      <c r="C75" t="s">
        <v>215</v>
      </c>
      <c r="D75" t="s">
        <v>216</v>
      </c>
      <c r="E75" s="13">
        <v>6</v>
      </c>
      <c r="F75" s="13">
        <v>0.01</v>
      </c>
      <c r="G75" s="13">
        <v>0.01</v>
      </c>
      <c r="H75" t="s">
        <v>131</v>
      </c>
      <c r="I75" s="16" t="s">
        <v>233</v>
      </c>
      <c r="Q75" s="20"/>
      <c r="R75" s="21"/>
      <c r="S75" s="22">
        <v>75</v>
      </c>
    </row>
    <row r="76" spans="3:19" x14ac:dyDescent="0.2">
      <c r="C76" t="s">
        <v>217</v>
      </c>
      <c r="D76" t="s">
        <v>71</v>
      </c>
      <c r="E76" s="13">
        <v>10</v>
      </c>
      <c r="F76" s="13">
        <v>0.01</v>
      </c>
      <c r="G76" s="13">
        <v>0.05</v>
      </c>
      <c r="H76" t="s">
        <v>130</v>
      </c>
      <c r="I76" s="16" t="s">
        <v>233</v>
      </c>
      <c r="Q76" s="20"/>
      <c r="R76" s="21"/>
      <c r="S76" s="22">
        <v>76</v>
      </c>
    </row>
    <row r="77" spans="3:19" x14ac:dyDescent="0.2">
      <c r="C77" t="s">
        <v>64</v>
      </c>
      <c r="D77" t="s">
        <v>218</v>
      </c>
      <c r="E77" s="13">
        <v>7</v>
      </c>
      <c r="F77" s="15">
        <v>2E-3</v>
      </c>
      <c r="G77" s="13">
        <v>0.01</v>
      </c>
      <c r="H77" t="s">
        <v>132</v>
      </c>
      <c r="I77" s="16" t="s">
        <v>233</v>
      </c>
      <c r="Q77" s="20"/>
      <c r="R77" s="21"/>
      <c r="S77" s="22">
        <v>77</v>
      </c>
    </row>
    <row r="78" spans="3:19" x14ac:dyDescent="0.2">
      <c r="C78" t="s">
        <v>219</v>
      </c>
      <c r="D78" t="s">
        <v>76</v>
      </c>
      <c r="E78" s="13" t="s">
        <v>108</v>
      </c>
      <c r="F78" s="13" t="s">
        <v>112</v>
      </c>
      <c r="G78" s="13" t="s">
        <v>113</v>
      </c>
      <c r="I78" s="16" t="s">
        <v>233</v>
      </c>
      <c r="Q78" s="20"/>
      <c r="R78" s="21"/>
      <c r="S78" s="22">
        <v>78</v>
      </c>
    </row>
    <row r="79" spans="3:19" x14ac:dyDescent="0.2">
      <c r="C79" t="s">
        <v>65</v>
      </c>
      <c r="D79" t="s">
        <v>105</v>
      </c>
      <c r="E79" s="13">
        <v>45</v>
      </c>
      <c r="F79" s="13">
        <v>1.5</v>
      </c>
      <c r="G79" s="13">
        <v>0.9</v>
      </c>
      <c r="H79" t="s">
        <v>141</v>
      </c>
      <c r="I79" s="16" t="s">
        <v>233</v>
      </c>
      <c r="J79" t="s">
        <v>53</v>
      </c>
      <c r="Q79" s="20"/>
      <c r="R79" s="21"/>
      <c r="S79" s="22">
        <v>79</v>
      </c>
    </row>
    <row r="80" spans="3:19" x14ac:dyDescent="0.2">
      <c r="C80" t="s">
        <v>23</v>
      </c>
      <c r="D80" t="s">
        <v>73</v>
      </c>
      <c r="E80" s="13">
        <v>7</v>
      </c>
      <c r="F80" s="13">
        <v>0.01</v>
      </c>
      <c r="G80" s="13">
        <v>7</v>
      </c>
      <c r="H80" t="s">
        <v>132</v>
      </c>
      <c r="I80" s="16" t="s">
        <v>233</v>
      </c>
      <c r="Q80" s="20"/>
      <c r="R80" s="21"/>
      <c r="S80" s="22">
        <v>80</v>
      </c>
    </row>
    <row r="81" spans="3:19" x14ac:dyDescent="0.2">
      <c r="C81" t="s">
        <v>221</v>
      </c>
      <c r="D81" t="s">
        <v>220</v>
      </c>
      <c r="E81" s="13">
        <v>5</v>
      </c>
      <c r="F81" s="13">
        <v>0.2</v>
      </c>
      <c r="G81" s="13">
        <v>0.2</v>
      </c>
      <c r="H81" t="s">
        <v>132</v>
      </c>
      <c r="I81" s="16" t="s">
        <v>233</v>
      </c>
      <c r="Q81" s="20"/>
      <c r="R81" s="21"/>
      <c r="S81" s="22">
        <v>81</v>
      </c>
    </row>
    <row r="82" spans="3:19" x14ac:dyDescent="0.2">
      <c r="C82" t="s">
        <v>24</v>
      </c>
      <c r="D82" t="s">
        <v>222</v>
      </c>
      <c r="E82" s="13">
        <v>6</v>
      </c>
      <c r="F82" s="13">
        <v>0.01</v>
      </c>
      <c r="G82" s="13">
        <v>0.01</v>
      </c>
      <c r="H82" t="s">
        <v>131</v>
      </c>
      <c r="I82" s="16" t="s">
        <v>233</v>
      </c>
      <c r="Q82" s="20"/>
      <c r="R82" s="21"/>
      <c r="S82" s="22">
        <v>82</v>
      </c>
    </row>
    <row r="83" spans="3:19" x14ac:dyDescent="0.2">
      <c r="C83" t="s">
        <v>27</v>
      </c>
      <c r="D83" t="s">
        <v>98</v>
      </c>
      <c r="E83" s="13">
        <v>5</v>
      </c>
      <c r="F83" s="13">
        <v>4</v>
      </c>
      <c r="G83" s="13">
        <v>4</v>
      </c>
      <c r="H83" t="s">
        <v>132</v>
      </c>
      <c r="I83" s="16" t="s">
        <v>233</v>
      </c>
      <c r="Q83" s="20"/>
      <c r="R83" s="21"/>
      <c r="S83" s="22">
        <v>83</v>
      </c>
    </row>
    <row r="84" spans="3:19" x14ac:dyDescent="0.2">
      <c r="C84" t="s">
        <v>66</v>
      </c>
      <c r="D84" t="s">
        <v>223</v>
      </c>
      <c r="E84" s="13"/>
      <c r="F84" s="13"/>
      <c r="G84" s="13"/>
      <c r="H84" t="s">
        <v>131</v>
      </c>
      <c r="I84" s="16" t="s">
        <v>233</v>
      </c>
      <c r="Q84" s="20"/>
      <c r="R84" s="21"/>
      <c r="S84" s="22">
        <v>84</v>
      </c>
    </row>
    <row r="85" spans="3:19" x14ac:dyDescent="0.2">
      <c r="C85" t="s">
        <v>67</v>
      </c>
      <c r="D85" t="s">
        <v>91</v>
      </c>
      <c r="E85" s="13"/>
      <c r="F85" s="13"/>
      <c r="G85" s="13"/>
      <c r="H85" t="s">
        <v>131</v>
      </c>
      <c r="I85" s="16" t="s">
        <v>233</v>
      </c>
      <c r="Q85" s="20"/>
      <c r="R85" s="21"/>
      <c r="S85" s="22">
        <v>85</v>
      </c>
    </row>
    <row r="86" spans="3:19" x14ac:dyDescent="0.2">
      <c r="C86" t="s">
        <v>26</v>
      </c>
      <c r="D86" t="s">
        <v>224</v>
      </c>
      <c r="E86" s="13"/>
      <c r="F86" s="13"/>
      <c r="G86" s="13"/>
      <c r="H86" t="s">
        <v>131</v>
      </c>
      <c r="I86" s="16" t="s">
        <v>233</v>
      </c>
      <c r="Q86" s="20"/>
      <c r="R86" s="21"/>
      <c r="S86" s="22">
        <v>86</v>
      </c>
    </row>
    <row r="87" spans="3:19" x14ac:dyDescent="0.2">
      <c r="C87" t="s">
        <v>68</v>
      </c>
      <c r="D87" t="s">
        <v>225</v>
      </c>
      <c r="E87" s="13">
        <v>5</v>
      </c>
      <c r="F87" s="13">
        <v>3</v>
      </c>
      <c r="G87" s="13">
        <v>3</v>
      </c>
      <c r="H87" t="s">
        <v>140</v>
      </c>
      <c r="I87" s="16" t="s">
        <v>233</v>
      </c>
      <c r="Q87" s="20"/>
      <c r="R87" s="21"/>
      <c r="S87" s="22">
        <v>87</v>
      </c>
    </row>
    <row r="88" spans="3:19" x14ac:dyDescent="0.2">
      <c r="C88" t="s">
        <v>226</v>
      </c>
      <c r="D88" t="s">
        <v>227</v>
      </c>
      <c r="E88" s="13">
        <v>7</v>
      </c>
      <c r="F88" s="13">
        <v>2E-3</v>
      </c>
      <c r="G88" s="13">
        <v>0.01</v>
      </c>
      <c r="H88" t="s">
        <v>132</v>
      </c>
      <c r="I88" s="16" t="s">
        <v>233</v>
      </c>
      <c r="Q88" s="20"/>
      <c r="R88" s="21"/>
      <c r="S88" s="22">
        <v>88</v>
      </c>
    </row>
    <row r="89" spans="3:19" x14ac:dyDescent="0.2">
      <c r="C89" t="s">
        <v>228</v>
      </c>
      <c r="D89" t="s">
        <v>229</v>
      </c>
      <c r="E89" s="13"/>
      <c r="F89" s="13"/>
      <c r="G89" s="13"/>
      <c r="H89" t="s">
        <v>147</v>
      </c>
      <c r="I89" s="16" t="s">
        <v>233</v>
      </c>
      <c r="Q89" s="20"/>
      <c r="R89" s="21"/>
      <c r="S89" s="22">
        <v>89</v>
      </c>
    </row>
    <row r="90" spans="3:19" x14ac:dyDescent="0.2">
      <c r="C90" t="s">
        <v>69</v>
      </c>
      <c r="D90" t="s">
        <v>230</v>
      </c>
      <c r="E90" s="13"/>
      <c r="F90" s="13"/>
      <c r="G90" s="13"/>
      <c r="H90" t="s">
        <v>148</v>
      </c>
      <c r="I90" s="16" t="s">
        <v>233</v>
      </c>
      <c r="Q90" s="20"/>
      <c r="R90" s="21"/>
      <c r="S90" s="22">
        <v>90</v>
      </c>
    </row>
    <row r="91" spans="3:19" x14ac:dyDescent="0.2">
      <c r="C91" t="s">
        <v>70</v>
      </c>
      <c r="D91" t="s">
        <v>231</v>
      </c>
      <c r="E91" s="13"/>
      <c r="F91" s="13"/>
      <c r="G91" s="13"/>
      <c r="H91" t="s">
        <v>142</v>
      </c>
      <c r="I91" s="16" t="s">
        <v>233</v>
      </c>
      <c r="Q91" s="20"/>
      <c r="R91" s="21"/>
      <c r="S91" s="22">
        <v>91</v>
      </c>
    </row>
    <row r="92" spans="3:19" x14ac:dyDescent="0.2">
      <c r="E92" s="13"/>
      <c r="F92" s="13"/>
      <c r="G92" s="13"/>
      <c r="Q92" s="20"/>
      <c r="R92" s="21"/>
      <c r="S92" s="22">
        <v>92</v>
      </c>
    </row>
    <row r="93" spans="3:19" x14ac:dyDescent="0.2">
      <c r="Q93" s="20"/>
      <c r="R93" s="21"/>
      <c r="S93" s="22">
        <v>93</v>
      </c>
    </row>
    <row r="94" spans="3:19" x14ac:dyDescent="0.2">
      <c r="Q94" s="20"/>
      <c r="R94" s="21"/>
      <c r="S94" s="22">
        <v>94</v>
      </c>
    </row>
    <row r="95" spans="3:19" x14ac:dyDescent="0.2">
      <c r="Q95" s="20"/>
      <c r="R95" s="21"/>
      <c r="S95" s="22">
        <v>95</v>
      </c>
    </row>
    <row r="96" spans="3:19" x14ac:dyDescent="0.2">
      <c r="Q96" s="20"/>
      <c r="R96" s="21"/>
      <c r="S96" s="22">
        <v>96</v>
      </c>
    </row>
    <row r="97" spans="17:19" x14ac:dyDescent="0.2">
      <c r="Q97" s="20"/>
      <c r="R97" s="21"/>
      <c r="S97" s="22">
        <v>97</v>
      </c>
    </row>
    <row r="98" spans="17:19" x14ac:dyDescent="0.2">
      <c r="Q98" s="20"/>
      <c r="R98" s="21"/>
      <c r="S98" s="22">
        <v>98</v>
      </c>
    </row>
    <row r="99" spans="17:19" x14ac:dyDescent="0.2">
      <c r="Q99" s="20"/>
      <c r="R99" s="21"/>
      <c r="S99" s="22">
        <v>99</v>
      </c>
    </row>
    <row r="100" spans="17:19" x14ac:dyDescent="0.2">
      <c r="Q100" s="20"/>
      <c r="R100" s="21"/>
      <c r="S100" s="22">
        <v>100</v>
      </c>
    </row>
    <row r="101" spans="17:19" x14ac:dyDescent="0.2">
      <c r="Q101" s="20"/>
      <c r="R101" s="21"/>
      <c r="S101" s="22">
        <v>101</v>
      </c>
    </row>
    <row r="102" spans="17:19" x14ac:dyDescent="0.2">
      <c r="Q102" s="20"/>
      <c r="R102" s="21"/>
      <c r="S102" s="22">
        <v>102</v>
      </c>
    </row>
    <row r="103" spans="17:19" x14ac:dyDescent="0.2">
      <c r="Q103" s="20"/>
      <c r="R103" s="21"/>
      <c r="S103" s="22">
        <v>103</v>
      </c>
    </row>
    <row r="104" spans="17:19" x14ac:dyDescent="0.2">
      <c r="Q104" s="20"/>
      <c r="R104" s="21"/>
      <c r="S104" s="22">
        <v>104</v>
      </c>
    </row>
    <row r="105" spans="17:19" x14ac:dyDescent="0.2">
      <c r="Q105" s="20"/>
      <c r="R105" s="21"/>
      <c r="S105" s="22">
        <v>105</v>
      </c>
    </row>
    <row r="106" spans="17:19" x14ac:dyDescent="0.2">
      <c r="Q106" s="20"/>
      <c r="R106" s="21"/>
      <c r="S106" s="22">
        <v>106</v>
      </c>
    </row>
    <row r="107" spans="17:19" x14ac:dyDescent="0.2">
      <c r="Q107" s="20"/>
      <c r="R107" s="21"/>
      <c r="S107" s="22">
        <v>107</v>
      </c>
    </row>
    <row r="108" spans="17:19" x14ac:dyDescent="0.2">
      <c r="Q108" s="20"/>
      <c r="R108" s="21"/>
      <c r="S108" s="22">
        <v>108</v>
      </c>
    </row>
    <row r="109" spans="17:19" x14ac:dyDescent="0.2">
      <c r="Q109" s="20"/>
      <c r="R109" s="21"/>
      <c r="S109" s="22">
        <v>109</v>
      </c>
    </row>
    <row r="110" spans="17:19" x14ac:dyDescent="0.2">
      <c r="Q110" s="20"/>
      <c r="R110" s="21"/>
      <c r="S110" s="22">
        <v>110</v>
      </c>
    </row>
    <row r="111" spans="17:19" x14ac:dyDescent="0.2">
      <c r="Q111" s="20"/>
      <c r="R111" s="21"/>
      <c r="S111" s="22">
        <v>111</v>
      </c>
    </row>
    <row r="112" spans="17:19" x14ac:dyDescent="0.2">
      <c r="Q112" s="20"/>
      <c r="R112" s="21"/>
      <c r="S112" s="22">
        <v>112</v>
      </c>
    </row>
    <row r="113" spans="17:19" x14ac:dyDescent="0.2">
      <c r="Q113" s="20"/>
      <c r="R113" s="21"/>
      <c r="S113" s="22">
        <v>113</v>
      </c>
    </row>
    <row r="114" spans="17:19" x14ac:dyDescent="0.2">
      <c r="Q114" s="20"/>
      <c r="R114" s="21"/>
      <c r="S114" s="22">
        <v>114</v>
      </c>
    </row>
    <row r="115" spans="17:19" x14ac:dyDescent="0.2">
      <c r="Q115" s="20"/>
      <c r="R115" s="21"/>
      <c r="S115" s="22">
        <v>115</v>
      </c>
    </row>
    <row r="116" spans="17:19" x14ac:dyDescent="0.2">
      <c r="Q116" s="20"/>
      <c r="R116" s="21"/>
      <c r="S116" s="22">
        <v>116</v>
      </c>
    </row>
    <row r="117" spans="17:19" x14ac:dyDescent="0.2">
      <c r="Q117" s="20"/>
      <c r="R117" s="21"/>
      <c r="S117" s="22">
        <v>117</v>
      </c>
    </row>
    <row r="118" spans="17:19" x14ac:dyDescent="0.2">
      <c r="Q118" s="20"/>
      <c r="R118" s="21"/>
      <c r="S118" s="22">
        <v>118</v>
      </c>
    </row>
    <row r="119" spans="17:19" x14ac:dyDescent="0.2">
      <c r="Q119" s="20"/>
      <c r="R119" s="21"/>
      <c r="S119" s="22">
        <v>119</v>
      </c>
    </row>
    <row r="120" spans="17:19" x14ac:dyDescent="0.2">
      <c r="Q120" s="20"/>
      <c r="R120" s="21"/>
      <c r="S120" s="22">
        <v>120</v>
      </c>
    </row>
    <row r="121" spans="17:19" x14ac:dyDescent="0.2">
      <c r="Q121" s="20"/>
      <c r="R121" s="21"/>
      <c r="S121" s="22">
        <v>121</v>
      </c>
    </row>
    <row r="122" spans="17:19" x14ac:dyDescent="0.2">
      <c r="Q122" s="20"/>
      <c r="R122" s="21"/>
      <c r="S122" s="22">
        <v>122</v>
      </c>
    </row>
    <row r="123" spans="17:19" x14ac:dyDescent="0.2">
      <c r="Q123" s="20"/>
      <c r="R123" s="21"/>
      <c r="S123" s="22">
        <v>123</v>
      </c>
    </row>
    <row r="124" spans="17:19" x14ac:dyDescent="0.2">
      <c r="Q124" s="20"/>
      <c r="R124" s="21"/>
      <c r="S124" s="22">
        <v>124</v>
      </c>
    </row>
    <row r="125" spans="17:19" x14ac:dyDescent="0.2">
      <c r="Q125" s="20"/>
      <c r="R125" s="21"/>
      <c r="S125" s="22">
        <v>125</v>
      </c>
    </row>
    <row r="126" spans="17:19" x14ac:dyDescent="0.2">
      <c r="Q126" s="20"/>
      <c r="R126" s="21"/>
      <c r="S126" s="22">
        <v>126</v>
      </c>
    </row>
    <row r="127" spans="17:19" x14ac:dyDescent="0.2">
      <c r="Q127" s="20"/>
      <c r="R127" s="21"/>
      <c r="S127" s="22">
        <v>127</v>
      </c>
    </row>
    <row r="128" spans="17:19" x14ac:dyDescent="0.2">
      <c r="Q128" s="20"/>
      <c r="R128" s="21"/>
      <c r="S128" s="22">
        <v>128</v>
      </c>
    </row>
    <row r="129" spans="17:19" x14ac:dyDescent="0.2">
      <c r="Q129" s="20"/>
      <c r="R129" s="21"/>
      <c r="S129" s="22">
        <v>129</v>
      </c>
    </row>
    <row r="130" spans="17:19" x14ac:dyDescent="0.2">
      <c r="Q130" s="20"/>
      <c r="R130" s="21"/>
      <c r="S130" s="22">
        <v>130</v>
      </c>
    </row>
    <row r="131" spans="17:19" x14ac:dyDescent="0.2">
      <c r="Q131" s="20"/>
      <c r="R131" s="21"/>
      <c r="S131" s="22">
        <v>131</v>
      </c>
    </row>
    <row r="132" spans="17:19" x14ac:dyDescent="0.2">
      <c r="Q132" s="20"/>
      <c r="R132" s="21"/>
      <c r="S132" s="22">
        <v>132</v>
      </c>
    </row>
    <row r="133" spans="17:19" x14ac:dyDescent="0.2">
      <c r="Q133" s="20"/>
      <c r="R133" s="21"/>
      <c r="S133" s="22">
        <v>133</v>
      </c>
    </row>
    <row r="134" spans="17:19" x14ac:dyDescent="0.2">
      <c r="Q134" s="20"/>
      <c r="R134" s="21"/>
      <c r="S134" s="22">
        <v>134</v>
      </c>
    </row>
    <row r="135" spans="17:19" x14ac:dyDescent="0.2">
      <c r="Q135" s="20"/>
      <c r="R135" s="21"/>
      <c r="S135" s="22">
        <v>135</v>
      </c>
    </row>
    <row r="136" spans="17:19" x14ac:dyDescent="0.2">
      <c r="Q136" s="20"/>
      <c r="R136" s="21"/>
      <c r="S136" s="22">
        <v>136</v>
      </c>
    </row>
    <row r="137" spans="17:19" x14ac:dyDescent="0.2">
      <c r="Q137" s="20"/>
      <c r="R137" s="21"/>
      <c r="S137" s="22">
        <v>137</v>
      </c>
    </row>
    <row r="138" spans="17:19" x14ac:dyDescent="0.2">
      <c r="Q138" s="20"/>
      <c r="R138" s="21"/>
      <c r="S138" s="22">
        <v>138</v>
      </c>
    </row>
    <row r="139" spans="17:19" x14ac:dyDescent="0.2">
      <c r="Q139" s="20"/>
      <c r="R139" s="21"/>
      <c r="S139" s="22">
        <v>139</v>
      </c>
    </row>
    <row r="140" spans="17:19" x14ac:dyDescent="0.2">
      <c r="Q140" s="20"/>
      <c r="R140" s="21"/>
      <c r="S140" s="22">
        <v>140</v>
      </c>
    </row>
    <row r="141" spans="17:19" x14ac:dyDescent="0.2">
      <c r="Q141" s="20"/>
      <c r="R141" s="21"/>
      <c r="S141" s="22">
        <v>141</v>
      </c>
    </row>
    <row r="142" spans="17:19" x14ac:dyDescent="0.2">
      <c r="Q142" s="20"/>
      <c r="R142" s="21"/>
      <c r="S142" s="22">
        <v>142</v>
      </c>
    </row>
    <row r="143" spans="17:19" x14ac:dyDescent="0.2">
      <c r="Q143" s="20"/>
      <c r="R143" s="21"/>
      <c r="S143" s="22">
        <v>143</v>
      </c>
    </row>
    <row r="144" spans="17:19" x14ac:dyDescent="0.2">
      <c r="Q144" s="20"/>
      <c r="R144" s="21"/>
      <c r="S144" s="22">
        <v>144</v>
      </c>
    </row>
    <row r="145" spans="17:19" x14ac:dyDescent="0.2">
      <c r="Q145" s="20"/>
      <c r="R145" s="21"/>
      <c r="S145" s="22">
        <v>145</v>
      </c>
    </row>
    <row r="146" spans="17:19" x14ac:dyDescent="0.2">
      <c r="Q146" s="20"/>
      <c r="R146" s="21"/>
      <c r="S146" s="22">
        <v>146</v>
      </c>
    </row>
    <row r="147" spans="17:19" x14ac:dyDescent="0.2">
      <c r="Q147" s="20"/>
      <c r="R147" s="21"/>
      <c r="S147" s="22">
        <v>147</v>
      </c>
    </row>
    <row r="148" spans="17:19" x14ac:dyDescent="0.2">
      <c r="Q148" s="20"/>
      <c r="R148" s="21"/>
      <c r="S148" s="22">
        <v>148</v>
      </c>
    </row>
    <row r="149" spans="17:19" x14ac:dyDescent="0.2">
      <c r="Q149" s="20"/>
      <c r="R149" s="21"/>
      <c r="S149" s="22">
        <v>149</v>
      </c>
    </row>
    <row r="150" spans="17:19" x14ac:dyDescent="0.2">
      <c r="Q150" s="20"/>
      <c r="R150" s="21"/>
      <c r="S150" s="22">
        <v>150</v>
      </c>
    </row>
    <row r="151" spans="17:19" x14ac:dyDescent="0.2">
      <c r="Q151" s="20"/>
      <c r="R151" s="21"/>
      <c r="S151" s="22">
        <v>151</v>
      </c>
    </row>
    <row r="152" spans="17:19" x14ac:dyDescent="0.2">
      <c r="Q152" s="20"/>
      <c r="R152" s="21"/>
      <c r="S152" s="22">
        <v>152</v>
      </c>
    </row>
    <row r="153" spans="17:19" x14ac:dyDescent="0.2">
      <c r="Q153" s="20"/>
      <c r="R153" s="21"/>
      <c r="S153" s="22">
        <v>153</v>
      </c>
    </row>
    <row r="154" spans="17:19" x14ac:dyDescent="0.2">
      <c r="Q154" s="20"/>
      <c r="R154" s="21"/>
      <c r="S154" s="22">
        <v>154</v>
      </c>
    </row>
    <row r="155" spans="17:19" x14ac:dyDescent="0.2">
      <c r="Q155" s="20"/>
      <c r="R155" s="21"/>
      <c r="S155" s="22">
        <v>155</v>
      </c>
    </row>
    <row r="156" spans="17:19" x14ac:dyDescent="0.2">
      <c r="Q156" s="20"/>
      <c r="R156" s="21"/>
      <c r="S156" s="22">
        <v>156</v>
      </c>
    </row>
    <row r="157" spans="17:19" x14ac:dyDescent="0.2">
      <c r="Q157" s="20"/>
      <c r="R157" s="21"/>
      <c r="S157" s="22">
        <v>157</v>
      </c>
    </row>
    <row r="158" spans="17:19" x14ac:dyDescent="0.2">
      <c r="Q158" s="20"/>
      <c r="R158" s="21"/>
      <c r="S158" s="22">
        <v>158</v>
      </c>
    </row>
    <row r="159" spans="17:19" x14ac:dyDescent="0.2">
      <c r="Q159" s="20"/>
      <c r="R159" s="21"/>
      <c r="S159" s="22">
        <v>159</v>
      </c>
    </row>
    <row r="160" spans="17:19" x14ac:dyDescent="0.2">
      <c r="Q160" s="23"/>
      <c r="R160" s="24"/>
      <c r="S160" s="25">
        <v>160</v>
      </c>
    </row>
  </sheetData>
  <autoFilter ref="C1:C160" xr:uid="{58637D46-FB85-41D9-A075-637D9DDBF4F4}"/>
  <pageMargins left="0.7" right="0.7" top="0.75" bottom="0.75" header="0.3" footer="0.3"/>
  <ignoredErrors>
    <ignoredError sqref="E84:G86 G53 G58 G60 E78:G78 E89:G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2E54-A9C0-4911-A8CB-AF2C9C3C6230}">
  <dimension ref="A1:X1339"/>
  <sheetViews>
    <sheetView tabSelected="1" topLeftCell="N1" zoomScale="114" workbookViewId="0">
      <selection activeCell="N84" sqref="N84"/>
    </sheetView>
  </sheetViews>
  <sheetFormatPr defaultColWidth="9.01171875" defaultRowHeight="15" x14ac:dyDescent="0.2"/>
  <cols>
    <col min="1" max="1" width="13.5859375" style="6" customWidth="1"/>
    <col min="2" max="2" width="6.58984375" style="5" customWidth="1"/>
    <col min="3" max="3" width="8.609375"/>
    <col min="4" max="4" width="9.01171875" style="5"/>
    <col min="5" max="5" width="11.703125" style="5" customWidth="1"/>
    <col min="6" max="6" width="10.4921875" style="5" customWidth="1"/>
    <col min="7" max="7" width="14.2578125" customWidth="1"/>
    <col min="8" max="8" width="14.2578125" style="31" customWidth="1"/>
    <col min="9" max="9" width="17.3515625" style="5" customWidth="1"/>
    <col min="10" max="10" width="19.50390625" customWidth="1"/>
    <col min="11" max="11" width="13.98828125" style="5" bestFit="1" customWidth="1"/>
    <col min="12" max="12" width="21.1171875" style="5" bestFit="1" customWidth="1"/>
    <col min="13" max="13" width="14.796875" style="5" customWidth="1"/>
    <col min="14" max="14" width="19.63671875" customWidth="1"/>
    <col min="15" max="15" width="7.3984375" customWidth="1"/>
    <col min="16" max="16" width="9.68359375" customWidth="1"/>
    <col min="17" max="17" width="22.734375" style="9" customWidth="1"/>
    <col min="18" max="18" width="10.22265625" customWidth="1"/>
    <col min="19" max="19" width="12.23828125" style="26" bestFit="1" customWidth="1"/>
    <col min="20" max="16384" width="9.01171875" style="5"/>
  </cols>
  <sheetData>
    <row r="1" spans="1:19" x14ac:dyDescent="0.2">
      <c r="A1" s="3" t="s">
        <v>0</v>
      </c>
      <c r="B1" s="4" t="s">
        <v>1</v>
      </c>
      <c r="C1" s="7" t="s">
        <v>14</v>
      </c>
      <c r="D1" s="4" t="s">
        <v>2</v>
      </c>
      <c r="E1" s="4" t="s">
        <v>3</v>
      </c>
      <c r="F1" s="4" t="s">
        <v>4</v>
      </c>
      <c r="G1" s="7" t="s">
        <v>7</v>
      </c>
      <c r="H1" s="30" t="s">
        <v>238</v>
      </c>
      <c r="I1" s="4" t="s">
        <v>5</v>
      </c>
      <c r="J1" s="7" t="s">
        <v>6</v>
      </c>
      <c r="K1" s="4" t="s">
        <v>12</v>
      </c>
      <c r="L1" s="4" t="s">
        <v>8</v>
      </c>
      <c r="M1" s="4" t="s">
        <v>49</v>
      </c>
      <c r="N1" s="7" t="s">
        <v>9</v>
      </c>
      <c r="O1" s="7" t="s">
        <v>10</v>
      </c>
      <c r="P1" s="7" t="s">
        <v>11</v>
      </c>
      <c r="Q1" s="8" t="s">
        <v>13</v>
      </c>
      <c r="R1" s="7" t="s">
        <v>51</v>
      </c>
      <c r="S1" s="29" t="s">
        <v>236</v>
      </c>
    </row>
    <row r="2" spans="1:19" x14ac:dyDescent="0.2">
      <c r="A2" s="6">
        <v>46143</v>
      </c>
      <c r="B2" s="5">
        <v>1</v>
      </c>
      <c r="C2">
        <f>_xlfn.XLOOKUP(B2,Lists!B:B,Lists!A:A,"")</f>
        <v>1</v>
      </c>
      <c r="D2" s="5" t="s">
        <v>234</v>
      </c>
      <c r="E2" s="5">
        <v>1</v>
      </c>
      <c r="F2" s="5">
        <v>160</v>
      </c>
      <c r="G2">
        <f>IF(OR(E2="",F2=""),"",F2-E2+1)</f>
        <v>160</v>
      </c>
      <c r="H2" s="31">
        <f t="shared" ref="H2:H3" si="0">IF(D2="","",IF(OR(D2="A",D2="B"),G2/80,IF(D2="A&amp;B",G2/160,"")))</f>
        <v>1</v>
      </c>
      <c r="I2" s="5" t="s">
        <v>65</v>
      </c>
      <c r="J2" t="str">
        <f>IF(I2="","",_xlfn.XLOOKUP(I2,Lists!$C:$C,Lists!$D:$D))</f>
        <v>Tebuconazole 25%</v>
      </c>
      <c r="K2" s="5" t="s">
        <v>52</v>
      </c>
      <c r="L2" s="5">
        <v>100</v>
      </c>
      <c r="M2" s="5">
        <v>900</v>
      </c>
      <c r="N2">
        <f>IF(OR(M2="",L2=""),"",(M2*L2)/100000)</f>
        <v>0.9</v>
      </c>
      <c r="O2" t="str">
        <f>IF(I2="","",_xlfn.XLOOKUP(I2,Lists!$C:$C,Lists!$J:$J))</f>
        <v>L</v>
      </c>
      <c r="P2">
        <f>IF(I2="","",_xlfn.XLOOKUP(I2,Lists!$C:$C,Lists!$E:$E))</f>
        <v>45</v>
      </c>
      <c r="Q2" s="9">
        <f>IF(OR(A2="",P2=""),"",A2+P2+1)</f>
        <v>46189</v>
      </c>
      <c r="R2" t="str">
        <f ca="1">IF(Q2="","",IF(Q2&lt;=TODAY(),"Allow","Not Allow"))</f>
        <v>Allow</v>
      </c>
      <c r="S2" s="26" t="str">
        <f>IF(I2="","",_xlfn.XLOOKUP(I2,Lists!$C:$C,Lists!$I:$I))</f>
        <v>On-Label</v>
      </c>
    </row>
    <row r="3" spans="1:19" x14ac:dyDescent="0.2">
      <c r="A3" s="6">
        <v>46145</v>
      </c>
      <c r="B3" s="5">
        <v>2</v>
      </c>
      <c r="C3" s="26">
        <f>_xlfn.XLOOKUP(B3,Lists!B:B,Lists!A:A,"")</f>
        <v>1</v>
      </c>
      <c r="D3" s="5" t="s">
        <v>234</v>
      </c>
      <c r="E3" s="5">
        <v>1</v>
      </c>
      <c r="F3" s="5">
        <v>160</v>
      </c>
      <c r="G3" s="26">
        <f>IF(OR(E3="",F3=""),"",F3-E3+1)</f>
        <v>160</v>
      </c>
      <c r="H3" s="32">
        <f t="shared" si="0"/>
        <v>1</v>
      </c>
      <c r="I3" s="5" t="s">
        <v>65</v>
      </c>
      <c r="J3" s="27" t="str">
        <f>IF(I3="","",_xlfn.XLOOKUP(I3,Lists!$C:$C,Lists!$D:$D))</f>
        <v>Tebuconazole 25%</v>
      </c>
      <c r="K3" s="5" t="s">
        <v>52</v>
      </c>
      <c r="L3" s="5">
        <v>100</v>
      </c>
      <c r="M3" s="5">
        <v>900</v>
      </c>
      <c r="N3" s="26">
        <f>IF(OR(M3="",L3=""),"",(M3*L3)/100000)</f>
        <v>0.9</v>
      </c>
      <c r="O3" s="26" t="str">
        <f>IF(I3="","",_xlfn.XLOOKUP(I3,Lists!$C:$C,Lists!$J:$J))</f>
        <v>L</v>
      </c>
      <c r="P3" s="26">
        <f>IF(I3="","",_xlfn.XLOOKUP(I3,Lists!$C:$C,Lists!$E:$E))</f>
        <v>45</v>
      </c>
      <c r="Q3" s="28">
        <f>IF(OR(A3="",P3=""),"",A3+P3+1)</f>
        <v>46191</v>
      </c>
      <c r="R3" s="26" t="str">
        <f ca="1">IF(Q3="","",IF(Q3&lt;=TODAY(),"Allow","Not Allow"))</f>
        <v>Not Allow</v>
      </c>
      <c r="S3" s="26" t="str">
        <f>IF(I3="","",_xlfn.XLOOKUP(I3,Lists!$C:$C,Lists!$I:$I))</f>
        <v>On-Label</v>
      </c>
    </row>
    <row r="4" spans="1:19" x14ac:dyDescent="0.2">
      <c r="A4" s="6">
        <v>46145</v>
      </c>
      <c r="B4" s="5">
        <v>11</v>
      </c>
      <c r="C4" s="26">
        <f>_xlfn.XLOOKUP(B4,Lists!B:B,Lists!A:A,"")</f>
        <v>2</v>
      </c>
      <c r="D4" s="5" t="s">
        <v>234</v>
      </c>
      <c r="E4" s="5">
        <v>1</v>
      </c>
      <c r="F4" s="5">
        <v>160</v>
      </c>
      <c r="G4" s="26">
        <f>IF(OR(E4="",F4=""),"",F4-E4+1)</f>
        <v>160</v>
      </c>
      <c r="H4" s="31">
        <f>IF(D4="","",IF(OR(D4="A",D4="B"),G4/80,IF(D4="A&amp;B",G4/160,"")))</f>
        <v>1</v>
      </c>
      <c r="I4" s="5" t="s">
        <v>65</v>
      </c>
      <c r="J4" s="27" t="str">
        <f>IF(I4="","",_xlfn.XLOOKUP(I4,Lists!$C:$C,Lists!$D:$D))</f>
        <v>Tebuconazole 25%</v>
      </c>
      <c r="K4" s="5" t="s">
        <v>52</v>
      </c>
      <c r="L4" s="5">
        <v>100</v>
      </c>
      <c r="M4" s="5">
        <v>900</v>
      </c>
      <c r="N4" s="26">
        <f>IF(OR(M4="",L4=""),"",(M4*L4)/100000)</f>
        <v>0.9</v>
      </c>
      <c r="O4" s="27" t="str">
        <f>IF(I4="","",_xlfn.XLOOKUP(I4,Lists!$C:$C,Lists!$J:$J))</f>
        <v>L</v>
      </c>
      <c r="P4" s="27">
        <f>IF(I4="","",_xlfn.XLOOKUP(I4,Lists!$C:$C,Lists!$E:$E))</f>
        <v>45</v>
      </c>
      <c r="Q4" s="28">
        <f>IF(OR(A4="",P4=""),"",A4+P4+1)</f>
        <v>46191</v>
      </c>
      <c r="R4" s="26" t="str">
        <f ca="1">IF(Q4="","",IF(Q4&lt;=TODAY(),"Allow","Not Allow"))</f>
        <v>Not Allow</v>
      </c>
      <c r="S4" s="27" t="str">
        <f>IF(I4="","",_xlfn.XLOOKUP(I4,Lists!$C:$C,Lists!$I:$I))</f>
        <v>On-Label</v>
      </c>
    </row>
    <row r="5" spans="1:19" x14ac:dyDescent="0.2">
      <c r="A5" s="6">
        <v>46146</v>
      </c>
      <c r="B5" s="5">
        <v>3</v>
      </c>
      <c r="C5" s="26">
        <f>_xlfn.XLOOKUP(B5,Lists!B:B,Lists!A:A,"")</f>
        <v>1</v>
      </c>
      <c r="D5" s="5" t="s">
        <v>234</v>
      </c>
      <c r="E5" s="5">
        <v>1</v>
      </c>
      <c r="F5" s="5">
        <v>160</v>
      </c>
      <c r="G5" s="26">
        <f>IF(OR(E5="",F5=""),"",F5-E5+1)</f>
        <v>160</v>
      </c>
      <c r="H5" s="31">
        <f>IF(D5="","",IF(OR(D5="A",D5="B"),G5/80,IF(D5="A&amp;B",G5/160,"")))</f>
        <v>1</v>
      </c>
      <c r="I5" s="5" t="s">
        <v>65</v>
      </c>
      <c r="J5" s="27" t="str">
        <f>IF(I5="","",_xlfn.XLOOKUP(I5,Lists!$C:$C,Lists!$D:$D))</f>
        <v>Tebuconazole 25%</v>
      </c>
      <c r="K5" s="5" t="s">
        <v>52</v>
      </c>
      <c r="L5" s="5">
        <v>100</v>
      </c>
      <c r="M5" s="5">
        <v>900</v>
      </c>
      <c r="N5" s="26">
        <f>IF(OR(M5="",L5=""),"",(M5*L5)/100000)</f>
        <v>0.9</v>
      </c>
      <c r="O5" s="27" t="str">
        <f>IF(I5="","",_xlfn.XLOOKUP(I5,Lists!$C:$C,Lists!$J:$J))</f>
        <v>L</v>
      </c>
      <c r="P5" s="27">
        <f>IF(I5="","",_xlfn.XLOOKUP(I5,Lists!$C:$C,Lists!$E:$E))</f>
        <v>45</v>
      </c>
      <c r="Q5" s="28">
        <f>IF(OR(A5="",P5=""),"",A5+P5+1)</f>
        <v>46192</v>
      </c>
      <c r="R5" s="26" t="str">
        <f ca="1">IF(Q5="","",IF(Q5&lt;=TODAY(),"Allow","Not Allow"))</f>
        <v>Not Allow</v>
      </c>
      <c r="S5" s="27" t="str">
        <f>IF(I5="","",_xlfn.XLOOKUP(I5,Lists!$C:$C,Lists!$I:$I))</f>
        <v>On-Label</v>
      </c>
    </row>
    <row r="6" spans="1:19" x14ac:dyDescent="0.2">
      <c r="A6" s="6">
        <v>46147</v>
      </c>
      <c r="B6" s="5">
        <v>4</v>
      </c>
      <c r="C6" s="26">
        <f>_xlfn.XLOOKUP(B6,Lists!B:B,Lists!A:A,"")</f>
        <v>1</v>
      </c>
      <c r="D6" s="5" t="s">
        <v>234</v>
      </c>
      <c r="E6" s="5">
        <v>1</v>
      </c>
      <c r="F6" s="5">
        <v>160</v>
      </c>
      <c r="G6" s="26">
        <f>IF(OR(E6="",F6=""),"",F6-E6+1)</f>
        <v>160</v>
      </c>
      <c r="H6" s="31">
        <f>IF(D6="","",IF(OR(D6="A",D6="B"),G6/80,IF(D6="A&amp;B",G6/160,"")))</f>
        <v>1</v>
      </c>
      <c r="I6" s="5" t="s">
        <v>65</v>
      </c>
      <c r="J6" s="27" t="str">
        <f>IF(I6="","",_xlfn.XLOOKUP(I6,Lists!$C:$C,Lists!$D:$D))</f>
        <v>Tebuconazole 25%</v>
      </c>
      <c r="K6" s="5" t="s">
        <v>52</v>
      </c>
      <c r="L6" s="5">
        <v>100</v>
      </c>
      <c r="M6" s="5">
        <v>900</v>
      </c>
      <c r="N6" s="26">
        <f>IF(OR(M6="",L6=""),"",(M6*L6)/100000)</f>
        <v>0.9</v>
      </c>
      <c r="O6" s="27" t="str">
        <f>IF(I6="","",_xlfn.XLOOKUP(I6,Lists!$C:$C,Lists!$J:$J))</f>
        <v>L</v>
      </c>
      <c r="P6" s="27">
        <f>IF(I6="","",_xlfn.XLOOKUP(I6,Lists!$C:$C,Lists!$E:$E))</f>
        <v>45</v>
      </c>
      <c r="Q6" s="28">
        <f>IF(OR(A6="",P6=""),"",A6+P6+1)</f>
        <v>46193</v>
      </c>
      <c r="R6" s="26" t="str">
        <f ca="1">IF(Q6="","",IF(Q6&lt;=TODAY(),"Allow","Not Allow"))</f>
        <v>Not Allow</v>
      </c>
      <c r="S6" s="27" t="str">
        <f>IF(I6="","",_xlfn.XLOOKUP(I6,Lists!$C:$C,Lists!$I:$I))</f>
        <v>On-Label</v>
      </c>
    </row>
    <row r="7" spans="1:19" x14ac:dyDescent="0.2">
      <c r="A7" s="6">
        <v>46147</v>
      </c>
      <c r="B7" s="5">
        <v>12</v>
      </c>
      <c r="C7" s="26">
        <f>_xlfn.XLOOKUP(B7,Lists!B:B,Lists!A:A,"")</f>
        <v>2</v>
      </c>
      <c r="D7" s="5" t="s">
        <v>234</v>
      </c>
      <c r="E7" s="5">
        <v>1</v>
      </c>
      <c r="F7" s="5">
        <v>160</v>
      </c>
      <c r="G7" s="26">
        <f>IF(OR(E7="",F7=""),"",F7-E7+1)</f>
        <v>160</v>
      </c>
      <c r="H7" s="31">
        <f>IF(D7="","",IF(OR(D7="A",D7="B"),G7/80,IF(D7="A&amp;B",G7/160,"")))</f>
        <v>1</v>
      </c>
      <c r="I7" s="5" t="s">
        <v>65</v>
      </c>
      <c r="J7" s="27" t="str">
        <f>IF(I7="","",_xlfn.XLOOKUP(I7,Lists!$C:$C,Lists!$D:$D))</f>
        <v>Tebuconazole 25%</v>
      </c>
      <c r="K7" s="5" t="s">
        <v>52</v>
      </c>
      <c r="L7" s="5">
        <v>100</v>
      </c>
      <c r="M7" s="5">
        <v>900</v>
      </c>
      <c r="N7" s="26">
        <f>IF(OR(M7="",L7=""),"",(M7*L7)/100000)</f>
        <v>0.9</v>
      </c>
      <c r="O7" s="27" t="str">
        <f>IF(I7="","",_xlfn.XLOOKUP(I7,Lists!$C:$C,Lists!$J:$J))</f>
        <v>L</v>
      </c>
      <c r="P7" s="27">
        <f>IF(I7="","",_xlfn.XLOOKUP(I7,Lists!$C:$C,Lists!$E:$E))</f>
        <v>45</v>
      </c>
      <c r="Q7" s="28">
        <f>IF(OR(A7="",P7=""),"",A7+P7+1)</f>
        <v>46193</v>
      </c>
      <c r="R7" s="26" t="str">
        <f ca="1">IF(Q7="","",IF(Q7&lt;=TODAY(),"Allow","Not Allow"))</f>
        <v>Not Allow</v>
      </c>
      <c r="S7" s="27" t="str">
        <f>IF(I7="","",_xlfn.XLOOKUP(I7,Lists!$C:$C,Lists!$I:$I))</f>
        <v>On-Label</v>
      </c>
    </row>
    <row r="8" spans="1:19" x14ac:dyDescent="0.2">
      <c r="A8" s="6">
        <v>46149</v>
      </c>
      <c r="B8" s="5">
        <v>5</v>
      </c>
      <c r="C8" s="26">
        <f>_xlfn.XLOOKUP(B8,Lists!B:B,Lists!A:A,"")</f>
        <v>1</v>
      </c>
      <c r="D8" s="5" t="s">
        <v>234</v>
      </c>
      <c r="E8" s="5">
        <v>1</v>
      </c>
      <c r="F8" s="5">
        <v>160</v>
      </c>
      <c r="G8" s="26">
        <f>IF(OR(E8="",F8=""),"",F8-E8+1)</f>
        <v>160</v>
      </c>
      <c r="H8" s="31">
        <f>IF(D8="","",IF(OR(D8="A",D8="B"),G8/80,IF(D8="A&amp;B",G8/160,"")))</f>
        <v>1</v>
      </c>
      <c r="I8" s="5" t="s">
        <v>65</v>
      </c>
      <c r="J8" s="27" t="str">
        <f>IF(I8="","",_xlfn.XLOOKUP(I8,Lists!$C:$C,Lists!$D:$D))</f>
        <v>Tebuconazole 25%</v>
      </c>
      <c r="K8" s="5" t="s">
        <v>52</v>
      </c>
      <c r="L8" s="5">
        <v>100</v>
      </c>
      <c r="M8" s="5">
        <v>900</v>
      </c>
      <c r="N8" s="26">
        <f>IF(OR(M8="",L8=""),"",(M8*L8)/100000)</f>
        <v>0.9</v>
      </c>
      <c r="O8" s="27" t="str">
        <f>IF(I8="","",_xlfn.XLOOKUP(I8,Lists!$C:$C,Lists!$J:$J))</f>
        <v>L</v>
      </c>
      <c r="P8" s="27">
        <f>IF(I8="","",_xlfn.XLOOKUP(I8,Lists!$C:$C,Lists!$E:$E))</f>
        <v>45</v>
      </c>
      <c r="Q8" s="28">
        <f>IF(OR(A8="",P8=""),"",A8+P8+1)</f>
        <v>46195</v>
      </c>
      <c r="R8" s="26" t="str">
        <f ca="1">IF(Q8="","",IF(Q8&lt;=TODAY(),"Allow","Not Allow"))</f>
        <v>Not Allow</v>
      </c>
      <c r="S8" s="27" t="str">
        <f>IF(I8="","",_xlfn.XLOOKUP(I8,Lists!$C:$C,Lists!$I:$I))</f>
        <v>On-Label</v>
      </c>
    </row>
    <row r="9" spans="1:19" x14ac:dyDescent="0.2">
      <c r="A9" s="6">
        <v>46149</v>
      </c>
      <c r="B9" s="5">
        <v>13</v>
      </c>
      <c r="C9" s="26">
        <f>_xlfn.XLOOKUP(B9,Lists!B:B,Lists!A:A,"")</f>
        <v>2</v>
      </c>
      <c r="D9" s="5" t="s">
        <v>234</v>
      </c>
      <c r="E9" s="5">
        <v>1</v>
      </c>
      <c r="F9" s="5">
        <v>160</v>
      </c>
      <c r="G9" s="26">
        <f>IF(OR(E9="",F9=""),"",F9-E9+1)</f>
        <v>160</v>
      </c>
      <c r="H9" s="31">
        <f>IF(D9="","",IF(OR(D9="A",D9="B"),G9/80,IF(D9="A&amp;B",G9/160,"")))</f>
        <v>1</v>
      </c>
      <c r="I9" s="5" t="s">
        <v>65</v>
      </c>
      <c r="J9" s="27" t="str">
        <f>IF(I9="","",_xlfn.XLOOKUP(I9,Lists!$C:$C,Lists!$D:$D))</f>
        <v>Tebuconazole 25%</v>
      </c>
      <c r="K9" s="5" t="s">
        <v>52</v>
      </c>
      <c r="L9" s="5">
        <v>100</v>
      </c>
      <c r="M9" s="5">
        <v>900</v>
      </c>
      <c r="N9" s="26">
        <f>IF(OR(M9="",L9=""),"",(M9*L9)/100000)</f>
        <v>0.9</v>
      </c>
      <c r="O9" s="27" t="str">
        <f>IF(I9="","",_xlfn.XLOOKUP(I9,Lists!$C:$C,Lists!$J:$J))</f>
        <v>L</v>
      </c>
      <c r="P9" s="27">
        <f>IF(I9="","",_xlfn.XLOOKUP(I9,Lists!$C:$C,Lists!$E:$E))</f>
        <v>45</v>
      </c>
      <c r="Q9" s="28">
        <f>IF(OR(A9="",P9=""),"",A9+P9+1)</f>
        <v>46195</v>
      </c>
      <c r="R9" s="26" t="str">
        <f ca="1">IF(Q9="","",IF(Q9&lt;=TODAY(),"Allow","Not Allow"))</f>
        <v>Not Allow</v>
      </c>
      <c r="S9" s="27" t="str">
        <f>IF(I9="","",_xlfn.XLOOKUP(I9,Lists!$C:$C,Lists!$I:$I))</f>
        <v>On-Label</v>
      </c>
    </row>
    <row r="10" spans="1:19" x14ac:dyDescent="0.2">
      <c r="A10" s="6">
        <v>46149</v>
      </c>
      <c r="B10" s="5">
        <v>32</v>
      </c>
      <c r="C10" s="26">
        <f>_xlfn.XLOOKUP(B10,Lists!B:B,Lists!A:A,"")</f>
        <v>5</v>
      </c>
      <c r="D10" s="5" t="s">
        <v>234</v>
      </c>
      <c r="E10" s="5">
        <v>1</v>
      </c>
      <c r="F10" s="5">
        <v>160</v>
      </c>
      <c r="G10" s="26">
        <f>IF(OR(E10="",F10=""),"",F10-E10+1)</f>
        <v>160</v>
      </c>
      <c r="H10" s="31">
        <f>IF(D10="","",IF(OR(D10="A",D10="B"),G10/80,IF(D10="A&amp;B",G10/160,"")))</f>
        <v>1</v>
      </c>
      <c r="I10" s="5" t="s">
        <v>65</v>
      </c>
      <c r="J10" s="27" t="str">
        <f>IF(I10="","",_xlfn.XLOOKUP(I10,Lists!$C:$C,Lists!$D:$D))</f>
        <v>Tebuconazole 25%</v>
      </c>
      <c r="K10" s="5" t="s">
        <v>52</v>
      </c>
      <c r="L10" s="5">
        <v>100</v>
      </c>
      <c r="M10" s="5">
        <v>900</v>
      </c>
      <c r="N10" s="26">
        <f>IF(OR(M10="",L10=""),"",(M10*L10)/100000)</f>
        <v>0.9</v>
      </c>
      <c r="O10" s="27" t="str">
        <f>IF(I10="","",_xlfn.XLOOKUP(I10,Lists!$C:$C,Lists!$J:$J))</f>
        <v>L</v>
      </c>
      <c r="P10" s="27">
        <f>IF(I10="","",_xlfn.XLOOKUP(I10,Lists!$C:$C,Lists!$E:$E))</f>
        <v>45</v>
      </c>
      <c r="Q10" s="28">
        <f>IF(OR(A10="",P10=""),"",A10+P10+1)</f>
        <v>46195</v>
      </c>
      <c r="R10" s="26" t="str">
        <f ca="1">IF(Q10="","",IF(Q10&lt;=TODAY(),"Allow","Not Allow"))</f>
        <v>Not Allow</v>
      </c>
      <c r="S10" s="27" t="str">
        <f>IF(I10="","",_xlfn.XLOOKUP(I10,Lists!$C:$C,Lists!$I:$I))</f>
        <v>On-Label</v>
      </c>
    </row>
    <row r="11" spans="1:19" x14ac:dyDescent="0.2">
      <c r="A11" s="6">
        <v>46150</v>
      </c>
      <c r="B11" s="5">
        <v>10</v>
      </c>
      <c r="C11" s="26">
        <f>_xlfn.XLOOKUP(B11,Lists!B:B,Lists!A:A,"")</f>
        <v>1</v>
      </c>
      <c r="D11" s="5" t="s">
        <v>234</v>
      </c>
      <c r="E11" s="5">
        <v>1</v>
      </c>
      <c r="F11" s="5">
        <v>160</v>
      </c>
      <c r="G11" s="26">
        <f>IF(OR(E11="",F11=""),"",F11-E11+1)</f>
        <v>160</v>
      </c>
      <c r="H11" s="31">
        <f>IF(D11="","",IF(OR(D11="A",D11="B"),G11/80,IF(D11="A&amp;B",G11/160,"")))</f>
        <v>1</v>
      </c>
      <c r="I11" s="5" t="s">
        <v>65</v>
      </c>
      <c r="J11" s="27" t="str">
        <f>IF(I11="","",_xlfn.XLOOKUP(I11,Lists!$C:$C,Lists!$D:$D))</f>
        <v>Tebuconazole 25%</v>
      </c>
      <c r="K11" s="5" t="s">
        <v>52</v>
      </c>
      <c r="L11" s="5">
        <v>100</v>
      </c>
      <c r="M11" s="5">
        <v>900</v>
      </c>
      <c r="N11" s="26">
        <f>IF(OR(M11="",L11=""),"",(M11*L11)/100000)</f>
        <v>0.9</v>
      </c>
      <c r="O11" s="27" t="str">
        <f>IF(I11="","",_xlfn.XLOOKUP(I11,Lists!$C:$C,Lists!$J:$J))</f>
        <v>L</v>
      </c>
      <c r="P11" s="27">
        <f>IF(I11="","",_xlfn.XLOOKUP(I11,Lists!$C:$C,Lists!$E:$E))</f>
        <v>45</v>
      </c>
      <c r="Q11" s="28">
        <f>IF(OR(A11="",P11=""),"",A11+P11+1)</f>
        <v>46196</v>
      </c>
      <c r="R11" s="26" t="str">
        <f ca="1">IF(Q11="","",IF(Q11&lt;=TODAY(),"Allow","Not Allow"))</f>
        <v>Not Allow</v>
      </c>
      <c r="S11" s="27" t="str">
        <f>IF(I11="","",_xlfn.XLOOKUP(I11,Lists!$C:$C,Lists!$I:$I))</f>
        <v>On-Label</v>
      </c>
    </row>
    <row r="12" spans="1:19" x14ac:dyDescent="0.2">
      <c r="A12" s="6">
        <v>46150</v>
      </c>
      <c r="B12" s="5">
        <v>23</v>
      </c>
      <c r="C12" s="26">
        <f>_xlfn.XLOOKUP(B12,Lists!B:B,Lists!A:A,"")</f>
        <v>3</v>
      </c>
      <c r="D12" s="5" t="s">
        <v>234</v>
      </c>
      <c r="E12" s="5">
        <v>1</v>
      </c>
      <c r="F12" s="5">
        <v>160</v>
      </c>
      <c r="G12" s="26">
        <f>IF(OR(E12="",F12=""),"",F12-E12+1)</f>
        <v>160</v>
      </c>
      <c r="H12" s="31">
        <f>IF(D12="","",IF(OR(D12="A",D12="B"),G12/80,IF(D12="A&amp;B",G12/160,"")))</f>
        <v>1</v>
      </c>
      <c r="I12" s="5" t="s">
        <v>65</v>
      </c>
      <c r="J12" s="27" t="str">
        <f>IF(I12="","",_xlfn.XLOOKUP(I12,Lists!$C:$C,Lists!$D:$D))</f>
        <v>Tebuconazole 25%</v>
      </c>
      <c r="K12" s="5" t="s">
        <v>52</v>
      </c>
      <c r="L12" s="5">
        <v>100</v>
      </c>
      <c r="M12" s="5">
        <v>900</v>
      </c>
      <c r="N12" s="26">
        <f>IF(OR(M12="",L12=""),"",(M12*L12)/100000)</f>
        <v>0.9</v>
      </c>
      <c r="O12" s="27" t="str">
        <f>IF(I12="","",_xlfn.XLOOKUP(I12,Lists!$C:$C,Lists!$J:$J))</f>
        <v>L</v>
      </c>
      <c r="P12" s="27">
        <f>IF(I12="","",_xlfn.XLOOKUP(I12,Lists!$C:$C,Lists!$E:$E))</f>
        <v>45</v>
      </c>
      <c r="Q12" s="28">
        <f>IF(OR(A12="",P12=""),"",A12+P12+1)</f>
        <v>46196</v>
      </c>
      <c r="R12" s="26" t="str">
        <f ca="1">IF(Q12="","",IF(Q12&lt;=TODAY(),"Allow","Not Allow"))</f>
        <v>Not Allow</v>
      </c>
      <c r="S12" s="27" t="str">
        <f>IF(I12="","",_xlfn.XLOOKUP(I12,Lists!$C:$C,Lists!$I:$I))</f>
        <v>On-Label</v>
      </c>
    </row>
    <row r="13" spans="1:19" x14ac:dyDescent="0.2">
      <c r="A13" s="6">
        <v>46150</v>
      </c>
      <c r="B13" s="5">
        <v>46</v>
      </c>
      <c r="C13" s="26">
        <f>_xlfn.XLOOKUP(B13,Lists!B:B,Lists!A:A,"")</f>
        <v>4</v>
      </c>
      <c r="D13" s="5" t="s">
        <v>234</v>
      </c>
      <c r="E13" s="5">
        <v>1</v>
      </c>
      <c r="F13" s="5">
        <v>160</v>
      </c>
      <c r="G13" s="26">
        <f>IF(OR(E13="",F13=""),"",F13-E13+1)</f>
        <v>160</v>
      </c>
      <c r="H13" s="31">
        <f>IF(D13="","",IF(OR(D13="A",D13="B"),G13/80,IF(D13="A&amp;B",G13/160,"")))</f>
        <v>1</v>
      </c>
      <c r="I13" s="5" t="s">
        <v>65</v>
      </c>
      <c r="J13" s="27" t="str">
        <f>IF(I13="","",_xlfn.XLOOKUP(I13,Lists!$C:$C,Lists!$D:$D))</f>
        <v>Tebuconazole 25%</v>
      </c>
      <c r="K13" s="5" t="s">
        <v>52</v>
      </c>
      <c r="L13" s="5">
        <v>100</v>
      </c>
      <c r="M13" s="5">
        <v>900</v>
      </c>
      <c r="N13" s="26">
        <f>IF(OR(M13="",L13=""),"",(M13*L13)/100000)</f>
        <v>0.9</v>
      </c>
      <c r="O13" s="27" t="str">
        <f>IF(I13="","",_xlfn.XLOOKUP(I13,Lists!$C:$C,Lists!$J:$J))</f>
        <v>L</v>
      </c>
      <c r="P13" s="27">
        <f>IF(I13="","",_xlfn.XLOOKUP(I13,Lists!$C:$C,Lists!$E:$E))</f>
        <v>45</v>
      </c>
      <c r="Q13" s="28">
        <f>IF(OR(A13="",P13=""),"",A13+P13+1)</f>
        <v>46196</v>
      </c>
      <c r="R13" s="26" t="str">
        <f ca="1">IF(Q13="","",IF(Q13&lt;=TODAY(),"Allow","Not Allow"))</f>
        <v>Not Allow</v>
      </c>
      <c r="S13" s="27" t="str">
        <f>IF(I13="","",_xlfn.XLOOKUP(I13,Lists!$C:$C,Lists!$I:$I))</f>
        <v>On-Label</v>
      </c>
    </row>
    <row r="14" spans="1:19" x14ac:dyDescent="0.2">
      <c r="A14" s="6">
        <v>46151</v>
      </c>
      <c r="B14" s="5">
        <v>37</v>
      </c>
      <c r="C14" s="26">
        <f>_xlfn.XLOOKUP(B14,Lists!B:B,Lists!A:A,"")</f>
        <v>5</v>
      </c>
      <c r="D14" s="5" t="s">
        <v>234</v>
      </c>
      <c r="E14" s="5">
        <v>1</v>
      </c>
      <c r="F14" s="5">
        <v>160</v>
      </c>
      <c r="G14" s="26">
        <f>IF(OR(E14="",F14=""),"",F14-E14+1)</f>
        <v>160</v>
      </c>
      <c r="H14" s="31">
        <f>IF(D14="","",IF(OR(D14="A",D14="B"),G14/80,IF(D14="A&amp;B",G14/160,"")))</f>
        <v>1</v>
      </c>
      <c r="I14" s="5" t="s">
        <v>65</v>
      </c>
      <c r="J14" s="27" t="str">
        <f>IF(I14="","",_xlfn.XLOOKUP(I14,Lists!$C:$C,Lists!$D:$D))</f>
        <v>Tebuconazole 25%</v>
      </c>
      <c r="K14" s="5" t="s">
        <v>52</v>
      </c>
      <c r="L14" s="5">
        <v>100</v>
      </c>
      <c r="M14" s="5">
        <v>900</v>
      </c>
      <c r="N14" s="26">
        <f>IF(OR(M14="",L14=""),"",(M14*L14)/100000)</f>
        <v>0.9</v>
      </c>
      <c r="O14" s="27" t="str">
        <f>IF(I14="","",_xlfn.XLOOKUP(I14,Lists!$C:$C,Lists!$J:$J))</f>
        <v>L</v>
      </c>
      <c r="P14" s="27">
        <f>IF(I14="","",_xlfn.XLOOKUP(I14,Lists!$C:$C,Lists!$E:$E))</f>
        <v>45</v>
      </c>
      <c r="Q14" s="28">
        <f>IF(OR(A14="",P14=""),"",A14+P14+1)</f>
        <v>46197</v>
      </c>
      <c r="R14" s="26" t="str">
        <f ca="1">IF(Q14="","",IF(Q14&lt;=TODAY(),"Allow","Not Allow"))</f>
        <v>Not Allow</v>
      </c>
      <c r="S14" s="27" t="str">
        <f>IF(I14="","",_xlfn.XLOOKUP(I14,Lists!$C:$C,Lists!$I:$I))</f>
        <v>On-Label</v>
      </c>
    </row>
    <row r="15" spans="1:19" x14ac:dyDescent="0.2">
      <c r="A15" s="6">
        <v>46151</v>
      </c>
      <c r="B15" s="5">
        <v>47</v>
      </c>
      <c r="C15" s="26">
        <f>_xlfn.XLOOKUP(B15,Lists!B:B,Lists!A:A,"")</f>
        <v>4</v>
      </c>
      <c r="D15" s="5" t="s">
        <v>234</v>
      </c>
      <c r="E15" s="5">
        <v>1</v>
      </c>
      <c r="F15" s="5">
        <v>160</v>
      </c>
      <c r="G15" s="26">
        <f>IF(OR(E15="",F15=""),"",F15-E15+1)</f>
        <v>160</v>
      </c>
      <c r="H15" s="31">
        <f>IF(D15="","",IF(OR(D15="A",D15="B"),G15/80,IF(D15="A&amp;B",G15/160,"")))</f>
        <v>1</v>
      </c>
      <c r="I15" s="5" t="s">
        <v>65</v>
      </c>
      <c r="J15" s="27" t="str">
        <f>IF(I15="","",_xlfn.XLOOKUP(I15,Lists!$C:$C,Lists!$D:$D))</f>
        <v>Tebuconazole 25%</v>
      </c>
      <c r="K15" s="5" t="s">
        <v>52</v>
      </c>
      <c r="L15" s="5">
        <v>100</v>
      </c>
      <c r="M15" s="5">
        <v>900</v>
      </c>
      <c r="N15" s="26">
        <f>IF(OR(M15="",L15=""),"",(M15*L15)/100000)</f>
        <v>0.9</v>
      </c>
      <c r="O15" s="27" t="str">
        <f>IF(I15="","",_xlfn.XLOOKUP(I15,Lists!$C:$C,Lists!$J:$J))</f>
        <v>L</v>
      </c>
      <c r="P15" s="27">
        <f>IF(I15="","",_xlfn.XLOOKUP(I15,Lists!$C:$C,Lists!$E:$E))</f>
        <v>45</v>
      </c>
      <c r="Q15" s="28">
        <f>IF(OR(A15="",P15=""),"",A15+P15+1)</f>
        <v>46197</v>
      </c>
      <c r="R15" s="26" t="str">
        <f ca="1">IF(Q15="","",IF(Q15&lt;=TODAY(),"Allow","Not Allow"))</f>
        <v>Not Allow</v>
      </c>
      <c r="S15" s="27" t="str">
        <f>IF(I15="","",_xlfn.XLOOKUP(I15,Lists!$C:$C,Lists!$I:$I))</f>
        <v>On-Label</v>
      </c>
    </row>
    <row r="16" spans="1:19" x14ac:dyDescent="0.2">
      <c r="A16" s="6">
        <v>46151</v>
      </c>
      <c r="B16" s="5">
        <v>42</v>
      </c>
      <c r="C16" s="26">
        <f>_xlfn.XLOOKUP(B16,Lists!B:B,Lists!A:A,"")</f>
        <v>5</v>
      </c>
      <c r="D16" s="5" t="s">
        <v>234</v>
      </c>
      <c r="E16" s="5">
        <v>1</v>
      </c>
      <c r="F16" s="5">
        <v>160</v>
      </c>
      <c r="G16" s="26">
        <f>IF(OR(E16="",F16=""),"",F16-E16+1)</f>
        <v>160</v>
      </c>
      <c r="H16" s="31">
        <f>IF(D16="","",IF(OR(D16="A",D16="B"),G16/80,IF(D16="A&amp;B",G16/160,"")))</f>
        <v>1</v>
      </c>
      <c r="I16" s="5" t="s">
        <v>65</v>
      </c>
      <c r="J16" s="27" t="str">
        <f>IF(I16="","",_xlfn.XLOOKUP(I16,Lists!$C:$C,Lists!$D:$D))</f>
        <v>Tebuconazole 25%</v>
      </c>
      <c r="K16" s="5" t="s">
        <v>52</v>
      </c>
      <c r="L16" s="5">
        <v>100</v>
      </c>
      <c r="M16" s="5">
        <v>900</v>
      </c>
      <c r="N16" s="26">
        <f>IF(OR(M16="",L16=""),"",(M16*L16)/100000)</f>
        <v>0.9</v>
      </c>
      <c r="O16" s="27" t="str">
        <f>IF(I16="","",_xlfn.XLOOKUP(I16,Lists!$C:$C,Lists!$J:$J))</f>
        <v>L</v>
      </c>
      <c r="P16" s="27">
        <f>IF(I16="","",_xlfn.XLOOKUP(I16,Lists!$C:$C,Lists!$E:$E))</f>
        <v>45</v>
      </c>
      <c r="Q16" s="28">
        <f>IF(OR(A16="",P16=""),"",A16+P16+1)</f>
        <v>46197</v>
      </c>
      <c r="R16" s="26" t="str">
        <f ca="1">IF(Q16="","",IF(Q16&lt;=TODAY(),"Allow","Not Allow"))</f>
        <v>Not Allow</v>
      </c>
      <c r="S16" s="27" t="str">
        <f>IF(I16="","",_xlfn.XLOOKUP(I16,Lists!$C:$C,Lists!$I:$I))</f>
        <v>On-Label</v>
      </c>
    </row>
    <row r="17" spans="1:19" x14ac:dyDescent="0.2">
      <c r="A17" s="6">
        <v>46151</v>
      </c>
      <c r="B17" s="5">
        <v>9</v>
      </c>
      <c r="C17" s="26">
        <f>_xlfn.XLOOKUP(B17,Lists!B:B,Lists!A:A,"")</f>
        <v>1</v>
      </c>
      <c r="D17" s="5" t="s">
        <v>234</v>
      </c>
      <c r="E17" s="5">
        <v>1</v>
      </c>
      <c r="F17" s="5">
        <v>160</v>
      </c>
      <c r="G17" s="26">
        <f>IF(OR(E17="",F17=""),"",F17-E17+1)</f>
        <v>160</v>
      </c>
      <c r="H17" s="31">
        <f>IF(D17="","",IF(OR(D17="A",D17="B"),G17/80,IF(D17="A&amp;B",G17/160,"")))</f>
        <v>1</v>
      </c>
      <c r="I17" s="5" t="s">
        <v>65</v>
      </c>
      <c r="J17" s="27" t="str">
        <f>IF(I17="","",_xlfn.XLOOKUP(I17,Lists!$C:$C,Lists!$D:$D))</f>
        <v>Tebuconazole 25%</v>
      </c>
      <c r="K17" s="5" t="s">
        <v>52</v>
      </c>
      <c r="L17" s="5">
        <v>100</v>
      </c>
      <c r="M17" s="5">
        <v>900</v>
      </c>
      <c r="N17" s="26">
        <f>IF(OR(M17="",L17=""),"",(M17*L17)/100000)</f>
        <v>0.9</v>
      </c>
      <c r="O17" s="27" t="str">
        <f>IF(I17="","",_xlfn.XLOOKUP(I17,Lists!$C:$C,Lists!$J:$J))</f>
        <v>L</v>
      </c>
      <c r="P17" s="27">
        <f>IF(I17="","",_xlfn.XLOOKUP(I17,Lists!$C:$C,Lists!$E:$E))</f>
        <v>45</v>
      </c>
      <c r="Q17" s="28">
        <f>IF(OR(A17="",P17=""),"",A17+P17+1)</f>
        <v>46197</v>
      </c>
      <c r="R17" s="26" t="str">
        <f ca="1">IF(Q17="","",IF(Q17&lt;=TODAY(),"Allow","Not Allow"))</f>
        <v>Not Allow</v>
      </c>
      <c r="S17" s="27" t="str">
        <f>IF(I17="","",_xlfn.XLOOKUP(I17,Lists!$C:$C,Lists!$I:$I))</f>
        <v>On-Label</v>
      </c>
    </row>
    <row r="18" spans="1:19" x14ac:dyDescent="0.2">
      <c r="A18" s="6">
        <v>46152</v>
      </c>
      <c r="B18" s="5">
        <v>14</v>
      </c>
      <c r="C18" s="26">
        <f>_xlfn.XLOOKUP(B18,Lists!B:B,Lists!A:A,"")</f>
        <v>2</v>
      </c>
      <c r="D18" s="5" t="s">
        <v>234</v>
      </c>
      <c r="E18" s="5">
        <v>1</v>
      </c>
      <c r="F18" s="5">
        <v>160</v>
      </c>
      <c r="G18" s="26">
        <f>IF(OR(E18="",F18=""),"",F18-E18+1)</f>
        <v>160</v>
      </c>
      <c r="H18" s="31">
        <f>IF(D18="","",IF(OR(D18="A",D18="B"),G18/80,IF(D18="A&amp;B",G18/160,"")))</f>
        <v>1</v>
      </c>
      <c r="I18" s="5" t="s">
        <v>65</v>
      </c>
      <c r="J18" s="27" t="str">
        <f>IF(I18="","",_xlfn.XLOOKUP(I18,Lists!$C:$C,Lists!$D:$D))</f>
        <v>Tebuconazole 25%</v>
      </c>
      <c r="K18" s="5" t="s">
        <v>52</v>
      </c>
      <c r="L18" s="5">
        <v>100</v>
      </c>
      <c r="M18" s="5">
        <v>900</v>
      </c>
      <c r="N18" s="26">
        <f>IF(OR(M18="",L18=""),"",(M18*L18)/100000)</f>
        <v>0.9</v>
      </c>
      <c r="O18" s="27" t="str">
        <f>IF(I18="","",_xlfn.XLOOKUP(I18,Lists!$C:$C,Lists!$J:$J))</f>
        <v>L</v>
      </c>
      <c r="P18" s="27">
        <f>IF(I18="","",_xlfn.XLOOKUP(I18,Lists!$C:$C,Lists!$E:$E))</f>
        <v>45</v>
      </c>
      <c r="Q18" s="28">
        <f>IF(OR(A18="",P18=""),"",A18+P18+1)</f>
        <v>46198</v>
      </c>
      <c r="R18" s="26" t="str">
        <f ca="1">IF(Q18="","",IF(Q18&lt;=TODAY(),"Allow","Not Allow"))</f>
        <v>Not Allow</v>
      </c>
      <c r="S18" s="27" t="str">
        <f>IF(I18="","",_xlfn.XLOOKUP(I18,Lists!$C:$C,Lists!$I:$I))</f>
        <v>On-Label</v>
      </c>
    </row>
    <row r="19" spans="1:19" x14ac:dyDescent="0.2">
      <c r="A19" s="6">
        <v>46152</v>
      </c>
      <c r="B19" s="5">
        <v>28</v>
      </c>
      <c r="C19" s="26">
        <f>_xlfn.XLOOKUP(B19,Lists!B:B,Lists!A:A,"")</f>
        <v>3</v>
      </c>
      <c r="D19" s="5" t="s">
        <v>234</v>
      </c>
      <c r="E19" s="5">
        <v>1</v>
      </c>
      <c r="F19" s="5">
        <v>160</v>
      </c>
      <c r="G19" s="26">
        <f>IF(OR(E19="",F19=""),"",F19-E19+1)</f>
        <v>160</v>
      </c>
      <c r="H19" s="31">
        <f>IF(D19="","",IF(OR(D19="A",D19="B"),G19/80,IF(D19="A&amp;B",G19/160,"")))</f>
        <v>1</v>
      </c>
      <c r="I19" s="5" t="s">
        <v>65</v>
      </c>
      <c r="J19" s="27" t="str">
        <f>IF(I19="","",_xlfn.XLOOKUP(I19,Lists!$C:$C,Lists!$D:$D))</f>
        <v>Tebuconazole 25%</v>
      </c>
      <c r="K19" s="5" t="s">
        <v>52</v>
      </c>
      <c r="L19" s="5">
        <v>100</v>
      </c>
      <c r="M19" s="5">
        <v>900</v>
      </c>
      <c r="N19" s="26">
        <f>IF(OR(M19="",L19=""),"",(M19*L19)/100000)</f>
        <v>0.9</v>
      </c>
      <c r="O19" s="27" t="str">
        <f>IF(I19="","",_xlfn.XLOOKUP(I19,Lists!$C:$C,Lists!$J:$J))</f>
        <v>L</v>
      </c>
      <c r="P19" s="27">
        <f>IF(I19="","",_xlfn.XLOOKUP(I19,Lists!$C:$C,Lists!$E:$E))</f>
        <v>45</v>
      </c>
      <c r="Q19" s="28">
        <f>IF(OR(A19="",P19=""),"",A19+P19+1)</f>
        <v>46198</v>
      </c>
      <c r="R19" s="26" t="str">
        <f ca="1">IF(Q19="","",IF(Q19&lt;=TODAY(),"Allow","Not Allow"))</f>
        <v>Not Allow</v>
      </c>
      <c r="S19" s="27" t="str">
        <f>IF(I19="","",_xlfn.XLOOKUP(I19,Lists!$C:$C,Lists!$I:$I))</f>
        <v>On-Label</v>
      </c>
    </row>
    <row r="20" spans="1:19" x14ac:dyDescent="0.2">
      <c r="A20" s="6">
        <v>46152</v>
      </c>
      <c r="B20" s="5">
        <v>23</v>
      </c>
      <c r="C20" s="26">
        <f>_xlfn.XLOOKUP(B20,Lists!B:B,Lists!A:A,"")</f>
        <v>3</v>
      </c>
      <c r="D20" s="5" t="s">
        <v>234</v>
      </c>
      <c r="E20" s="5">
        <v>1</v>
      </c>
      <c r="F20" s="5">
        <v>160</v>
      </c>
      <c r="G20" s="26">
        <f>IF(OR(E20="",F20=""),"",F20-E20+1)</f>
        <v>160</v>
      </c>
      <c r="H20" s="31">
        <f>IF(D20="","",IF(OR(D20="A",D20="B"),G20/80,IF(D20="A&amp;B",G20/160,"")))</f>
        <v>1</v>
      </c>
      <c r="I20" s="5" t="s">
        <v>65</v>
      </c>
      <c r="J20" s="27" t="str">
        <f>IF(I20="","",_xlfn.XLOOKUP(I20,Lists!$C:$C,Lists!$D:$D))</f>
        <v>Tebuconazole 25%</v>
      </c>
      <c r="K20" s="5" t="s">
        <v>52</v>
      </c>
      <c r="L20" s="5">
        <v>100</v>
      </c>
      <c r="M20" s="5">
        <v>900</v>
      </c>
      <c r="N20" s="26">
        <f>IF(OR(M20="",L20=""),"",(M20*L20)/100000)</f>
        <v>0.9</v>
      </c>
      <c r="O20" s="27" t="str">
        <f>IF(I20="","",_xlfn.XLOOKUP(I20,Lists!$C:$C,Lists!$J:$J))</f>
        <v>L</v>
      </c>
      <c r="P20" s="27">
        <f>IF(I20="","",_xlfn.XLOOKUP(I20,Lists!$C:$C,Lists!$E:$E))</f>
        <v>45</v>
      </c>
      <c r="Q20" s="28">
        <f>IF(OR(A20="",P20=""),"",A20+P20+1)</f>
        <v>46198</v>
      </c>
      <c r="R20" s="26" t="str">
        <f ca="1">IF(Q20="","",IF(Q20&lt;=TODAY(),"Allow","Not Allow"))</f>
        <v>Not Allow</v>
      </c>
      <c r="S20" s="27" t="str">
        <f>IF(I20="","",_xlfn.XLOOKUP(I20,Lists!$C:$C,Lists!$I:$I))</f>
        <v>On-Label</v>
      </c>
    </row>
    <row r="21" spans="1:19" x14ac:dyDescent="0.2">
      <c r="A21" s="6">
        <v>46153</v>
      </c>
      <c r="B21" s="5">
        <v>51</v>
      </c>
      <c r="C21" s="26">
        <f>_xlfn.XLOOKUP(B21,Lists!B:B,Lists!A:A,"")</f>
        <v>4</v>
      </c>
      <c r="D21" s="5" t="s">
        <v>234</v>
      </c>
      <c r="E21" s="5">
        <v>1</v>
      </c>
      <c r="F21" s="5">
        <v>160</v>
      </c>
      <c r="G21" s="26">
        <f>IF(OR(E21="",F21=""),"",F21-E21+1)</f>
        <v>160</v>
      </c>
      <c r="H21" s="31">
        <f>IF(D21="","",IF(OR(D21="A",D21="B"),G21/80,IF(D21="A&amp;B",G21/160,"")))</f>
        <v>1</v>
      </c>
      <c r="I21" s="5" t="s">
        <v>65</v>
      </c>
      <c r="J21" s="27" t="str">
        <f>IF(I21="","",_xlfn.XLOOKUP(I21,Lists!$C:$C,Lists!$D:$D))</f>
        <v>Tebuconazole 25%</v>
      </c>
      <c r="K21" s="5" t="s">
        <v>52</v>
      </c>
      <c r="L21" s="5">
        <v>100</v>
      </c>
      <c r="M21" s="5">
        <v>900</v>
      </c>
      <c r="N21" s="26">
        <f>IF(OR(M21="",L21=""),"",(M21*L21)/100000)</f>
        <v>0.9</v>
      </c>
      <c r="O21" s="27" t="str">
        <f>IF(I21="","",_xlfn.XLOOKUP(I21,Lists!$C:$C,Lists!$J:$J))</f>
        <v>L</v>
      </c>
      <c r="P21" s="27">
        <f>IF(I21="","",_xlfn.XLOOKUP(I21,Lists!$C:$C,Lists!$E:$E))</f>
        <v>45</v>
      </c>
      <c r="Q21" s="28">
        <f>IF(OR(A21="",P21=""),"",A21+P21+1)</f>
        <v>46199</v>
      </c>
      <c r="R21" s="26" t="str">
        <f ca="1">IF(Q21="","",IF(Q21&lt;=TODAY(),"Allow","Not Allow"))</f>
        <v>Not Allow</v>
      </c>
      <c r="S21" s="27" t="str">
        <f>IF(I21="","",_xlfn.XLOOKUP(I21,Lists!$C:$C,Lists!$I:$I))</f>
        <v>On-Label</v>
      </c>
    </row>
    <row r="22" spans="1:19" x14ac:dyDescent="0.2">
      <c r="A22" s="6">
        <v>46153</v>
      </c>
      <c r="B22" s="5">
        <v>20</v>
      </c>
      <c r="C22" s="26">
        <f>_xlfn.XLOOKUP(B22,Lists!B:B,Lists!A:A,"")</f>
        <v>2</v>
      </c>
      <c r="D22" s="5" t="s">
        <v>234</v>
      </c>
      <c r="E22" s="5">
        <v>1</v>
      </c>
      <c r="F22" s="5">
        <v>160</v>
      </c>
      <c r="G22" s="26">
        <f>IF(OR(E22="",F22=""),"",F22-E22+1)</f>
        <v>160</v>
      </c>
      <c r="H22" s="31">
        <f>IF(D22="","",IF(OR(D22="A",D22="B"),G22/80,IF(D22="A&amp;B",G22/160,"")))</f>
        <v>1</v>
      </c>
      <c r="I22" s="5" t="s">
        <v>65</v>
      </c>
      <c r="J22" s="27" t="str">
        <f>IF(I22="","",_xlfn.XLOOKUP(I22,Lists!$C:$C,Lists!$D:$D))</f>
        <v>Tebuconazole 25%</v>
      </c>
      <c r="K22" s="5" t="s">
        <v>52</v>
      </c>
      <c r="L22" s="5">
        <v>100</v>
      </c>
      <c r="M22" s="5">
        <v>900</v>
      </c>
      <c r="N22" s="26">
        <f>IF(OR(M22="",L22=""),"",(M22*L22)/100000)</f>
        <v>0.9</v>
      </c>
      <c r="O22" s="27" t="str">
        <f>IF(I22="","",_xlfn.XLOOKUP(I22,Lists!$C:$C,Lists!$J:$J))</f>
        <v>L</v>
      </c>
      <c r="P22" s="27">
        <f>IF(I22="","",_xlfn.XLOOKUP(I22,Lists!$C:$C,Lists!$E:$E))</f>
        <v>45</v>
      </c>
      <c r="Q22" s="28">
        <f>IF(OR(A22="",P22=""),"",A22+P22+1)</f>
        <v>46199</v>
      </c>
      <c r="R22" s="26" t="str">
        <f ca="1">IF(Q22="","",IF(Q22&lt;=TODAY(),"Allow","Not Allow"))</f>
        <v>Not Allow</v>
      </c>
      <c r="S22" s="27" t="str">
        <f>IF(I22="","",_xlfn.XLOOKUP(I22,Lists!$C:$C,Lists!$I:$I))</f>
        <v>On-Label</v>
      </c>
    </row>
    <row r="23" spans="1:19" x14ac:dyDescent="0.2">
      <c r="A23" s="6">
        <v>46153</v>
      </c>
      <c r="B23" s="5">
        <v>24</v>
      </c>
      <c r="C23" s="26">
        <f>_xlfn.XLOOKUP(B23,Lists!B:B,Lists!A:A,"")</f>
        <v>3</v>
      </c>
      <c r="D23" s="5" t="s">
        <v>234</v>
      </c>
      <c r="E23" s="5">
        <v>1</v>
      </c>
      <c r="F23" s="5">
        <v>160</v>
      </c>
      <c r="G23" s="26">
        <f>IF(OR(E23="",F23=""),"",F23-E23+1)</f>
        <v>160</v>
      </c>
      <c r="H23" s="31">
        <f>IF(D23="","",IF(OR(D23="A",D23="B"),G23/80,IF(D23="A&amp;B",G23/160,"")))</f>
        <v>1</v>
      </c>
      <c r="I23" s="5" t="s">
        <v>65</v>
      </c>
      <c r="J23" s="27" t="str">
        <f>IF(I23="","",_xlfn.XLOOKUP(I23,Lists!$C:$C,Lists!$D:$D))</f>
        <v>Tebuconazole 25%</v>
      </c>
      <c r="K23" s="5" t="s">
        <v>52</v>
      </c>
      <c r="L23" s="5">
        <v>100</v>
      </c>
      <c r="M23" s="5">
        <v>900</v>
      </c>
      <c r="N23" s="26">
        <f>IF(OR(M23="",L23=""),"",(M23*L23)/100000)</f>
        <v>0.9</v>
      </c>
      <c r="O23" s="27" t="str">
        <f>IF(I23="","",_xlfn.XLOOKUP(I23,Lists!$C:$C,Lists!$J:$J))</f>
        <v>L</v>
      </c>
      <c r="P23" s="27">
        <f>IF(I23="","",_xlfn.XLOOKUP(I23,Lists!$C:$C,Lists!$E:$E))</f>
        <v>45</v>
      </c>
      <c r="Q23" s="28">
        <f>IF(OR(A23="",P23=""),"",A23+P23+1)</f>
        <v>46199</v>
      </c>
      <c r="R23" s="26" t="str">
        <f ca="1">IF(Q23="","",IF(Q23&lt;=TODAY(),"Allow","Not Allow"))</f>
        <v>Not Allow</v>
      </c>
      <c r="S23" s="27" t="str">
        <f>IF(I23="","",_xlfn.XLOOKUP(I23,Lists!$C:$C,Lists!$I:$I))</f>
        <v>On-Label</v>
      </c>
    </row>
    <row r="24" spans="1:19" x14ac:dyDescent="0.2">
      <c r="A24" s="6">
        <v>46153</v>
      </c>
      <c r="B24" s="5">
        <v>52</v>
      </c>
      <c r="C24" s="26">
        <f>_xlfn.XLOOKUP(B24,Lists!B:B,Lists!A:A,"")</f>
        <v>4</v>
      </c>
      <c r="D24" s="5" t="s">
        <v>234</v>
      </c>
      <c r="E24" s="5">
        <v>1</v>
      </c>
      <c r="F24" s="5">
        <v>160</v>
      </c>
      <c r="G24" s="26">
        <f>IF(OR(E24="",F24=""),"",F24-E24+1)</f>
        <v>160</v>
      </c>
      <c r="H24" s="31">
        <f>IF(D24="","",IF(OR(D24="A",D24="B"),G24/80,IF(D24="A&amp;B",G24/160,"")))</f>
        <v>1</v>
      </c>
      <c r="I24" s="5" t="s">
        <v>65</v>
      </c>
      <c r="J24" s="27" t="str">
        <f>IF(I24="","",_xlfn.XLOOKUP(I24,Lists!$C:$C,Lists!$D:$D))</f>
        <v>Tebuconazole 25%</v>
      </c>
      <c r="K24" s="5" t="s">
        <v>52</v>
      </c>
      <c r="L24" s="5">
        <v>100</v>
      </c>
      <c r="M24" s="5">
        <v>900</v>
      </c>
      <c r="N24" s="26">
        <f>IF(OR(M24="",L24=""),"",(M24*L24)/100000)</f>
        <v>0.9</v>
      </c>
      <c r="O24" s="27" t="str">
        <f>IF(I24="","",_xlfn.XLOOKUP(I24,Lists!$C:$C,Lists!$J:$J))</f>
        <v>L</v>
      </c>
      <c r="P24" s="27">
        <f>IF(I24="","",_xlfn.XLOOKUP(I24,Lists!$C:$C,Lists!$E:$E))</f>
        <v>45</v>
      </c>
      <c r="Q24" s="28">
        <f>IF(OR(A24="",P24=""),"",A24+P24+1)</f>
        <v>46199</v>
      </c>
      <c r="R24" s="26" t="str">
        <f ca="1">IF(Q24="","",IF(Q24&lt;=TODAY(),"Allow","Not Allow"))</f>
        <v>Not Allow</v>
      </c>
      <c r="S24" s="27" t="str">
        <f>IF(I24="","",_xlfn.XLOOKUP(I24,Lists!$C:$C,Lists!$I:$I))</f>
        <v>On-Label</v>
      </c>
    </row>
    <row r="25" spans="1:19" x14ac:dyDescent="0.2">
      <c r="A25" s="6">
        <v>46153</v>
      </c>
      <c r="B25" s="5">
        <v>38</v>
      </c>
      <c r="C25" s="26">
        <f>_xlfn.XLOOKUP(B25,Lists!B:B,Lists!A:A,"")</f>
        <v>5</v>
      </c>
      <c r="D25" s="5" t="s">
        <v>234</v>
      </c>
      <c r="E25" s="5">
        <v>1</v>
      </c>
      <c r="F25" s="5">
        <v>160</v>
      </c>
      <c r="G25" s="26">
        <f>IF(OR(E25="",F25=""),"",F25-E25+1)</f>
        <v>160</v>
      </c>
      <c r="H25" s="31">
        <f>IF(D25="","",IF(OR(D25="A",D25="B"),G25/80,IF(D25="A&amp;B",G25/160,"")))</f>
        <v>1</v>
      </c>
      <c r="I25" s="5" t="s">
        <v>65</v>
      </c>
      <c r="J25" s="27" t="str">
        <f>IF(I25="","",_xlfn.XLOOKUP(I25,Lists!$C:$C,Lists!$D:$D))</f>
        <v>Tebuconazole 25%</v>
      </c>
      <c r="K25" s="5" t="s">
        <v>52</v>
      </c>
      <c r="L25" s="5">
        <v>100</v>
      </c>
      <c r="M25" s="5">
        <v>900</v>
      </c>
      <c r="N25" s="26">
        <f>IF(OR(M25="",L25=""),"",(M25*L25)/100000)</f>
        <v>0.9</v>
      </c>
      <c r="O25" s="27" t="str">
        <f>IF(I25="","",_xlfn.XLOOKUP(I25,Lists!$C:$C,Lists!$J:$J))</f>
        <v>L</v>
      </c>
      <c r="P25" s="27">
        <f>IF(I25="","",_xlfn.XLOOKUP(I25,Lists!$C:$C,Lists!$E:$E))</f>
        <v>45</v>
      </c>
      <c r="Q25" s="28">
        <f>IF(OR(A25="",P25=""),"",A25+P25+1)</f>
        <v>46199</v>
      </c>
      <c r="R25" s="26" t="str">
        <f ca="1">IF(Q25="","",IF(Q25&lt;=TODAY(),"Allow","Not Allow"))</f>
        <v>Not Allow</v>
      </c>
      <c r="S25" s="27" t="str">
        <f>IF(I25="","",_xlfn.XLOOKUP(I25,Lists!$C:$C,Lists!$I:$I))</f>
        <v>On-Label</v>
      </c>
    </row>
    <row r="26" spans="1:19" x14ac:dyDescent="0.2">
      <c r="A26" s="6">
        <v>46154</v>
      </c>
      <c r="B26" s="5">
        <v>24</v>
      </c>
      <c r="C26" s="26">
        <f>_xlfn.XLOOKUP(B26,Lists!B:B,Lists!A:A,"")</f>
        <v>3</v>
      </c>
      <c r="D26" s="5" t="s">
        <v>234</v>
      </c>
      <c r="E26" s="5">
        <v>1</v>
      </c>
      <c r="F26" s="5">
        <v>160</v>
      </c>
      <c r="G26" s="26">
        <f>IF(OR(E26="",F26=""),"",F26-E26+1)</f>
        <v>160</v>
      </c>
      <c r="H26" s="31">
        <f>IF(D26="","",IF(OR(D26="A",D26="B"),G26/80,IF(D26="A&amp;B",G26/160,"")))</f>
        <v>1</v>
      </c>
      <c r="I26" s="5" t="s">
        <v>65</v>
      </c>
      <c r="J26" s="27" t="str">
        <f>IF(I26="","",_xlfn.XLOOKUP(I26,Lists!$C:$C,Lists!$D:$D))</f>
        <v>Tebuconazole 25%</v>
      </c>
      <c r="K26" s="5" t="s">
        <v>52</v>
      </c>
      <c r="L26" s="5">
        <v>100</v>
      </c>
      <c r="M26" s="5">
        <v>900</v>
      </c>
      <c r="N26" s="26">
        <f>IF(OR(M26="",L26=""),"",(M26*L26)/100000)</f>
        <v>0.9</v>
      </c>
      <c r="O26" s="27" t="str">
        <f>IF(I26="","",_xlfn.XLOOKUP(I26,Lists!$C:$C,Lists!$J:$J))</f>
        <v>L</v>
      </c>
      <c r="P26" s="27">
        <f>IF(I26="","",_xlfn.XLOOKUP(I26,Lists!$C:$C,Lists!$E:$E))</f>
        <v>45</v>
      </c>
      <c r="Q26" s="28">
        <f>IF(OR(A26="",P26=""),"",A26+P26+1)</f>
        <v>46200</v>
      </c>
      <c r="R26" s="26" t="str">
        <f ca="1">IF(Q26="","",IF(Q26&lt;=TODAY(),"Allow","Not Allow"))</f>
        <v>Not Allow</v>
      </c>
      <c r="S26" s="27" t="str">
        <f>IF(I26="","",_xlfn.XLOOKUP(I26,Lists!$C:$C,Lists!$I:$I))</f>
        <v>On-Label</v>
      </c>
    </row>
    <row r="27" spans="1:19" x14ac:dyDescent="0.2">
      <c r="A27" s="6">
        <v>46154</v>
      </c>
      <c r="B27" s="5">
        <v>25</v>
      </c>
      <c r="C27" s="26">
        <f>_xlfn.XLOOKUP(B27,Lists!B:B,Lists!A:A,"")</f>
        <v>3</v>
      </c>
      <c r="D27" s="5" t="s">
        <v>234</v>
      </c>
      <c r="E27" s="5">
        <v>1</v>
      </c>
      <c r="F27" s="5">
        <v>160</v>
      </c>
      <c r="G27" s="26">
        <f>IF(OR(E27="",F27=""),"",F27-E27+1)</f>
        <v>160</v>
      </c>
      <c r="H27" s="31">
        <f>IF(D27="","",IF(OR(D27="A",D27="B"),G27/80,IF(D27="A&amp;B",G27/160,"")))</f>
        <v>1</v>
      </c>
      <c r="I27" s="5" t="s">
        <v>65</v>
      </c>
      <c r="J27" s="27" t="str">
        <f>IF(I27="","",_xlfn.XLOOKUP(I27,Lists!$C:$C,Lists!$D:$D))</f>
        <v>Tebuconazole 25%</v>
      </c>
      <c r="K27" s="5" t="s">
        <v>52</v>
      </c>
      <c r="L27" s="5">
        <v>100</v>
      </c>
      <c r="M27" s="5">
        <v>900</v>
      </c>
      <c r="N27" s="26">
        <f>IF(OR(M27="",L27=""),"",(M27*L27)/100000)</f>
        <v>0.9</v>
      </c>
      <c r="O27" s="27" t="str">
        <f>IF(I27="","",_xlfn.XLOOKUP(I27,Lists!$C:$C,Lists!$J:$J))</f>
        <v>L</v>
      </c>
      <c r="P27" s="27">
        <f>IF(I27="","",_xlfn.XLOOKUP(I27,Lists!$C:$C,Lists!$E:$E))</f>
        <v>45</v>
      </c>
      <c r="Q27" s="28">
        <f>IF(OR(A27="",P27=""),"",A27+P27+1)</f>
        <v>46200</v>
      </c>
      <c r="R27" s="26" t="str">
        <f ca="1">IF(Q27="","",IF(Q27&lt;=TODAY(),"Allow","Not Allow"))</f>
        <v>Not Allow</v>
      </c>
      <c r="S27" s="27" t="str">
        <f>IF(I27="","",_xlfn.XLOOKUP(I27,Lists!$C:$C,Lists!$I:$I))</f>
        <v>On-Label</v>
      </c>
    </row>
    <row r="28" spans="1:19" x14ac:dyDescent="0.2">
      <c r="A28" s="6">
        <v>46154</v>
      </c>
      <c r="B28" s="5">
        <v>19</v>
      </c>
      <c r="C28" s="26">
        <f>_xlfn.XLOOKUP(B28,Lists!B:B,Lists!A:A,"")</f>
        <v>2</v>
      </c>
      <c r="D28" s="5" t="s">
        <v>234</v>
      </c>
      <c r="E28" s="5">
        <v>1</v>
      </c>
      <c r="F28" s="5">
        <v>160</v>
      </c>
      <c r="G28" s="26">
        <f>IF(OR(E28="",F28=""),"",F28-E28+1)</f>
        <v>160</v>
      </c>
      <c r="H28" s="31">
        <f>IF(D28="","",IF(OR(D28="A",D28="B"),G28/80,IF(D28="A&amp;B",G28/160,"")))</f>
        <v>1</v>
      </c>
      <c r="I28" s="5" t="s">
        <v>65</v>
      </c>
      <c r="J28" s="27" t="str">
        <f>IF(I28="","",_xlfn.XLOOKUP(I28,Lists!$C:$C,Lists!$D:$D))</f>
        <v>Tebuconazole 25%</v>
      </c>
      <c r="K28" s="5" t="s">
        <v>52</v>
      </c>
      <c r="L28" s="5">
        <v>100</v>
      </c>
      <c r="M28" s="5">
        <v>900</v>
      </c>
      <c r="N28" s="26">
        <f>IF(OR(M28="",L28=""),"",(M28*L28)/100000)</f>
        <v>0.9</v>
      </c>
      <c r="O28" s="27" t="str">
        <f>IF(I28="","",_xlfn.XLOOKUP(I28,Lists!$C:$C,Lists!$J:$J))</f>
        <v>L</v>
      </c>
      <c r="P28" s="27">
        <f>IF(I28="","",_xlfn.XLOOKUP(I28,Lists!$C:$C,Lists!$E:$E))</f>
        <v>45</v>
      </c>
      <c r="Q28" s="28">
        <f>IF(OR(A28="",P28=""),"",A28+P28+1)</f>
        <v>46200</v>
      </c>
      <c r="R28" s="26" t="str">
        <f ca="1">IF(Q28="","",IF(Q28&lt;=TODAY(),"Allow","Not Allow"))</f>
        <v>Not Allow</v>
      </c>
      <c r="S28" s="27" t="str">
        <f>IF(I28="","",_xlfn.XLOOKUP(I28,Lists!$C:$C,Lists!$I:$I))</f>
        <v>On-Label</v>
      </c>
    </row>
    <row r="29" spans="1:19" x14ac:dyDescent="0.2">
      <c r="A29" s="6">
        <v>46155</v>
      </c>
      <c r="B29" s="5">
        <v>8</v>
      </c>
      <c r="C29" s="26">
        <f>_xlfn.XLOOKUP(B29,Lists!B:B,Lists!A:A,"")</f>
        <v>1</v>
      </c>
      <c r="D29" s="5" t="s">
        <v>234</v>
      </c>
      <c r="E29" s="5">
        <v>1</v>
      </c>
      <c r="F29" s="5">
        <v>160</v>
      </c>
      <c r="G29" s="26">
        <f>IF(OR(E29="",F29=""),"",F29-E29+1)</f>
        <v>160</v>
      </c>
      <c r="H29" s="31">
        <f>IF(D29="","",IF(OR(D29="A",D29="B"),G29/80,IF(D29="A&amp;B",G29/160,"")))</f>
        <v>1</v>
      </c>
      <c r="I29" s="5" t="s">
        <v>65</v>
      </c>
      <c r="J29" s="27" t="str">
        <f>IF(I29="","",_xlfn.XLOOKUP(I29,Lists!$C:$C,Lists!$D:$D))</f>
        <v>Tebuconazole 25%</v>
      </c>
      <c r="K29" s="5" t="s">
        <v>52</v>
      </c>
      <c r="L29" s="5">
        <v>100</v>
      </c>
      <c r="M29" s="5">
        <v>900</v>
      </c>
      <c r="N29" s="26">
        <f>IF(OR(M29="",L29=""),"",(M29*L29)/100000)</f>
        <v>0.9</v>
      </c>
      <c r="O29" s="27" t="str">
        <f>IF(I29="","",_xlfn.XLOOKUP(I29,Lists!$C:$C,Lists!$J:$J))</f>
        <v>L</v>
      </c>
      <c r="P29" s="27">
        <f>IF(I29="","",_xlfn.XLOOKUP(I29,Lists!$C:$C,Lists!$E:$E))</f>
        <v>45</v>
      </c>
      <c r="Q29" s="28">
        <f>IF(OR(A29="",P29=""),"",A29+P29+1)</f>
        <v>46201</v>
      </c>
      <c r="R29" s="26" t="str">
        <f ca="1">IF(Q29="","",IF(Q29&lt;=TODAY(),"Allow","Not Allow"))</f>
        <v>Not Allow</v>
      </c>
      <c r="S29" s="27" t="str">
        <f>IF(I29="","",_xlfn.XLOOKUP(I29,Lists!$C:$C,Lists!$I:$I))</f>
        <v>On-Label</v>
      </c>
    </row>
    <row r="30" spans="1:19" x14ac:dyDescent="0.2">
      <c r="A30" s="6">
        <v>46156</v>
      </c>
      <c r="B30" s="5">
        <v>7</v>
      </c>
      <c r="C30" s="26">
        <f>_xlfn.XLOOKUP(B30,Lists!B:B,Lists!A:A,"")</f>
        <v>1</v>
      </c>
      <c r="D30" s="5" t="s">
        <v>234</v>
      </c>
      <c r="E30" s="5">
        <v>1</v>
      </c>
      <c r="F30" s="5">
        <v>160</v>
      </c>
      <c r="G30" s="26">
        <f>IF(OR(E30="",F30=""),"",F30-E30+1)</f>
        <v>160</v>
      </c>
      <c r="H30" s="31">
        <f>IF(D30="","",IF(OR(D30="A",D30="B"),G30/80,IF(D30="A&amp;B",G30/160,"")))</f>
        <v>1</v>
      </c>
      <c r="I30" s="5" t="s">
        <v>65</v>
      </c>
      <c r="J30" s="27" t="str">
        <f>IF(I30="","",_xlfn.XLOOKUP(I30,Lists!$C:$C,Lists!$D:$D))</f>
        <v>Tebuconazole 25%</v>
      </c>
      <c r="K30" s="5" t="s">
        <v>52</v>
      </c>
      <c r="L30" s="5">
        <v>100</v>
      </c>
      <c r="M30" s="5">
        <v>900</v>
      </c>
      <c r="N30" s="26">
        <f>IF(OR(M30="",L30=""),"",(M30*L30)/100000)</f>
        <v>0.9</v>
      </c>
      <c r="O30" s="27" t="str">
        <f>IF(I30="","",_xlfn.XLOOKUP(I30,Lists!$C:$C,Lists!$J:$J))</f>
        <v>L</v>
      </c>
      <c r="P30" s="27">
        <f>IF(I30="","",_xlfn.XLOOKUP(I30,Lists!$C:$C,Lists!$E:$E))</f>
        <v>45</v>
      </c>
      <c r="Q30" s="28">
        <f>IF(OR(A30="",P30=""),"",A30+P30+1)</f>
        <v>46202</v>
      </c>
      <c r="R30" s="26" t="str">
        <f ca="1">IF(Q30="","",IF(Q30&lt;=TODAY(),"Allow","Not Allow"))</f>
        <v>Not Allow</v>
      </c>
      <c r="S30" s="27" t="str">
        <f>IF(I30="","",_xlfn.XLOOKUP(I30,Lists!$C:$C,Lists!$I:$I))</f>
        <v>On-Label</v>
      </c>
    </row>
    <row r="31" spans="1:19" x14ac:dyDescent="0.2">
      <c r="A31" s="6">
        <v>46156</v>
      </c>
      <c r="B31" s="5">
        <v>39</v>
      </c>
      <c r="C31" s="26">
        <f>_xlfn.XLOOKUP(B31,Lists!B:B,Lists!A:A,"")</f>
        <v>5</v>
      </c>
      <c r="D31" s="5" t="s">
        <v>234</v>
      </c>
      <c r="E31" s="5">
        <v>1</v>
      </c>
      <c r="F31" s="5">
        <v>160</v>
      </c>
      <c r="G31" s="26">
        <f>IF(OR(E31="",F31=""),"",F31-E31+1)</f>
        <v>160</v>
      </c>
      <c r="H31" s="31">
        <f>IF(D31="","",IF(OR(D31="A",D31="B"),G31/80,IF(D31="A&amp;B",G31/160,"")))</f>
        <v>1</v>
      </c>
      <c r="I31" s="5" t="s">
        <v>65</v>
      </c>
      <c r="J31" s="27" t="str">
        <f>IF(I31="","",_xlfn.XLOOKUP(I31,Lists!$C:$C,Lists!$D:$D))</f>
        <v>Tebuconazole 25%</v>
      </c>
      <c r="K31" s="5" t="s">
        <v>52</v>
      </c>
      <c r="L31" s="5">
        <v>100</v>
      </c>
      <c r="M31" s="5">
        <v>900</v>
      </c>
      <c r="N31" s="26">
        <f>IF(OR(M31="",L31=""),"",(M31*L31)/100000)</f>
        <v>0.9</v>
      </c>
      <c r="O31" s="27" t="str">
        <f>IF(I31="","",_xlfn.XLOOKUP(I31,Lists!$C:$C,Lists!$J:$J))</f>
        <v>L</v>
      </c>
      <c r="P31" s="27">
        <f>IF(I31="","",_xlfn.XLOOKUP(I31,Lists!$C:$C,Lists!$E:$E))</f>
        <v>45</v>
      </c>
      <c r="Q31" s="28">
        <f>IF(OR(A31="",P31=""),"",A31+P31+1)</f>
        <v>46202</v>
      </c>
      <c r="R31" s="26" t="str">
        <f ca="1">IF(Q31="","",IF(Q31&lt;=TODAY(),"Allow","Not Allow"))</f>
        <v>Not Allow</v>
      </c>
      <c r="S31" s="27" t="str">
        <f>IF(I31="","",_xlfn.XLOOKUP(I31,Lists!$C:$C,Lists!$I:$I))</f>
        <v>On-Label</v>
      </c>
    </row>
    <row r="32" spans="1:19" x14ac:dyDescent="0.2">
      <c r="A32" s="6">
        <v>46156</v>
      </c>
      <c r="B32" s="5">
        <v>34</v>
      </c>
      <c r="C32" s="26">
        <f>_xlfn.XLOOKUP(B32,Lists!B:B,Lists!A:A,"")</f>
        <v>5</v>
      </c>
      <c r="D32" s="5" t="s">
        <v>234</v>
      </c>
      <c r="E32" s="5">
        <v>1</v>
      </c>
      <c r="F32" s="5">
        <v>160</v>
      </c>
      <c r="G32" s="26">
        <f>IF(OR(E32="",F32=""),"",F32-E32+1)</f>
        <v>160</v>
      </c>
      <c r="H32" s="31">
        <f>IF(D32="","",IF(OR(D32="A",D32="B"),G32/80,IF(D32="A&amp;B",G32/160,"")))</f>
        <v>1</v>
      </c>
      <c r="I32" s="5" t="s">
        <v>65</v>
      </c>
      <c r="J32" s="27" t="str">
        <f>IF(I32="","",_xlfn.XLOOKUP(I32,Lists!$C:$C,Lists!$D:$D))</f>
        <v>Tebuconazole 25%</v>
      </c>
      <c r="K32" s="5" t="s">
        <v>52</v>
      </c>
      <c r="L32" s="5">
        <v>100</v>
      </c>
      <c r="M32" s="5">
        <v>900</v>
      </c>
      <c r="N32" s="26">
        <f>IF(OR(M32="",L32=""),"",(M32*L32)/100000)</f>
        <v>0.9</v>
      </c>
      <c r="O32" s="27" t="str">
        <f>IF(I32="","",_xlfn.XLOOKUP(I32,Lists!$C:$C,Lists!$J:$J))</f>
        <v>L</v>
      </c>
      <c r="P32" s="27">
        <f>IF(I32="","",_xlfn.XLOOKUP(I32,Lists!$C:$C,Lists!$E:$E))</f>
        <v>45</v>
      </c>
      <c r="Q32" s="28">
        <f>IF(OR(A32="",P32=""),"",A32+P32+1)</f>
        <v>46202</v>
      </c>
      <c r="R32" s="26" t="str">
        <f ca="1">IF(Q32="","",IF(Q32&lt;=TODAY(),"Allow","Not Allow"))</f>
        <v>Not Allow</v>
      </c>
      <c r="S32" s="27" t="str">
        <f>IF(I32="","",_xlfn.XLOOKUP(I32,Lists!$C:$C,Lists!$I:$I))</f>
        <v>On-Label</v>
      </c>
    </row>
    <row r="33" spans="1:19" x14ac:dyDescent="0.2">
      <c r="A33" s="6">
        <v>46156</v>
      </c>
      <c r="B33" s="5">
        <v>6</v>
      </c>
      <c r="C33" s="26">
        <f>_xlfn.XLOOKUP(B33,Lists!B:B,Lists!A:A,"")</f>
        <v>1</v>
      </c>
      <c r="D33" s="5" t="s">
        <v>234</v>
      </c>
      <c r="E33" s="5">
        <v>1</v>
      </c>
      <c r="F33" s="5">
        <v>160</v>
      </c>
      <c r="G33" s="26">
        <f>IF(OR(E33="",F33=""),"",F33-E33+1)</f>
        <v>160</v>
      </c>
      <c r="H33" s="31">
        <f>IF(D33="","",IF(OR(D33="A",D33="B"),G33/80,IF(D33="A&amp;B",G33/160,"")))</f>
        <v>1</v>
      </c>
      <c r="I33" s="5" t="s">
        <v>65</v>
      </c>
      <c r="J33" s="27" t="str">
        <f>IF(I33="","",_xlfn.XLOOKUP(I33,Lists!$C:$C,Lists!$D:$D))</f>
        <v>Tebuconazole 25%</v>
      </c>
      <c r="K33" s="5" t="s">
        <v>52</v>
      </c>
      <c r="L33" s="5">
        <v>100</v>
      </c>
      <c r="M33" s="5">
        <v>900</v>
      </c>
      <c r="N33" s="26">
        <f>IF(OR(M33="",L33=""),"",(M33*L33)/100000)</f>
        <v>0.9</v>
      </c>
      <c r="O33" s="27" t="str">
        <f>IF(I33="","",_xlfn.XLOOKUP(I33,Lists!$C:$C,Lists!$J:$J))</f>
        <v>L</v>
      </c>
      <c r="P33" s="27">
        <f>IF(I33="","",_xlfn.XLOOKUP(I33,Lists!$C:$C,Lists!$E:$E))</f>
        <v>45</v>
      </c>
      <c r="Q33" s="28">
        <f>IF(OR(A33="",P33=""),"",A33+P33+1)</f>
        <v>46202</v>
      </c>
      <c r="R33" s="26" t="str">
        <f ca="1">IF(Q33="","",IF(Q33&lt;=TODAY(),"Allow","Not Allow"))</f>
        <v>Not Allow</v>
      </c>
      <c r="S33" s="27" t="str">
        <f>IF(I33="","",_xlfn.XLOOKUP(I33,Lists!$C:$C,Lists!$I:$I))</f>
        <v>On-Label</v>
      </c>
    </row>
    <row r="34" spans="1:19" x14ac:dyDescent="0.2">
      <c r="A34" s="6">
        <v>46157</v>
      </c>
      <c r="B34" s="5">
        <v>33</v>
      </c>
      <c r="C34" s="26">
        <f>_xlfn.XLOOKUP(B34,Lists!B:B,Lists!A:A,"")</f>
        <v>5</v>
      </c>
      <c r="D34" s="5" t="s">
        <v>234</v>
      </c>
      <c r="E34" s="5">
        <v>1</v>
      </c>
      <c r="F34" s="5">
        <v>160</v>
      </c>
      <c r="G34" s="26">
        <f>IF(OR(E34="",F34=""),"",F34-E34+1)</f>
        <v>160</v>
      </c>
      <c r="H34" s="31">
        <f>IF(D34="","",IF(OR(D34="A",D34="B"),G34/80,IF(D34="A&amp;B",G34/160,"")))</f>
        <v>1</v>
      </c>
      <c r="I34" s="5" t="s">
        <v>65</v>
      </c>
      <c r="J34" s="27" t="str">
        <f>IF(I34="","",_xlfn.XLOOKUP(I34,Lists!$C:$C,Lists!$D:$D))</f>
        <v>Tebuconazole 25%</v>
      </c>
      <c r="K34" s="5" t="s">
        <v>52</v>
      </c>
      <c r="L34" s="5">
        <v>100</v>
      </c>
      <c r="M34" s="5">
        <v>900</v>
      </c>
      <c r="N34" s="26">
        <f>IF(OR(M34="",L34=""),"",(M34*L34)/100000)</f>
        <v>0.9</v>
      </c>
      <c r="O34" s="27" t="str">
        <f>IF(I34="","",_xlfn.XLOOKUP(I34,Lists!$C:$C,Lists!$J:$J))</f>
        <v>L</v>
      </c>
      <c r="P34" s="27">
        <f>IF(I34="","",_xlfn.XLOOKUP(I34,Lists!$C:$C,Lists!$E:$E))</f>
        <v>45</v>
      </c>
      <c r="Q34" s="28">
        <f>IF(OR(A34="",P34=""),"",A34+P34+1)</f>
        <v>46203</v>
      </c>
      <c r="R34" s="26" t="str">
        <f ca="1">IF(Q34="","",IF(Q34&lt;=TODAY(),"Allow","Not Allow"))</f>
        <v>Not Allow</v>
      </c>
      <c r="S34" s="27" t="str">
        <f>IF(I34="","",_xlfn.XLOOKUP(I34,Lists!$C:$C,Lists!$I:$I))</f>
        <v>On-Label</v>
      </c>
    </row>
    <row r="35" spans="1:19" x14ac:dyDescent="0.2">
      <c r="A35" s="6">
        <v>46158</v>
      </c>
      <c r="B35" s="5">
        <v>17</v>
      </c>
      <c r="C35" s="26">
        <f>_xlfn.XLOOKUP(B35,Lists!B:B,Lists!A:A,"")</f>
        <v>2</v>
      </c>
      <c r="D35" s="5" t="s">
        <v>234</v>
      </c>
      <c r="E35" s="5">
        <v>1</v>
      </c>
      <c r="F35" s="5">
        <v>160</v>
      </c>
      <c r="G35" s="26">
        <f>IF(OR(E35="",F35=""),"",F35-E35+1)</f>
        <v>160</v>
      </c>
      <c r="H35" s="31">
        <f>IF(D35="","",IF(OR(D35="A",D35="B"),G35/80,IF(D35="A&amp;B",G35/160,"")))</f>
        <v>1</v>
      </c>
      <c r="I35" s="5" t="s">
        <v>65</v>
      </c>
      <c r="J35" s="27" t="str">
        <f>IF(I35="","",_xlfn.XLOOKUP(I35,Lists!$C:$C,Lists!$D:$D))</f>
        <v>Tebuconazole 25%</v>
      </c>
      <c r="K35" s="5" t="s">
        <v>52</v>
      </c>
      <c r="L35" s="5">
        <v>100</v>
      </c>
      <c r="M35" s="5">
        <v>900</v>
      </c>
      <c r="N35" s="26">
        <f>IF(OR(M35="",L35=""),"",(M35*L35)/100000)</f>
        <v>0.9</v>
      </c>
      <c r="O35" s="27" t="str">
        <f>IF(I35="","",_xlfn.XLOOKUP(I35,Lists!$C:$C,Lists!$J:$J))</f>
        <v>L</v>
      </c>
      <c r="P35" s="27">
        <f>IF(I35="","",_xlfn.XLOOKUP(I35,Lists!$C:$C,Lists!$E:$E))</f>
        <v>45</v>
      </c>
      <c r="Q35" s="28">
        <f>IF(OR(A35="",P35=""),"",A35+P35+1)</f>
        <v>46204</v>
      </c>
      <c r="R35" s="26" t="str">
        <f ca="1">IF(Q35="","",IF(Q35&lt;=TODAY(),"Allow","Not Allow"))</f>
        <v>Not Allow</v>
      </c>
      <c r="S35" s="27" t="str">
        <f>IF(I35="","",_xlfn.XLOOKUP(I35,Lists!$C:$C,Lists!$I:$I))</f>
        <v>On-Label</v>
      </c>
    </row>
    <row r="36" spans="1:19" x14ac:dyDescent="0.2">
      <c r="A36" s="6">
        <v>46158</v>
      </c>
      <c r="B36" s="5">
        <v>56</v>
      </c>
      <c r="C36" s="26">
        <f>_xlfn.XLOOKUP(B36,Lists!B:B,Lists!A:A,"")</f>
        <v>4</v>
      </c>
      <c r="D36" s="5" t="s">
        <v>234</v>
      </c>
      <c r="E36" s="5">
        <v>1</v>
      </c>
      <c r="F36" s="5">
        <v>160</v>
      </c>
      <c r="G36" s="26">
        <f>IF(OR(E36="",F36=""),"",F36-E36+1)</f>
        <v>160</v>
      </c>
      <c r="H36" s="31">
        <f>IF(D36="","",IF(OR(D36="A",D36="B"),G36/80,IF(D36="A&amp;B",G36/160,"")))</f>
        <v>1</v>
      </c>
      <c r="I36" s="5" t="s">
        <v>65</v>
      </c>
      <c r="J36" s="27" t="str">
        <f>IF(I36="","",_xlfn.XLOOKUP(I36,Lists!$C:$C,Lists!$D:$D))</f>
        <v>Tebuconazole 25%</v>
      </c>
      <c r="K36" s="5" t="s">
        <v>52</v>
      </c>
      <c r="L36" s="5">
        <v>100</v>
      </c>
      <c r="M36" s="5">
        <v>900</v>
      </c>
      <c r="N36" s="26">
        <f>IF(OR(M36="",L36=""),"",(M36*L36)/100000)</f>
        <v>0.9</v>
      </c>
      <c r="O36" s="27" t="str">
        <f>IF(I36="","",_xlfn.XLOOKUP(I36,Lists!$C:$C,Lists!$J:$J))</f>
        <v>L</v>
      </c>
      <c r="P36" s="27">
        <f>IF(I36="","",_xlfn.XLOOKUP(I36,Lists!$C:$C,Lists!$E:$E))</f>
        <v>45</v>
      </c>
      <c r="Q36" s="28">
        <f>IF(OR(A36="",P36=""),"",A36+P36+1)</f>
        <v>46204</v>
      </c>
      <c r="R36" s="26" t="str">
        <f ca="1">IF(Q36="","",IF(Q36&lt;=TODAY(),"Allow","Not Allow"))</f>
        <v>Not Allow</v>
      </c>
      <c r="S36" s="27" t="str">
        <f>IF(I36="","",_xlfn.XLOOKUP(I36,Lists!$C:$C,Lists!$I:$I))</f>
        <v>On-Label</v>
      </c>
    </row>
    <row r="37" spans="1:19" x14ac:dyDescent="0.2">
      <c r="A37" s="6">
        <v>46160</v>
      </c>
      <c r="B37" s="5">
        <v>57</v>
      </c>
      <c r="C37" s="26">
        <f>_xlfn.XLOOKUP(B37,Lists!B:B,Lists!A:A,"")</f>
        <v>4</v>
      </c>
      <c r="D37" s="5" t="s">
        <v>234</v>
      </c>
      <c r="E37" s="5">
        <v>1</v>
      </c>
      <c r="F37" s="5">
        <v>160</v>
      </c>
      <c r="G37" s="26">
        <f>IF(OR(E37="",F37=""),"",F37-E37+1)</f>
        <v>160</v>
      </c>
      <c r="H37" s="31">
        <f>IF(D37="","",IF(OR(D37="A",D37="B"),G37/80,IF(D37="A&amp;B",G37/160,"")))</f>
        <v>1</v>
      </c>
      <c r="I37" s="5" t="s">
        <v>65</v>
      </c>
      <c r="J37" s="27" t="str">
        <f>IF(I37="","",_xlfn.XLOOKUP(I37,Lists!$C:$C,Lists!$D:$D))</f>
        <v>Tebuconazole 25%</v>
      </c>
      <c r="K37" s="5" t="s">
        <v>52</v>
      </c>
      <c r="L37" s="5">
        <v>100</v>
      </c>
      <c r="M37" s="5">
        <v>900</v>
      </c>
      <c r="N37" s="26">
        <f>IF(OR(M37="",L37=""),"",(M37*L37)/100000)</f>
        <v>0.9</v>
      </c>
      <c r="O37" s="27" t="str">
        <f>IF(I37="","",_xlfn.XLOOKUP(I37,Lists!$C:$C,Lists!$J:$J))</f>
        <v>L</v>
      </c>
      <c r="P37" s="27">
        <f>IF(I37="","",_xlfn.XLOOKUP(I37,Lists!$C:$C,Lists!$E:$E))</f>
        <v>45</v>
      </c>
      <c r="Q37" s="28">
        <f>IF(OR(A37="",P37=""),"",A37+P37+1)</f>
        <v>46206</v>
      </c>
      <c r="R37" s="26" t="str">
        <f ca="1">IF(Q37="","",IF(Q37&lt;=TODAY(),"Allow","Not Allow"))</f>
        <v>Not Allow</v>
      </c>
      <c r="S37" s="27" t="str">
        <f>IF(I37="","",_xlfn.XLOOKUP(I37,Lists!$C:$C,Lists!$I:$I))</f>
        <v>On-Label</v>
      </c>
    </row>
    <row r="38" spans="1:19" x14ac:dyDescent="0.2">
      <c r="A38" s="6">
        <v>46160</v>
      </c>
      <c r="B38" s="5">
        <v>58</v>
      </c>
      <c r="C38" s="26">
        <f>_xlfn.XLOOKUP(B38,Lists!B:B,Lists!A:A,"")</f>
        <v>4</v>
      </c>
      <c r="D38" s="5" t="s">
        <v>234</v>
      </c>
      <c r="E38" s="5">
        <v>1</v>
      </c>
      <c r="F38" s="5">
        <v>160</v>
      </c>
      <c r="G38" s="26">
        <f>IF(OR(E38="",F38=""),"",F38-E38+1)</f>
        <v>160</v>
      </c>
      <c r="H38" s="31">
        <f>IF(D38="","",IF(OR(D38="A",D38="B"),G38/80,IF(D38="A&amp;B",G38/160,"")))</f>
        <v>1</v>
      </c>
      <c r="I38" s="5" t="s">
        <v>65</v>
      </c>
      <c r="J38" s="27" t="str">
        <f>IF(I38="","",_xlfn.XLOOKUP(I38,Lists!$C:$C,Lists!$D:$D))</f>
        <v>Tebuconazole 25%</v>
      </c>
      <c r="K38" s="5" t="s">
        <v>52</v>
      </c>
      <c r="L38" s="5">
        <v>100</v>
      </c>
      <c r="M38" s="5">
        <v>900</v>
      </c>
      <c r="N38" s="26">
        <f>IF(OR(M38="",L38=""),"",(M38*L38)/100000)</f>
        <v>0.9</v>
      </c>
      <c r="O38" s="27" t="str">
        <f>IF(I38="","",_xlfn.XLOOKUP(I38,Lists!$C:$C,Lists!$J:$J))</f>
        <v>L</v>
      </c>
      <c r="P38" s="27">
        <f>IF(I38="","",_xlfn.XLOOKUP(I38,Lists!$C:$C,Lists!$E:$E))</f>
        <v>45</v>
      </c>
      <c r="Q38" s="28">
        <f>IF(OR(A38="",P38=""),"",A38+P38+1)</f>
        <v>46206</v>
      </c>
      <c r="R38" s="26" t="str">
        <f ca="1">IF(Q38="","",IF(Q38&lt;=TODAY(),"Allow","Not Allow"))</f>
        <v>Not Allow</v>
      </c>
      <c r="S38" s="27" t="str">
        <f>IF(I38="","",_xlfn.XLOOKUP(I38,Lists!$C:$C,Lists!$I:$I))</f>
        <v>On-Label</v>
      </c>
    </row>
    <row r="39" spans="1:19" x14ac:dyDescent="0.2">
      <c r="A39" s="6">
        <v>46161</v>
      </c>
      <c r="B39" s="5">
        <v>61</v>
      </c>
      <c r="C39" s="26">
        <f>_xlfn.XLOOKUP(B39,Lists!B:B,Lists!A:A,"")</f>
        <v>4</v>
      </c>
      <c r="D39" s="5" t="s">
        <v>234</v>
      </c>
      <c r="E39" s="5">
        <v>1</v>
      </c>
      <c r="F39" s="5">
        <v>160</v>
      </c>
      <c r="G39" s="26">
        <f>IF(OR(E39="",F39=""),"",F39-E39+1)</f>
        <v>160</v>
      </c>
      <c r="H39" s="31">
        <f>IF(D39="","",IF(OR(D39="A",D39="B"),G39/80,IF(D39="A&amp;B",G39/160,"")))</f>
        <v>1</v>
      </c>
      <c r="I39" s="5" t="s">
        <v>65</v>
      </c>
      <c r="J39" s="27" t="str">
        <f>IF(I39="","",_xlfn.XLOOKUP(I39,Lists!$C:$C,Lists!$D:$D))</f>
        <v>Tebuconazole 25%</v>
      </c>
      <c r="K39" s="5" t="s">
        <v>52</v>
      </c>
      <c r="L39" s="5">
        <v>100</v>
      </c>
      <c r="M39" s="5">
        <v>900</v>
      </c>
      <c r="N39" s="26">
        <f>IF(OR(M39="",L39=""),"",(M39*L39)/100000)</f>
        <v>0.9</v>
      </c>
      <c r="O39" s="27" t="str">
        <f>IF(I39="","",_xlfn.XLOOKUP(I39,Lists!$C:$C,Lists!$J:$J))</f>
        <v>L</v>
      </c>
      <c r="P39" s="27">
        <f>IF(I39="","",_xlfn.XLOOKUP(I39,Lists!$C:$C,Lists!$E:$E))</f>
        <v>45</v>
      </c>
      <c r="Q39" s="28">
        <f>IF(OR(A39="",P39=""),"",A39+P39+1)</f>
        <v>46207</v>
      </c>
      <c r="R39" s="26" t="str">
        <f ca="1">IF(Q39="","",IF(Q39&lt;=TODAY(),"Allow","Not Allow"))</f>
        <v>Not Allow</v>
      </c>
      <c r="S39" s="27" t="str">
        <f>IF(I39="","",_xlfn.XLOOKUP(I39,Lists!$C:$C,Lists!$I:$I))</f>
        <v>On-Label</v>
      </c>
    </row>
    <row r="40" spans="1:19" x14ac:dyDescent="0.2">
      <c r="A40" s="6">
        <v>46161</v>
      </c>
      <c r="B40" s="5">
        <v>27</v>
      </c>
      <c r="C40" s="26">
        <f>_xlfn.XLOOKUP(B40,Lists!B:B,Lists!A:A,"")</f>
        <v>3</v>
      </c>
      <c r="D40" s="5" t="s">
        <v>234</v>
      </c>
      <c r="E40" s="5">
        <v>1</v>
      </c>
      <c r="F40" s="5">
        <v>160</v>
      </c>
      <c r="G40" s="26">
        <f>IF(OR(E40="",F40=""),"",F40-E40+1)</f>
        <v>160</v>
      </c>
      <c r="H40" s="31">
        <f>IF(D40="","",IF(OR(D40="A",D40="B"),G40/80,IF(D40="A&amp;B",G40/160,"")))</f>
        <v>1</v>
      </c>
      <c r="I40" s="5" t="s">
        <v>65</v>
      </c>
      <c r="J40" s="27" t="str">
        <f>IF(I40="","",_xlfn.XLOOKUP(I40,Lists!$C:$C,Lists!$D:$D))</f>
        <v>Tebuconazole 25%</v>
      </c>
      <c r="K40" s="5" t="s">
        <v>52</v>
      </c>
      <c r="L40" s="5">
        <v>100</v>
      </c>
      <c r="M40" s="5">
        <v>900</v>
      </c>
      <c r="N40" s="26">
        <f>IF(OR(M40="",L40=""),"",(M40*L40)/100000)</f>
        <v>0.9</v>
      </c>
      <c r="O40" s="27" t="str">
        <f>IF(I40="","",_xlfn.XLOOKUP(I40,Lists!$C:$C,Lists!$J:$J))</f>
        <v>L</v>
      </c>
      <c r="P40" s="27">
        <f>IF(I40="","",_xlfn.XLOOKUP(I40,Lists!$C:$C,Lists!$E:$E))</f>
        <v>45</v>
      </c>
      <c r="Q40" s="28">
        <f>IF(OR(A40="",P40=""),"",A40+P40+1)</f>
        <v>46207</v>
      </c>
      <c r="R40" s="26" t="str">
        <f ca="1">IF(Q40="","",IF(Q40&lt;=TODAY(),"Allow","Not Allow"))</f>
        <v>Not Allow</v>
      </c>
      <c r="S40" s="27" t="str">
        <f>IF(I40="","",_xlfn.XLOOKUP(I40,Lists!$C:$C,Lists!$I:$I))</f>
        <v>On-Label</v>
      </c>
    </row>
    <row r="41" spans="1:19" x14ac:dyDescent="0.2">
      <c r="A41" s="6">
        <v>46162</v>
      </c>
      <c r="B41" s="5">
        <v>26</v>
      </c>
      <c r="C41" s="26">
        <f>_xlfn.XLOOKUP(B41,Lists!B:B,Lists!A:A,"")</f>
        <v>3</v>
      </c>
      <c r="D41" s="5" t="s">
        <v>234</v>
      </c>
      <c r="E41" s="5">
        <v>1</v>
      </c>
      <c r="F41" s="5">
        <v>160</v>
      </c>
      <c r="G41" s="26">
        <f>IF(OR(E41="",F41=""),"",F41-E41+1)</f>
        <v>160</v>
      </c>
      <c r="H41" s="31">
        <f>IF(D41="","",IF(OR(D41="A",D41="B"),G41/80,IF(D41="A&amp;B",G41/160,"")))</f>
        <v>1</v>
      </c>
      <c r="I41" s="5" t="s">
        <v>65</v>
      </c>
      <c r="J41" s="27" t="str">
        <f>IF(I41="","",_xlfn.XLOOKUP(I41,Lists!$C:$C,Lists!$D:$D))</f>
        <v>Tebuconazole 25%</v>
      </c>
      <c r="K41" s="5" t="s">
        <v>52</v>
      </c>
      <c r="L41" s="5">
        <v>100</v>
      </c>
      <c r="M41" s="5">
        <v>900</v>
      </c>
      <c r="N41" s="26">
        <f>IF(OR(M41="",L41=""),"",(M41*L41)/100000)</f>
        <v>0.9</v>
      </c>
      <c r="O41" s="27" t="str">
        <f>IF(I41="","",_xlfn.XLOOKUP(I41,Lists!$C:$C,Lists!$J:$J))</f>
        <v>L</v>
      </c>
      <c r="P41" s="27">
        <f>IF(I41="","",_xlfn.XLOOKUP(I41,Lists!$C:$C,Lists!$E:$E))</f>
        <v>45</v>
      </c>
      <c r="Q41" s="28">
        <f>IF(OR(A41="",P41=""),"",A41+P41+1)</f>
        <v>46208</v>
      </c>
      <c r="R41" s="26" t="str">
        <f ca="1">IF(Q41="","",IF(Q41&lt;=TODAY(),"Allow","Not Allow"))</f>
        <v>Not Allow</v>
      </c>
      <c r="S41" s="27" t="str">
        <f>IF(I41="","",_xlfn.XLOOKUP(I41,Lists!$C:$C,Lists!$I:$I))</f>
        <v>On-Label</v>
      </c>
    </row>
    <row r="42" spans="1:19" x14ac:dyDescent="0.2">
      <c r="A42" s="6">
        <v>46162</v>
      </c>
      <c r="B42" s="5">
        <v>22</v>
      </c>
      <c r="C42" s="26">
        <f>_xlfn.XLOOKUP(B42,Lists!B:B,Lists!A:A,"")</f>
        <v>3</v>
      </c>
      <c r="D42" s="5" t="s">
        <v>234</v>
      </c>
      <c r="E42" s="5">
        <v>1</v>
      </c>
      <c r="F42" s="5">
        <v>160</v>
      </c>
      <c r="G42" s="26">
        <f>IF(OR(E42="",F42=""),"",F42-E42+1)</f>
        <v>160</v>
      </c>
      <c r="H42" s="31">
        <f>IF(D42="","",IF(OR(D42="A",D42="B"),G42/80,IF(D42="A&amp;B",G42/160,"")))</f>
        <v>1</v>
      </c>
      <c r="I42" s="5" t="s">
        <v>65</v>
      </c>
      <c r="J42" s="27" t="str">
        <f>IF(I42="","",_xlfn.XLOOKUP(I42,Lists!$C:$C,Lists!$D:$D))</f>
        <v>Tebuconazole 25%</v>
      </c>
      <c r="K42" s="5" t="s">
        <v>52</v>
      </c>
      <c r="L42" s="5">
        <v>100</v>
      </c>
      <c r="M42" s="5">
        <v>900</v>
      </c>
      <c r="N42" s="26">
        <f>IF(OR(M42="",L42=""),"",(M42*L42)/100000)</f>
        <v>0.9</v>
      </c>
      <c r="O42" s="27" t="str">
        <f>IF(I42="","",_xlfn.XLOOKUP(I42,Lists!$C:$C,Lists!$J:$J))</f>
        <v>L</v>
      </c>
      <c r="P42" s="27">
        <f>IF(I42="","",_xlfn.XLOOKUP(I42,Lists!$C:$C,Lists!$E:$E))</f>
        <v>45</v>
      </c>
      <c r="Q42" s="28">
        <f>IF(OR(A42="",P42=""),"",A42+P42+1)</f>
        <v>46208</v>
      </c>
      <c r="R42" s="26" t="str">
        <f ca="1">IF(Q42="","",IF(Q42&lt;=TODAY(),"Allow","Not Allow"))</f>
        <v>Not Allow</v>
      </c>
      <c r="S42" s="27" t="str">
        <f>IF(I42="","",_xlfn.XLOOKUP(I42,Lists!$C:$C,Lists!$I:$I))</f>
        <v>On-Label</v>
      </c>
    </row>
    <row r="43" spans="1:19" x14ac:dyDescent="0.2">
      <c r="A43" s="6">
        <v>46162</v>
      </c>
      <c r="B43" s="5">
        <v>62</v>
      </c>
      <c r="C43" s="26">
        <f>_xlfn.XLOOKUP(B43,Lists!B:B,Lists!A:A,"")</f>
        <v>4</v>
      </c>
      <c r="D43" s="5" t="s">
        <v>234</v>
      </c>
      <c r="E43" s="5">
        <v>1</v>
      </c>
      <c r="F43" s="5">
        <v>160</v>
      </c>
      <c r="G43" s="26">
        <f>IF(OR(E43="",F43=""),"",F43-E43+1)</f>
        <v>160</v>
      </c>
      <c r="H43" s="31">
        <f>IF(D43="","",IF(OR(D43="A",D43="B"),G43/80,IF(D43="A&amp;B",G43/160,"")))</f>
        <v>1</v>
      </c>
      <c r="I43" s="5" t="s">
        <v>65</v>
      </c>
      <c r="J43" s="27" t="str">
        <f>IF(I43="","",_xlfn.XLOOKUP(I43,Lists!$C:$C,Lists!$D:$D))</f>
        <v>Tebuconazole 25%</v>
      </c>
      <c r="K43" s="5" t="s">
        <v>52</v>
      </c>
      <c r="L43" s="5">
        <v>100</v>
      </c>
      <c r="M43" s="5">
        <v>900</v>
      </c>
      <c r="N43" s="26">
        <f>IF(OR(M43="",L43=""),"",(M43*L43)/100000)</f>
        <v>0.9</v>
      </c>
      <c r="O43" s="27" t="str">
        <f>IF(I43="","",_xlfn.XLOOKUP(I43,Lists!$C:$C,Lists!$J:$J))</f>
        <v>L</v>
      </c>
      <c r="P43" s="27">
        <f>IF(I43="","",_xlfn.XLOOKUP(I43,Lists!$C:$C,Lists!$E:$E))</f>
        <v>45</v>
      </c>
      <c r="Q43" s="28">
        <f>IF(OR(A43="",P43=""),"",A43+P43+1)</f>
        <v>46208</v>
      </c>
      <c r="R43" s="26" t="str">
        <f ca="1">IF(Q43="","",IF(Q43&lt;=TODAY(),"Allow","Not Allow"))</f>
        <v>Not Allow</v>
      </c>
      <c r="S43" s="27" t="str">
        <f>IF(I43="","",_xlfn.XLOOKUP(I43,Lists!$C:$C,Lists!$I:$I))</f>
        <v>On-Label</v>
      </c>
    </row>
    <row r="44" spans="1:19" x14ac:dyDescent="0.2">
      <c r="A44" s="6">
        <v>46163</v>
      </c>
      <c r="B44" s="5">
        <v>21</v>
      </c>
      <c r="C44" s="26">
        <f>_xlfn.XLOOKUP(B44,Lists!B:B,Lists!A:A,"")</f>
        <v>3</v>
      </c>
      <c r="D44" s="5" t="s">
        <v>234</v>
      </c>
      <c r="E44" s="5">
        <v>1</v>
      </c>
      <c r="F44" s="5">
        <v>160</v>
      </c>
      <c r="G44" s="26">
        <f>IF(OR(E44="",F44=""),"",F44-E44+1)</f>
        <v>160</v>
      </c>
      <c r="H44" s="31">
        <f>IF(D44="","",IF(OR(D44="A",D44="B"),G44/80,IF(D44="A&amp;B",G44/160,"")))</f>
        <v>1</v>
      </c>
      <c r="I44" s="5" t="s">
        <v>65</v>
      </c>
      <c r="J44" s="27" t="str">
        <f>IF(I44="","",_xlfn.XLOOKUP(I44,Lists!$C:$C,Lists!$D:$D))</f>
        <v>Tebuconazole 25%</v>
      </c>
      <c r="K44" s="5" t="s">
        <v>52</v>
      </c>
      <c r="L44" s="5">
        <v>100</v>
      </c>
      <c r="M44" s="5">
        <v>900</v>
      </c>
      <c r="N44" s="26">
        <f>IF(OR(M44="",L44=""),"",(M44*L44)/100000)</f>
        <v>0.9</v>
      </c>
      <c r="O44" s="27" t="str">
        <f>IF(I44="","",_xlfn.XLOOKUP(I44,Lists!$C:$C,Lists!$J:$J))</f>
        <v>L</v>
      </c>
      <c r="P44" s="27">
        <f>IF(I44="","",_xlfn.XLOOKUP(I44,Lists!$C:$C,Lists!$E:$E))</f>
        <v>45</v>
      </c>
      <c r="Q44" s="28">
        <f>IF(OR(A44="",P44=""),"",A44+P44+1)</f>
        <v>46209</v>
      </c>
      <c r="R44" s="26" t="str">
        <f ca="1">IF(Q44="","",IF(Q44&lt;=TODAY(),"Allow","Not Allow"))</f>
        <v>Not Allow</v>
      </c>
      <c r="S44" s="27" t="str">
        <f>IF(I44="","",_xlfn.XLOOKUP(I44,Lists!$C:$C,Lists!$I:$I))</f>
        <v>On-Label</v>
      </c>
    </row>
    <row r="45" spans="1:19" x14ac:dyDescent="0.2">
      <c r="A45" s="6">
        <v>46164</v>
      </c>
      <c r="B45" s="5">
        <v>11</v>
      </c>
      <c r="C45" s="26">
        <f>_xlfn.XLOOKUP(B45,Lists!B:B,Lists!A:A,"")</f>
        <v>2</v>
      </c>
      <c r="D45" s="5" t="s">
        <v>234</v>
      </c>
      <c r="E45" s="5">
        <v>1</v>
      </c>
      <c r="F45" s="5">
        <v>160</v>
      </c>
      <c r="G45" s="26">
        <f>IF(OR(E45="",F45=""),"",F45-E45+1)</f>
        <v>160</v>
      </c>
      <c r="H45" s="31">
        <f>IF(D45="","",IF(OR(D45="A",D45="B"),G45/80,IF(D45="A&amp;B",G45/160,"")))</f>
        <v>1</v>
      </c>
      <c r="I45" s="5" t="s">
        <v>63</v>
      </c>
      <c r="J45" s="27" t="str">
        <f>IF(I45="","",_xlfn.XLOOKUP(I45,Lists!$C:$C,Lists!$D:$D))</f>
        <v>Acetamiprid [20%]</v>
      </c>
      <c r="K45" s="5" t="s">
        <v>240</v>
      </c>
      <c r="L45" s="5">
        <v>7500</v>
      </c>
      <c r="M45" s="5">
        <v>20</v>
      </c>
      <c r="N45" s="26">
        <f>IF(OR(M45="",L45=""),"",(M45*L45)/100000)</f>
        <v>1.5</v>
      </c>
      <c r="O45" s="27" t="str">
        <f>IF(I45="","",_xlfn.XLOOKUP(I45,Lists!$C:$C,Lists!$J:$J))</f>
        <v>Kg</v>
      </c>
      <c r="P45" s="27">
        <f>IF(I45="","",_xlfn.XLOOKUP(I45,Lists!$C:$C,Lists!$E:$E))</f>
        <v>5</v>
      </c>
      <c r="Q45" s="28">
        <f>IF(OR(A45="",P45=""),"",A45+P45+1)</f>
        <v>46170</v>
      </c>
      <c r="R45" s="26" t="str">
        <f ca="1">IF(Q45="","",IF(Q45&lt;=TODAY(),"Allow","Not Allow"))</f>
        <v>Allow</v>
      </c>
      <c r="S45" s="27" t="str">
        <f>IF(I45="","",_xlfn.XLOOKUP(I45,Lists!$C:$C,Lists!$I:$I))</f>
        <v>On-Label</v>
      </c>
    </row>
    <row r="46" spans="1:19" x14ac:dyDescent="0.2">
      <c r="A46" s="6">
        <v>46164</v>
      </c>
      <c r="B46" s="5">
        <v>12</v>
      </c>
      <c r="C46" s="26">
        <f>_xlfn.XLOOKUP(B46,Lists!B:B,Lists!A:A,"")</f>
        <v>2</v>
      </c>
      <c r="D46" s="5" t="s">
        <v>234</v>
      </c>
      <c r="E46" s="5">
        <v>1</v>
      </c>
      <c r="F46" s="5">
        <v>160</v>
      </c>
      <c r="G46" s="26">
        <f>IF(OR(E46="",F46=""),"",F46-E46+1)</f>
        <v>160</v>
      </c>
      <c r="H46" s="31">
        <f>IF(D46="","",IF(OR(D46="A",D46="B"),G46/80,IF(D46="A&amp;B",G46/160,"")))</f>
        <v>1</v>
      </c>
      <c r="I46" s="5" t="s">
        <v>63</v>
      </c>
      <c r="J46" s="27" t="str">
        <f>IF(I46="","",_xlfn.XLOOKUP(I46,Lists!$C:$C,Lists!$D:$D))</f>
        <v>Acetamiprid [20%]</v>
      </c>
      <c r="K46" s="5" t="s">
        <v>240</v>
      </c>
      <c r="L46" s="5">
        <v>7500</v>
      </c>
      <c r="M46" s="5">
        <v>20</v>
      </c>
      <c r="N46" s="26">
        <f>IF(OR(M46="",L46=""),"",(M46*L46)/100000)</f>
        <v>1.5</v>
      </c>
      <c r="O46" s="27" t="str">
        <f>IF(I46="","",_xlfn.XLOOKUP(I46,Lists!$C:$C,Lists!$J:$J))</f>
        <v>Kg</v>
      </c>
      <c r="P46" s="27">
        <f>IF(I46="","",_xlfn.XLOOKUP(I46,Lists!$C:$C,Lists!$E:$E))</f>
        <v>5</v>
      </c>
      <c r="Q46" s="28">
        <f>IF(OR(A46="",P46=""),"",A46+P46+1)</f>
        <v>46170</v>
      </c>
      <c r="R46" s="26" t="str">
        <f ca="1">IF(Q46="","",IF(Q46&lt;=TODAY(),"Allow","Not Allow"))</f>
        <v>Allow</v>
      </c>
      <c r="S46" s="27" t="str">
        <f>IF(I46="","",_xlfn.XLOOKUP(I46,Lists!$C:$C,Lists!$I:$I))</f>
        <v>On-Label</v>
      </c>
    </row>
    <row r="47" spans="1:19" x14ac:dyDescent="0.2">
      <c r="A47" s="6">
        <v>46164</v>
      </c>
      <c r="B47" s="5">
        <v>1</v>
      </c>
      <c r="C47" s="26">
        <f>_xlfn.XLOOKUP(B47,Lists!B:B,Lists!A:A,"")</f>
        <v>1</v>
      </c>
      <c r="D47" s="5" t="s">
        <v>234</v>
      </c>
      <c r="E47" s="5">
        <v>1</v>
      </c>
      <c r="F47" s="5">
        <v>160</v>
      </c>
      <c r="G47" s="26">
        <f>IF(OR(E47="",F47=""),"",F47-E47+1)</f>
        <v>160</v>
      </c>
      <c r="H47" s="31">
        <f>IF(D47="","",IF(OR(D47="A",D47="B"),G47/80,IF(D47="A&amp;B",G47/160,"")))</f>
        <v>1</v>
      </c>
      <c r="I47" s="5" t="s">
        <v>179</v>
      </c>
      <c r="J47" s="27" t="str">
        <f>IF(I47="","",_xlfn.XLOOKUP(I47,Lists!$C:$C,Lists!$D:$D))</f>
        <v>Spinetoram [12%]</v>
      </c>
      <c r="K47" s="5" t="s">
        <v>52</v>
      </c>
      <c r="L47" s="5">
        <v>40</v>
      </c>
      <c r="M47" s="5">
        <v>900</v>
      </c>
      <c r="N47" s="26">
        <f>IF(OR(M47="",L47=""),"",(M47*L47)/100000)</f>
        <v>0.36</v>
      </c>
      <c r="O47" s="27" t="str">
        <f>IF(I47="","",_xlfn.XLOOKUP(I47,Lists!$C:$C,Lists!$J:$J))</f>
        <v>L</v>
      </c>
      <c r="P47" s="27">
        <f>IF(I47="","",_xlfn.XLOOKUP(I47,Lists!$C:$C,Lists!$E:$E))</f>
        <v>5</v>
      </c>
      <c r="Q47" s="28">
        <f>IF(OR(A47="",P47=""),"",A47+P47+1)</f>
        <v>46170</v>
      </c>
      <c r="R47" s="26" t="str">
        <f ca="1">IF(Q47="","",IF(Q47&lt;=TODAY(),"Allow","Not Allow"))</f>
        <v>Allow</v>
      </c>
      <c r="S47" s="27" t="str">
        <f>IF(I47="","",_xlfn.XLOOKUP(I47,Lists!$C:$C,Lists!$I:$I))</f>
        <v>On-Label</v>
      </c>
    </row>
    <row r="48" spans="1:19" x14ac:dyDescent="0.2">
      <c r="A48" s="6">
        <v>46164</v>
      </c>
      <c r="B48" s="5">
        <v>2</v>
      </c>
      <c r="C48" s="26">
        <f>_xlfn.XLOOKUP(B48,Lists!B:B,Lists!A:A,"")</f>
        <v>1</v>
      </c>
      <c r="D48" s="5" t="s">
        <v>234</v>
      </c>
      <c r="E48" s="5">
        <v>1</v>
      </c>
      <c r="F48" s="5">
        <v>160</v>
      </c>
      <c r="G48" s="26">
        <f>IF(OR(E48="",F48=""),"",F48-E48+1)</f>
        <v>160</v>
      </c>
      <c r="H48" s="31">
        <f>IF(D48="","",IF(OR(D48="A",D48="B"),G48/80,IF(D48="A&amp;B",G48/160,"")))</f>
        <v>1</v>
      </c>
      <c r="I48" s="5" t="s">
        <v>179</v>
      </c>
      <c r="J48" s="27" t="str">
        <f>IF(I48="","",_xlfn.XLOOKUP(I48,Lists!$C:$C,Lists!$D:$D))</f>
        <v>Spinetoram [12%]</v>
      </c>
      <c r="K48" s="5" t="s">
        <v>52</v>
      </c>
      <c r="L48" s="5">
        <v>40</v>
      </c>
      <c r="M48" s="5">
        <v>900</v>
      </c>
      <c r="N48" s="26">
        <f>IF(OR(M48="",L48=""),"",(M48*L48)/100000)</f>
        <v>0.36</v>
      </c>
      <c r="O48" s="27" t="str">
        <f>IF(I48="","",_xlfn.XLOOKUP(I48,Lists!$C:$C,Lists!$J:$J))</f>
        <v>L</v>
      </c>
      <c r="P48" s="27">
        <f>IF(I48="","",_xlfn.XLOOKUP(I48,Lists!$C:$C,Lists!$E:$E))</f>
        <v>5</v>
      </c>
      <c r="Q48" s="28">
        <f>IF(OR(A48="",P48=""),"",A48+P48+1)</f>
        <v>46170</v>
      </c>
      <c r="R48" s="26" t="str">
        <f ca="1">IF(Q48="","",IF(Q48&lt;=TODAY(),"Allow","Not Allow"))</f>
        <v>Allow</v>
      </c>
      <c r="S48" s="27" t="str">
        <f>IF(I48="","",_xlfn.XLOOKUP(I48,Lists!$C:$C,Lists!$I:$I))</f>
        <v>On-Label</v>
      </c>
    </row>
    <row r="49" spans="1:24" x14ac:dyDescent="0.2">
      <c r="A49" s="6">
        <v>46164</v>
      </c>
      <c r="B49" s="5">
        <v>3</v>
      </c>
      <c r="C49" s="26">
        <f>_xlfn.XLOOKUP(B49,Lists!B:B,Lists!A:A,"")</f>
        <v>1</v>
      </c>
      <c r="D49" s="5" t="s">
        <v>234</v>
      </c>
      <c r="E49" s="5">
        <v>1</v>
      </c>
      <c r="F49" s="5">
        <v>160</v>
      </c>
      <c r="G49" s="26">
        <f>IF(OR(E49="",F49=""),"",F49-E49+1)</f>
        <v>160</v>
      </c>
      <c r="H49" s="31">
        <f>IF(D49="","",IF(OR(D49="A",D49="B"),G49/80,IF(D49="A&amp;B",G49/160,"")))</f>
        <v>1</v>
      </c>
      <c r="I49" s="5" t="s">
        <v>179</v>
      </c>
      <c r="J49" s="27" t="str">
        <f>IF(I49="","",_xlfn.XLOOKUP(I49,Lists!$C:$C,Lists!$D:$D))</f>
        <v>Spinetoram [12%]</v>
      </c>
      <c r="K49" s="5" t="s">
        <v>52</v>
      </c>
      <c r="L49" s="5">
        <v>40</v>
      </c>
      <c r="M49" s="5">
        <v>900</v>
      </c>
      <c r="N49" s="26">
        <f>IF(OR(M49="",L49=""),"",(M49*L49)/100000)</f>
        <v>0.36</v>
      </c>
      <c r="O49" s="27" t="str">
        <f>IF(I49="","",_xlfn.XLOOKUP(I49,Lists!$C:$C,Lists!$J:$J))</f>
        <v>L</v>
      </c>
      <c r="P49" s="27">
        <f>IF(I49="","",_xlfn.XLOOKUP(I49,Lists!$C:$C,Lists!$E:$E))</f>
        <v>5</v>
      </c>
      <c r="Q49" s="28">
        <f>IF(OR(A49="",P49=""),"",A49+P49+1)</f>
        <v>46170</v>
      </c>
      <c r="R49" s="26" t="str">
        <f ca="1">IF(Q49="","",IF(Q49&lt;=TODAY(),"Allow","Not Allow"))</f>
        <v>Allow</v>
      </c>
      <c r="S49" s="27" t="str">
        <f>IF(I49="","",_xlfn.XLOOKUP(I49,Lists!$C:$C,Lists!$I:$I))</f>
        <v>On-Label</v>
      </c>
    </row>
    <row r="50" spans="1:24" x14ac:dyDescent="0.2">
      <c r="A50" s="6">
        <v>46164</v>
      </c>
      <c r="B50" s="5">
        <v>11</v>
      </c>
      <c r="C50" s="26">
        <f>_xlfn.XLOOKUP(B50,Lists!B:B,Lists!A:A,"")</f>
        <v>2</v>
      </c>
      <c r="D50" s="5" t="s">
        <v>234</v>
      </c>
      <c r="E50" s="5">
        <v>1</v>
      </c>
      <c r="F50" s="5">
        <v>160</v>
      </c>
      <c r="G50" s="26">
        <f>IF(OR(E50="",F50=""),"",F50-E50+1)</f>
        <v>160</v>
      </c>
      <c r="H50" s="31">
        <f>IF(D50="","",IF(OR(D50="A",D50="B"),G50/80,IF(D50="A&amp;B",G50/160,"")))</f>
        <v>1</v>
      </c>
      <c r="I50" s="5" t="s">
        <v>179</v>
      </c>
      <c r="J50" s="27" t="str">
        <f>IF(I50="","",_xlfn.XLOOKUP(I50,Lists!$C:$C,Lists!$D:$D))</f>
        <v>Spinetoram [12%]</v>
      </c>
      <c r="K50" s="5" t="s">
        <v>52</v>
      </c>
      <c r="L50" s="5">
        <v>40</v>
      </c>
      <c r="M50" s="5">
        <v>900</v>
      </c>
      <c r="N50" s="26">
        <f>IF(OR(M50="",L50=""),"",(M50*L50)/100000)</f>
        <v>0.36</v>
      </c>
      <c r="O50" s="27" t="str">
        <f>IF(I50="","",_xlfn.XLOOKUP(I50,Lists!$C:$C,Lists!$J:$J))</f>
        <v>L</v>
      </c>
      <c r="P50" s="27">
        <f>IF(I50="","",_xlfn.XLOOKUP(I50,Lists!$C:$C,Lists!$E:$E))</f>
        <v>5</v>
      </c>
      <c r="Q50" s="28">
        <f>IF(OR(A50="",P50=""),"",A50+P50+1)</f>
        <v>46170</v>
      </c>
      <c r="R50" s="26" t="str">
        <f ca="1">IF(Q50="","",IF(Q50&lt;=TODAY(),"Allow","Not Allow"))</f>
        <v>Allow</v>
      </c>
      <c r="S50" s="27" t="str">
        <f>IF(I50="","",_xlfn.XLOOKUP(I50,Lists!$C:$C,Lists!$I:$I))</f>
        <v>On-Label</v>
      </c>
    </row>
    <row r="51" spans="1:24" x14ac:dyDescent="0.2">
      <c r="A51" s="6">
        <v>46165</v>
      </c>
      <c r="B51" s="5">
        <v>12</v>
      </c>
      <c r="C51" s="26">
        <f>_xlfn.XLOOKUP(B51,Lists!B:B,Lists!A:A,"")</f>
        <v>2</v>
      </c>
      <c r="D51" s="5" t="s">
        <v>234</v>
      </c>
      <c r="E51" s="5">
        <v>1</v>
      </c>
      <c r="F51" s="5">
        <v>160</v>
      </c>
      <c r="G51" s="26">
        <f>IF(OR(E51="",F51=""),"",F51-E51+1)</f>
        <v>160</v>
      </c>
      <c r="H51" s="31">
        <f>IF(D51="","",IF(OR(D51="A",D51="B"),G51/80,IF(D51="A&amp;B",G51/160,"")))</f>
        <v>1</v>
      </c>
      <c r="I51" s="5" t="s">
        <v>63</v>
      </c>
      <c r="J51" s="27" t="str">
        <f>IF(I51="","",_xlfn.XLOOKUP(I51,Lists!$C:$C,Lists!$D:$D))</f>
        <v>Acetamiprid [20%]</v>
      </c>
      <c r="K51" s="5" t="s">
        <v>240</v>
      </c>
      <c r="L51" s="5">
        <v>7500</v>
      </c>
      <c r="M51" s="5">
        <v>20</v>
      </c>
      <c r="N51" s="26">
        <f>IF(OR(M51="",L51=""),"",(M51*L51)/100000)</f>
        <v>1.5</v>
      </c>
      <c r="O51" s="27" t="str">
        <f>IF(I51="","",_xlfn.XLOOKUP(I51,Lists!$C:$C,Lists!$J:$J))</f>
        <v>Kg</v>
      </c>
      <c r="P51" s="27">
        <f>IF(I51="","",_xlfn.XLOOKUP(I51,Lists!$C:$C,Lists!$E:$E))</f>
        <v>5</v>
      </c>
      <c r="Q51" s="28">
        <f>IF(OR(A51="",P51=""),"",A51+P51+1)</f>
        <v>46171</v>
      </c>
      <c r="R51" s="26" t="str">
        <f ca="1">IF(Q51="","",IF(Q51&lt;=TODAY(),"Allow","Not Allow"))</f>
        <v>Allow</v>
      </c>
      <c r="S51" s="27" t="str">
        <f>IF(I51="","",_xlfn.XLOOKUP(I51,Lists!$C:$C,Lists!$I:$I))</f>
        <v>On-Label</v>
      </c>
    </row>
    <row r="52" spans="1:24" x14ac:dyDescent="0.2">
      <c r="A52" s="6">
        <v>46165</v>
      </c>
      <c r="B52" s="5">
        <v>1</v>
      </c>
      <c r="C52" s="26">
        <f>_xlfn.XLOOKUP(B52,Lists!B:B,Lists!A:A,"")</f>
        <v>1</v>
      </c>
      <c r="D52" s="5" t="s">
        <v>234</v>
      </c>
      <c r="E52" s="5">
        <v>1</v>
      </c>
      <c r="F52" s="5">
        <v>160</v>
      </c>
      <c r="G52" s="26">
        <f>IF(OR(E52="",F52=""),"",F52-E52+1)</f>
        <v>160</v>
      </c>
      <c r="H52" s="31">
        <f>IF(D52="","",IF(OR(D52="A",D52="B"),G52/80,IF(D52="A&amp;B",G52/160,"")))</f>
        <v>1</v>
      </c>
      <c r="I52" s="5" t="s">
        <v>63</v>
      </c>
      <c r="J52" s="27" t="str">
        <f>IF(I52="","",_xlfn.XLOOKUP(I52,Lists!$C:$C,Lists!$D:$D))</f>
        <v>Acetamiprid [20%]</v>
      </c>
      <c r="K52" s="5" t="s">
        <v>240</v>
      </c>
      <c r="L52" s="5">
        <v>7500</v>
      </c>
      <c r="M52" s="5">
        <v>20</v>
      </c>
      <c r="N52" s="26">
        <f>IF(OR(M52="",L52=""),"",(M52*L52)/100000)</f>
        <v>1.5</v>
      </c>
      <c r="O52" s="27" t="str">
        <f>IF(I52="","",_xlfn.XLOOKUP(I52,Lists!$C:$C,Lists!$J:$J))</f>
        <v>Kg</v>
      </c>
      <c r="P52" s="27">
        <f>IF(I52="","",_xlfn.XLOOKUP(I52,Lists!$C:$C,Lists!$E:$E))</f>
        <v>5</v>
      </c>
      <c r="Q52" s="28">
        <f>IF(OR(A52="",P52=""),"",A52+P52+1)</f>
        <v>46171</v>
      </c>
      <c r="R52" s="26" t="str">
        <f ca="1">IF(Q52="","",IF(Q52&lt;=TODAY(),"Allow","Not Allow"))</f>
        <v>Allow</v>
      </c>
      <c r="S52" s="27" t="str">
        <f>IF(I52="","",_xlfn.XLOOKUP(I52,Lists!$C:$C,Lists!$I:$I))</f>
        <v>On-Label</v>
      </c>
    </row>
    <row r="53" spans="1:24" x14ac:dyDescent="0.2">
      <c r="A53" s="6">
        <v>46165</v>
      </c>
      <c r="B53" s="5">
        <v>2</v>
      </c>
      <c r="C53" s="26">
        <f>_xlfn.XLOOKUP(B53,Lists!B:B,Lists!A:A,"")</f>
        <v>1</v>
      </c>
      <c r="D53" s="5" t="s">
        <v>234</v>
      </c>
      <c r="E53" s="5">
        <v>1</v>
      </c>
      <c r="F53" s="5">
        <v>160</v>
      </c>
      <c r="G53" s="26">
        <f>IF(OR(E53="",F53=""),"",F53-E53+1)</f>
        <v>160</v>
      </c>
      <c r="H53" s="31">
        <f>IF(D53="","",IF(OR(D53="A",D53="B"),G53/80,IF(D53="A&amp;B",G53/160,"")))</f>
        <v>1</v>
      </c>
      <c r="I53" s="5" t="s">
        <v>63</v>
      </c>
      <c r="J53" s="27" t="str">
        <f>IF(I53="","",_xlfn.XLOOKUP(I53,Lists!$C:$C,Lists!$D:$D))</f>
        <v>Acetamiprid [20%]</v>
      </c>
      <c r="K53" s="5" t="s">
        <v>240</v>
      </c>
      <c r="L53" s="5">
        <v>7500</v>
      </c>
      <c r="M53" s="5">
        <v>20</v>
      </c>
      <c r="N53" s="26">
        <f>IF(OR(M53="",L53=""),"",(M53*L53)/100000)</f>
        <v>1.5</v>
      </c>
      <c r="O53" s="27" t="str">
        <f>IF(I53="","",_xlfn.XLOOKUP(I53,Lists!$C:$C,Lists!$J:$J))</f>
        <v>Kg</v>
      </c>
      <c r="P53" s="27">
        <f>IF(I53="","",_xlfn.XLOOKUP(I53,Lists!$C:$C,Lists!$E:$E))</f>
        <v>5</v>
      </c>
      <c r="Q53" s="28">
        <f>IF(OR(A53="",P53=""),"",A53+P53+1)</f>
        <v>46171</v>
      </c>
      <c r="R53" s="26" t="str">
        <f ca="1">IF(Q53="","",IF(Q53&lt;=TODAY(),"Allow","Not Allow"))</f>
        <v>Allow</v>
      </c>
      <c r="S53" s="27" t="str">
        <f>IF(I53="","",_xlfn.XLOOKUP(I53,Lists!$C:$C,Lists!$I:$I))</f>
        <v>On-Label</v>
      </c>
    </row>
    <row r="54" spans="1:24" x14ac:dyDescent="0.2">
      <c r="A54" s="6">
        <v>46165</v>
      </c>
      <c r="B54" s="5">
        <v>3</v>
      </c>
      <c r="C54" s="26">
        <f>_xlfn.XLOOKUP(B54,Lists!B:B,Lists!A:A,"")</f>
        <v>1</v>
      </c>
      <c r="D54" s="5" t="s">
        <v>234</v>
      </c>
      <c r="E54" s="5">
        <v>1</v>
      </c>
      <c r="F54" s="5">
        <v>160</v>
      </c>
      <c r="G54" s="26">
        <f>IF(OR(E54="",F54=""),"",F54-E54+1)</f>
        <v>160</v>
      </c>
      <c r="H54" s="31">
        <f>IF(D54="","",IF(OR(D54="A",D54="B"),G54/80,IF(D54="A&amp;B",G54/160,"")))</f>
        <v>1</v>
      </c>
      <c r="I54" s="5" t="s">
        <v>63</v>
      </c>
      <c r="J54" s="27" t="str">
        <f>IF(I54="","",_xlfn.XLOOKUP(I54,Lists!$C:$C,Lists!$D:$D))</f>
        <v>Acetamiprid [20%]</v>
      </c>
      <c r="K54" s="5" t="s">
        <v>240</v>
      </c>
      <c r="L54" s="5">
        <v>7500</v>
      </c>
      <c r="M54" s="5">
        <v>20</v>
      </c>
      <c r="N54" s="26">
        <f>IF(OR(M54="",L54=""),"",(M54*L54)/100000)</f>
        <v>1.5</v>
      </c>
      <c r="O54" s="27" t="str">
        <f>IF(I54="","",_xlfn.XLOOKUP(I54,Lists!$C:$C,Lists!$J:$J))</f>
        <v>Kg</v>
      </c>
      <c r="P54" s="27">
        <f>IF(I54="","",_xlfn.XLOOKUP(I54,Lists!$C:$C,Lists!$E:$E))</f>
        <v>5</v>
      </c>
      <c r="Q54" s="28">
        <f>IF(OR(A54="",P54=""),"",A54+P54+1)</f>
        <v>46171</v>
      </c>
      <c r="R54" s="26" t="str">
        <f ca="1">IF(Q54="","",IF(Q54&lt;=TODAY(),"Allow","Not Allow"))</f>
        <v>Allow</v>
      </c>
      <c r="S54" s="27" t="str">
        <f>IF(I54="","",_xlfn.XLOOKUP(I54,Lists!$C:$C,Lists!$I:$I))</f>
        <v>On-Label</v>
      </c>
    </row>
    <row r="55" spans="1:24" x14ac:dyDescent="0.2">
      <c r="A55" s="6">
        <v>46165</v>
      </c>
      <c r="B55" s="5">
        <v>5</v>
      </c>
      <c r="C55" s="26">
        <f>_xlfn.XLOOKUP(B55,Lists!B:B,Lists!A:A,"")</f>
        <v>1</v>
      </c>
      <c r="D55" s="5" t="s">
        <v>234</v>
      </c>
      <c r="E55" s="5">
        <v>1</v>
      </c>
      <c r="F55" s="5">
        <v>160</v>
      </c>
      <c r="G55" s="26">
        <f>IF(OR(E55="",F55=""),"",F55-E55+1)</f>
        <v>160</v>
      </c>
      <c r="H55" s="31">
        <f>IF(D55="","",IF(OR(D55="A",D55="B"),G55/80,IF(D55="A&amp;B",G55/160,"")))</f>
        <v>1</v>
      </c>
      <c r="I55" s="5" t="s">
        <v>63</v>
      </c>
      <c r="J55" s="27" t="str">
        <f>IF(I55="","",_xlfn.XLOOKUP(I55,Lists!$C:$C,Lists!$D:$D))</f>
        <v>Acetamiprid [20%]</v>
      </c>
      <c r="K55" s="5" t="s">
        <v>240</v>
      </c>
      <c r="L55" s="5">
        <v>7500</v>
      </c>
      <c r="M55" s="5">
        <v>20</v>
      </c>
      <c r="N55" s="26">
        <f>IF(OR(M55="",L55=""),"",(M55*L55)/100000)</f>
        <v>1.5</v>
      </c>
      <c r="O55" s="27" t="str">
        <f>IF(I55="","",_xlfn.XLOOKUP(I55,Lists!$C:$C,Lists!$J:$J))</f>
        <v>Kg</v>
      </c>
      <c r="P55" s="27">
        <f>IF(I55="","",_xlfn.XLOOKUP(I55,Lists!$C:$C,Lists!$E:$E))</f>
        <v>5</v>
      </c>
      <c r="Q55" s="28">
        <f>IF(OR(A55="",P55=""),"",A55+P55+1)</f>
        <v>46171</v>
      </c>
      <c r="R55" s="26" t="str">
        <f ca="1">IF(Q55="","",IF(Q55&lt;=TODAY(),"Allow","Not Allow"))</f>
        <v>Allow</v>
      </c>
      <c r="S55" s="27" t="str">
        <f>IF(I55="","",_xlfn.XLOOKUP(I55,Lists!$C:$C,Lists!$I:$I))</f>
        <v>On-Label</v>
      </c>
    </row>
    <row r="56" spans="1:24" x14ac:dyDescent="0.2">
      <c r="A56" s="6">
        <v>46165</v>
      </c>
      <c r="B56" s="5">
        <v>4</v>
      </c>
      <c r="C56" s="26">
        <f>_xlfn.XLOOKUP(B56,Lists!B:B,Lists!A:A,"")</f>
        <v>1</v>
      </c>
      <c r="D56" s="5" t="s">
        <v>234</v>
      </c>
      <c r="E56" s="5">
        <v>1</v>
      </c>
      <c r="F56" s="5">
        <v>160</v>
      </c>
      <c r="G56" s="26">
        <f>IF(OR(E56="",F56=""),"",F56-E56+1)</f>
        <v>160</v>
      </c>
      <c r="H56" s="31">
        <f>IF(D56="","",IF(OR(D56="A",D56="B"),G56/80,IF(D56="A&amp;B",G56/160,"")))</f>
        <v>1</v>
      </c>
      <c r="I56" s="5" t="s">
        <v>63</v>
      </c>
      <c r="J56" s="27" t="str">
        <f>IF(I56="","",_xlfn.XLOOKUP(I56,Lists!$C:$C,Lists!$D:$D))</f>
        <v>Acetamiprid [20%]</v>
      </c>
      <c r="K56" s="5" t="s">
        <v>240</v>
      </c>
      <c r="L56" s="5">
        <v>7500</v>
      </c>
      <c r="M56" s="5">
        <v>20</v>
      </c>
      <c r="N56" s="26">
        <f>IF(OR(M56="",L56=""),"",(M56*L56)/100000)</f>
        <v>1.5</v>
      </c>
      <c r="O56" s="27" t="str">
        <f>IF(I56="","",_xlfn.XLOOKUP(I56,Lists!$C:$C,Lists!$J:$J))</f>
        <v>Kg</v>
      </c>
      <c r="P56" s="27">
        <f>IF(I56="","",_xlfn.XLOOKUP(I56,Lists!$C:$C,Lists!$E:$E))</f>
        <v>5</v>
      </c>
      <c r="Q56" s="28">
        <f>IF(OR(A56="",P56=""),"",A56+P56+1)</f>
        <v>46171</v>
      </c>
      <c r="R56" s="26" t="str">
        <f ca="1">IF(Q56="","",IF(Q56&lt;=TODAY(),"Allow","Not Allow"))</f>
        <v>Allow</v>
      </c>
      <c r="S56" s="27" t="str">
        <f>IF(I56="","",_xlfn.XLOOKUP(I56,Lists!$C:$C,Lists!$I:$I))</f>
        <v>On-Label</v>
      </c>
      <c r="X56" s="5">
        <f>1500*5</f>
        <v>7500</v>
      </c>
    </row>
    <row r="57" spans="1:24" x14ac:dyDescent="0.2">
      <c r="A57" s="6">
        <v>46166</v>
      </c>
      <c r="B57" s="5">
        <v>23</v>
      </c>
      <c r="C57" s="26">
        <f>_xlfn.XLOOKUP(B57,Lists!B:B,Lists!A:A,"")</f>
        <v>3</v>
      </c>
      <c r="D57" s="5" t="s">
        <v>234</v>
      </c>
      <c r="E57" s="5">
        <v>1</v>
      </c>
      <c r="F57" s="5">
        <v>160</v>
      </c>
      <c r="G57" s="26">
        <f>IF(OR(E57="",F57=""),"",F57-E57+1)</f>
        <v>160</v>
      </c>
      <c r="H57" s="31">
        <f>IF(D57="","",IF(OR(D57="A",D57="B"),G57/80,IF(D57="A&amp;B",G57/160,"")))</f>
        <v>1</v>
      </c>
      <c r="I57" s="5" t="s">
        <v>63</v>
      </c>
      <c r="J57" s="27" t="str">
        <f>IF(I57="","",_xlfn.XLOOKUP(I57,Lists!$C:$C,Lists!$D:$D))</f>
        <v>Acetamiprid [20%]</v>
      </c>
      <c r="K57" s="5" t="s">
        <v>240</v>
      </c>
      <c r="L57" s="5">
        <v>7500</v>
      </c>
      <c r="M57" s="5">
        <v>20</v>
      </c>
      <c r="N57" s="26">
        <f>IF(OR(M57="",L57=""),"",(M57*L57)/100000)</f>
        <v>1.5</v>
      </c>
      <c r="O57" s="27" t="str">
        <f>IF(I57="","",_xlfn.XLOOKUP(I57,Lists!$C:$C,Lists!$J:$J))</f>
        <v>Kg</v>
      </c>
      <c r="P57" s="27">
        <f>IF(I57="","",_xlfn.XLOOKUP(I57,Lists!$C:$C,Lists!$E:$E))</f>
        <v>5</v>
      </c>
      <c r="Q57" s="28">
        <f>IF(OR(A57="",P57=""),"",A57+P57+1)</f>
        <v>46172</v>
      </c>
      <c r="R57" s="26" t="str">
        <f ca="1">IF(Q57="","",IF(Q57&lt;=TODAY(),"Allow","Not Allow"))</f>
        <v>Allow</v>
      </c>
      <c r="S57" s="27" t="str">
        <f>IF(I57="","",_xlfn.XLOOKUP(I57,Lists!$C:$C,Lists!$I:$I))</f>
        <v>On-Label</v>
      </c>
    </row>
    <row r="58" spans="1:24" x14ac:dyDescent="0.2">
      <c r="A58" s="6">
        <v>46166</v>
      </c>
      <c r="B58" s="5">
        <v>28</v>
      </c>
      <c r="C58" s="26">
        <f>_xlfn.XLOOKUP(B58,Lists!B:B,Lists!A:A,"")</f>
        <v>3</v>
      </c>
      <c r="D58" s="5" t="s">
        <v>234</v>
      </c>
      <c r="E58" s="5">
        <v>1</v>
      </c>
      <c r="F58" s="5">
        <v>160</v>
      </c>
      <c r="G58" s="26">
        <f>IF(OR(E58="",F58=""),"",F58-E58+1)</f>
        <v>160</v>
      </c>
      <c r="H58" s="31">
        <f>IF(D58="","",IF(OR(D58="A",D58="B"),G58/80,IF(D58="A&amp;B",G58/160,"")))</f>
        <v>1</v>
      </c>
      <c r="I58" s="5" t="s">
        <v>63</v>
      </c>
      <c r="J58" s="27" t="str">
        <f>IF(I58="","",_xlfn.XLOOKUP(I58,Lists!$C:$C,Lists!$D:$D))</f>
        <v>Acetamiprid [20%]</v>
      </c>
      <c r="K58" s="5" t="s">
        <v>240</v>
      </c>
      <c r="L58" s="5">
        <v>7500</v>
      </c>
      <c r="M58" s="5">
        <v>20</v>
      </c>
      <c r="N58" s="26">
        <f>IF(OR(M58="",L58=""),"",(M58*L58)/100000)</f>
        <v>1.5</v>
      </c>
      <c r="O58" s="27" t="str">
        <f>IF(I58="","",_xlfn.XLOOKUP(I58,Lists!$C:$C,Lists!$J:$J))</f>
        <v>Kg</v>
      </c>
      <c r="P58" s="27">
        <f>IF(I58="","",_xlfn.XLOOKUP(I58,Lists!$C:$C,Lists!$E:$E))</f>
        <v>5</v>
      </c>
      <c r="Q58" s="28">
        <f>IF(OR(A58="",P58=""),"",A58+P58+1)</f>
        <v>46172</v>
      </c>
      <c r="R58" s="26" t="str">
        <f ca="1">IF(Q58="","",IF(Q58&lt;=TODAY(),"Allow","Not Allow"))</f>
        <v>Allow</v>
      </c>
      <c r="S58" s="27" t="str">
        <f>IF(I58="","",_xlfn.XLOOKUP(I58,Lists!$C:$C,Lists!$I:$I))</f>
        <v>On-Label</v>
      </c>
    </row>
    <row r="59" spans="1:24" x14ac:dyDescent="0.2">
      <c r="A59" s="6">
        <v>46167</v>
      </c>
      <c r="B59" s="5">
        <v>32</v>
      </c>
      <c r="C59" s="26">
        <f>_xlfn.XLOOKUP(B59,Lists!B:B,Lists!A:A,"")</f>
        <v>5</v>
      </c>
      <c r="D59" s="5" t="s">
        <v>234</v>
      </c>
      <c r="E59" s="5">
        <v>1</v>
      </c>
      <c r="F59" s="5">
        <v>160</v>
      </c>
      <c r="G59" s="26">
        <f>IF(OR(E59="",F59=""),"",F59-E59+1)</f>
        <v>160</v>
      </c>
      <c r="H59" s="31">
        <f>IF(D59="","",IF(OR(D59="A",D59="B"),G59/80,IF(D59="A&amp;B",G59/160,"")))</f>
        <v>1</v>
      </c>
      <c r="I59" s="5" t="s">
        <v>63</v>
      </c>
      <c r="J59" s="27" t="str">
        <f>IF(I59="","",_xlfn.XLOOKUP(I59,Lists!$C:$C,Lists!$D:$D))</f>
        <v>Acetamiprid [20%]</v>
      </c>
      <c r="K59" s="5" t="s">
        <v>240</v>
      </c>
      <c r="L59" s="5">
        <v>7500</v>
      </c>
      <c r="M59" s="5">
        <v>20</v>
      </c>
      <c r="N59" s="26">
        <f>IF(OR(M59="",L59=""),"",(M59*L59)/100000)</f>
        <v>1.5</v>
      </c>
      <c r="O59" s="27" t="str">
        <f>IF(I59="","",_xlfn.XLOOKUP(I59,Lists!$C:$C,Lists!$J:$J))</f>
        <v>Kg</v>
      </c>
      <c r="P59" s="27">
        <f>IF(I59="","",_xlfn.XLOOKUP(I59,Lists!$C:$C,Lists!$E:$E))</f>
        <v>5</v>
      </c>
      <c r="Q59" s="28">
        <f>IF(OR(A59="",P59=""),"",A59+P59+1)</f>
        <v>46173</v>
      </c>
      <c r="R59" s="26" t="str">
        <f ca="1">IF(Q59="","",IF(Q59&lt;=TODAY(),"Allow","Not Allow"))</f>
        <v>Allow</v>
      </c>
      <c r="S59" s="27" t="str">
        <f>IF(I59="","",_xlfn.XLOOKUP(I59,Lists!$C:$C,Lists!$I:$I))</f>
        <v>On-Label</v>
      </c>
    </row>
    <row r="60" spans="1:24" x14ac:dyDescent="0.2">
      <c r="A60" s="6">
        <v>46167</v>
      </c>
      <c r="B60" s="5">
        <v>37</v>
      </c>
      <c r="C60" s="26">
        <f>_xlfn.XLOOKUP(B60,Lists!B:B,Lists!A:A,"")</f>
        <v>5</v>
      </c>
      <c r="D60" s="5" t="s">
        <v>234</v>
      </c>
      <c r="E60" s="5">
        <v>1</v>
      </c>
      <c r="F60" s="5">
        <v>160</v>
      </c>
      <c r="G60" s="26">
        <f>IF(OR(E60="",F60=""),"",F60-E60+1)</f>
        <v>160</v>
      </c>
      <c r="H60" s="31">
        <f>IF(D60="","",IF(OR(D60="A",D60="B"),G60/80,IF(D60="A&amp;B",G60/160,"")))</f>
        <v>1</v>
      </c>
      <c r="I60" s="5" t="s">
        <v>63</v>
      </c>
      <c r="J60" s="27" t="str">
        <f>IF(I60="","",_xlfn.XLOOKUP(I60,Lists!$C:$C,Lists!$D:$D))</f>
        <v>Acetamiprid [20%]</v>
      </c>
      <c r="K60" s="5" t="s">
        <v>240</v>
      </c>
      <c r="L60" s="5">
        <v>7500</v>
      </c>
      <c r="M60" s="5">
        <v>20</v>
      </c>
      <c r="N60" s="26">
        <f>IF(OR(M60="",L60=""),"",(M60*L60)/100000)</f>
        <v>1.5</v>
      </c>
      <c r="O60" s="27" t="str">
        <f>IF(I60="","",_xlfn.XLOOKUP(I60,Lists!$C:$C,Lists!$J:$J))</f>
        <v>Kg</v>
      </c>
      <c r="P60" s="27">
        <f>IF(I60="","",_xlfn.XLOOKUP(I60,Lists!$C:$C,Lists!$E:$E))</f>
        <v>5</v>
      </c>
      <c r="Q60" s="28">
        <f>IF(OR(A60="",P60=""),"",A60+P60+1)</f>
        <v>46173</v>
      </c>
      <c r="R60" s="26" t="str">
        <f ca="1">IF(Q60="","",IF(Q60&lt;=TODAY(),"Allow","Not Allow"))</f>
        <v>Allow</v>
      </c>
      <c r="S60" s="27" t="str">
        <f>IF(I60="","",_xlfn.XLOOKUP(I60,Lists!$C:$C,Lists!$I:$I))</f>
        <v>On-Label</v>
      </c>
    </row>
    <row r="61" spans="1:24" x14ac:dyDescent="0.2">
      <c r="A61" s="6">
        <v>46167</v>
      </c>
      <c r="B61" s="5">
        <v>42</v>
      </c>
      <c r="C61" s="26">
        <f>_xlfn.XLOOKUP(B61,Lists!B:B,Lists!A:A,"")</f>
        <v>5</v>
      </c>
      <c r="D61" s="5" t="s">
        <v>234</v>
      </c>
      <c r="E61" s="5">
        <v>1</v>
      </c>
      <c r="F61" s="5">
        <v>160</v>
      </c>
      <c r="G61" s="26">
        <f>IF(OR(E61="",F61=""),"",F61-E61+1)</f>
        <v>160</v>
      </c>
      <c r="H61" s="31">
        <f>IF(D61="","",IF(OR(D61="A",D61="B"),G61/80,IF(D61="A&amp;B",G61/160,"")))</f>
        <v>1</v>
      </c>
      <c r="I61" s="5" t="s">
        <v>63</v>
      </c>
      <c r="J61" s="27" t="str">
        <f>IF(I61="","",_xlfn.XLOOKUP(I61,Lists!$C:$C,Lists!$D:$D))</f>
        <v>Acetamiprid [20%]</v>
      </c>
      <c r="K61" s="5" t="s">
        <v>240</v>
      </c>
      <c r="L61" s="5">
        <v>7500</v>
      </c>
      <c r="M61" s="5">
        <v>20</v>
      </c>
      <c r="N61" s="26">
        <f>IF(OR(M61="",L61=""),"",(M61*L61)/100000)</f>
        <v>1.5</v>
      </c>
      <c r="O61" s="27" t="str">
        <f>IF(I61="","",_xlfn.XLOOKUP(I61,Lists!$C:$C,Lists!$J:$J))</f>
        <v>Kg</v>
      </c>
      <c r="P61" s="27">
        <f>IF(I61="","",_xlfn.XLOOKUP(I61,Lists!$C:$C,Lists!$E:$E))</f>
        <v>5</v>
      </c>
      <c r="Q61" s="28">
        <f>IF(OR(A61="",P61=""),"",A61+P61+1)</f>
        <v>46173</v>
      </c>
      <c r="R61" s="26" t="str">
        <f ca="1">IF(Q61="","",IF(Q61&lt;=TODAY(),"Allow","Not Allow"))</f>
        <v>Allow</v>
      </c>
      <c r="S61" s="27" t="str">
        <f>IF(I61="","",_xlfn.XLOOKUP(I61,Lists!$C:$C,Lists!$I:$I))</f>
        <v>On-Label</v>
      </c>
    </row>
    <row r="62" spans="1:24" x14ac:dyDescent="0.2">
      <c r="A62" s="6">
        <v>46167</v>
      </c>
      <c r="B62" s="5">
        <v>4</v>
      </c>
      <c r="C62" s="26">
        <f>_xlfn.XLOOKUP(B62,Lists!B:B,Lists!A:A,"")</f>
        <v>1</v>
      </c>
      <c r="D62" s="5" t="s">
        <v>234</v>
      </c>
      <c r="E62" s="5">
        <v>1</v>
      </c>
      <c r="F62" s="5">
        <v>160</v>
      </c>
      <c r="G62" s="26">
        <f>IF(OR(E62="",F62=""),"",F62-E62+1)</f>
        <v>160</v>
      </c>
      <c r="H62" s="31">
        <f>IF(D62="","",IF(OR(D62="A",D62="B"),G62/80,IF(D62="A&amp;B",G62/160,"")))</f>
        <v>1</v>
      </c>
      <c r="I62" s="5" t="s">
        <v>47</v>
      </c>
      <c r="J62" s="27" t="str">
        <f>IF(I62="","",_xlfn.XLOOKUP(I62,Lists!$C:$C,Lists!$D:$D))</f>
        <v>Deltamethrin</v>
      </c>
      <c r="K62" s="5" t="s">
        <v>52</v>
      </c>
      <c r="L62" s="5">
        <v>100</v>
      </c>
      <c r="M62" s="5">
        <v>900</v>
      </c>
      <c r="N62" s="26">
        <f>IF(OR(M62="",L62=""),"",(M62*L62)/100000)</f>
        <v>0.9</v>
      </c>
      <c r="O62" s="27" t="str">
        <f>IF(I62="","",_xlfn.XLOOKUP(I62,Lists!$C:$C,Lists!$J:$J))</f>
        <v>L</v>
      </c>
      <c r="P62" s="27">
        <f>IF(I62="","",_xlfn.XLOOKUP(I62,Lists!$C:$C,Lists!$E:$E))</f>
        <v>10</v>
      </c>
      <c r="Q62" s="28">
        <f>IF(OR(A62="",P62=""),"",A62+P62+1)</f>
        <v>46178</v>
      </c>
      <c r="R62" s="26" t="str">
        <f ca="1">IF(Q62="","",IF(Q62&lt;=TODAY(),"Allow","Not Allow"))</f>
        <v>Allow</v>
      </c>
      <c r="S62" s="27" t="str">
        <f>IF(I62="","",_xlfn.XLOOKUP(I62,Lists!$C:$C,Lists!$I:$I))</f>
        <v>Off-Label</v>
      </c>
    </row>
    <row r="63" spans="1:24" x14ac:dyDescent="0.2">
      <c r="A63" s="6">
        <v>46167</v>
      </c>
      <c r="B63" s="5">
        <v>5</v>
      </c>
      <c r="C63" s="26">
        <f>_xlfn.XLOOKUP(B63,Lists!B:B,Lists!A:A,"")</f>
        <v>1</v>
      </c>
      <c r="D63" s="5" t="s">
        <v>234</v>
      </c>
      <c r="E63" s="5">
        <v>1</v>
      </c>
      <c r="F63" s="5">
        <v>160</v>
      </c>
      <c r="G63" s="26">
        <f>IF(OR(E63="",F63=""),"",F63-E63+1)</f>
        <v>160</v>
      </c>
      <c r="H63" s="31">
        <f>IF(D63="","",IF(OR(D63="A",D63="B"),G63/80,IF(D63="A&amp;B",G63/160,"")))</f>
        <v>1</v>
      </c>
      <c r="I63" s="5" t="s">
        <v>47</v>
      </c>
      <c r="J63" s="27" t="str">
        <f>IF(I63="","",_xlfn.XLOOKUP(I63,Lists!$C:$C,Lists!$D:$D))</f>
        <v>Deltamethrin</v>
      </c>
      <c r="K63" s="5" t="s">
        <v>52</v>
      </c>
      <c r="L63" s="5">
        <v>100</v>
      </c>
      <c r="M63" s="5">
        <v>900</v>
      </c>
      <c r="N63" s="26">
        <f>IF(OR(M63="",L63=""),"",(M63*L63)/100000)</f>
        <v>0.9</v>
      </c>
      <c r="O63" s="27" t="str">
        <f>IF(I63="","",_xlfn.XLOOKUP(I63,Lists!$C:$C,Lists!$J:$J))</f>
        <v>L</v>
      </c>
      <c r="P63" s="27">
        <f>IF(I63="","",_xlfn.XLOOKUP(I63,Lists!$C:$C,Lists!$E:$E))</f>
        <v>10</v>
      </c>
      <c r="Q63" s="28">
        <f>IF(OR(A63="",P63=""),"",A63+P63+1)</f>
        <v>46178</v>
      </c>
      <c r="R63" s="26" t="str">
        <f ca="1">IF(Q63="","",IF(Q63&lt;=TODAY(),"Allow","Not Allow"))</f>
        <v>Allow</v>
      </c>
      <c r="S63" s="27" t="str">
        <f>IF(I63="","",_xlfn.XLOOKUP(I63,Lists!$C:$C,Lists!$I:$I))</f>
        <v>Off-Label</v>
      </c>
    </row>
    <row r="64" spans="1:24" x14ac:dyDescent="0.2">
      <c r="A64" s="6">
        <v>46167</v>
      </c>
      <c r="B64" s="5">
        <v>10</v>
      </c>
      <c r="C64" s="26">
        <f>_xlfn.XLOOKUP(B64,Lists!B:B,Lists!A:A,"")</f>
        <v>1</v>
      </c>
      <c r="D64" s="5" t="s">
        <v>234</v>
      </c>
      <c r="E64" s="5">
        <v>1</v>
      </c>
      <c r="F64" s="5">
        <v>160</v>
      </c>
      <c r="G64" s="26">
        <f>IF(OR(E64="",F64=""),"",F64-E64+1)</f>
        <v>160</v>
      </c>
      <c r="H64" s="31">
        <f>IF(D64="","",IF(OR(D64="A",D64="B"),G64/80,IF(D64="A&amp;B",G64/160,"")))</f>
        <v>1</v>
      </c>
      <c r="I64" s="5" t="s">
        <v>47</v>
      </c>
      <c r="J64" s="27" t="str">
        <f>IF(I64="","",_xlfn.XLOOKUP(I64,Lists!$C:$C,Lists!$D:$D))</f>
        <v>Deltamethrin</v>
      </c>
      <c r="K64" s="5" t="s">
        <v>52</v>
      </c>
      <c r="L64" s="5">
        <v>100</v>
      </c>
      <c r="M64" s="5">
        <v>900</v>
      </c>
      <c r="N64" s="26">
        <f>IF(OR(M64="",L64=""),"",(M64*L64)/100000)</f>
        <v>0.9</v>
      </c>
      <c r="O64" s="27" t="str">
        <f>IF(I64="","",_xlfn.XLOOKUP(I64,Lists!$C:$C,Lists!$J:$J))</f>
        <v>L</v>
      </c>
      <c r="P64" s="27">
        <f>IF(I64="","",_xlfn.XLOOKUP(I64,Lists!$C:$C,Lists!$E:$E))</f>
        <v>10</v>
      </c>
      <c r="Q64" s="28">
        <f>IF(OR(A64="",P64=""),"",A64+P64+1)</f>
        <v>46178</v>
      </c>
      <c r="R64" s="26" t="str">
        <f ca="1">IF(Q64="","",IF(Q64&lt;=TODAY(),"Allow","Not Allow"))</f>
        <v>Allow</v>
      </c>
      <c r="S64" s="27" t="str">
        <f>IF(I64="","",_xlfn.XLOOKUP(I64,Lists!$C:$C,Lists!$I:$I))</f>
        <v>Off-Label</v>
      </c>
    </row>
    <row r="65" spans="1:19" x14ac:dyDescent="0.2">
      <c r="A65" s="6">
        <v>46167</v>
      </c>
      <c r="B65" s="5">
        <v>13</v>
      </c>
      <c r="C65" s="26">
        <f>_xlfn.XLOOKUP(B65,Lists!B:B,Lists!A:A,"")</f>
        <v>2</v>
      </c>
      <c r="D65" s="5" t="s">
        <v>234</v>
      </c>
      <c r="E65" s="5">
        <v>1</v>
      </c>
      <c r="F65" s="5">
        <v>160</v>
      </c>
      <c r="G65" s="26">
        <f>IF(OR(E65="",F65=""),"",F65-E65+1)</f>
        <v>160</v>
      </c>
      <c r="H65" s="31">
        <f>IF(D65="","",IF(OR(D65="A",D65="B"),G65/80,IF(D65="A&amp;B",G65/160,"")))</f>
        <v>1</v>
      </c>
      <c r="I65" s="5" t="s">
        <v>47</v>
      </c>
      <c r="J65" s="27" t="str">
        <f>IF(I65="","",_xlfn.XLOOKUP(I65,Lists!$C:$C,Lists!$D:$D))</f>
        <v>Deltamethrin</v>
      </c>
      <c r="K65" s="5" t="s">
        <v>52</v>
      </c>
      <c r="L65" s="5">
        <v>100</v>
      </c>
      <c r="M65" s="5">
        <v>900</v>
      </c>
      <c r="N65" s="26">
        <f>IF(OR(M65="",L65=""),"",(M65*L65)/100000)</f>
        <v>0.9</v>
      </c>
      <c r="O65" s="27" t="str">
        <f>IF(I65="","",_xlfn.XLOOKUP(I65,Lists!$C:$C,Lists!$J:$J))</f>
        <v>L</v>
      </c>
      <c r="P65" s="27">
        <f>IF(I65="","",_xlfn.XLOOKUP(I65,Lists!$C:$C,Lists!$E:$E))</f>
        <v>10</v>
      </c>
      <c r="Q65" s="28">
        <f>IF(OR(A65="",P65=""),"",A65+P65+1)</f>
        <v>46178</v>
      </c>
      <c r="R65" s="26" t="str">
        <f ca="1">IF(Q65="","",IF(Q65&lt;=TODAY(),"Allow","Not Allow"))</f>
        <v>Allow</v>
      </c>
      <c r="S65" s="27" t="str">
        <f>IF(I65="","",_xlfn.XLOOKUP(I65,Lists!$C:$C,Lists!$I:$I))</f>
        <v>Off-Label</v>
      </c>
    </row>
    <row r="66" spans="1:19" x14ac:dyDescent="0.2">
      <c r="A66" s="6">
        <v>46168</v>
      </c>
      <c r="B66" s="5">
        <v>46</v>
      </c>
      <c r="C66" s="26">
        <f>_xlfn.XLOOKUP(B66,Lists!B:B,Lists!A:A,"")</f>
        <v>4</v>
      </c>
      <c r="D66" s="5" t="s">
        <v>234</v>
      </c>
      <c r="E66" s="5">
        <v>1</v>
      </c>
      <c r="F66" s="5">
        <v>160</v>
      </c>
      <c r="G66" s="26">
        <f>IF(OR(E66="",F66=""),"",F66-E66+1)</f>
        <v>160</v>
      </c>
      <c r="H66" s="31">
        <f>IF(D66="","",IF(OR(D66="A",D66="B"),G66/80,IF(D66="A&amp;B",G66/160,"")))</f>
        <v>1</v>
      </c>
      <c r="I66" s="5" t="s">
        <v>63</v>
      </c>
      <c r="J66" s="27" t="str">
        <f>IF(I66="","",_xlfn.XLOOKUP(I66,Lists!$C:$C,Lists!$D:$D))</f>
        <v>Acetamiprid [20%]</v>
      </c>
      <c r="K66" s="5" t="s">
        <v>240</v>
      </c>
      <c r="L66" s="5">
        <v>7500</v>
      </c>
      <c r="M66" s="5">
        <v>20</v>
      </c>
      <c r="N66" s="26">
        <f>IF(OR(M66="",L66=""),"",(M66*L66)/100000)</f>
        <v>1.5</v>
      </c>
      <c r="O66" s="27" t="str">
        <f>IF(I66="","",_xlfn.XLOOKUP(I66,Lists!$C:$C,Lists!$J:$J))</f>
        <v>Kg</v>
      </c>
      <c r="P66" s="27">
        <f>IF(I66="","",_xlfn.XLOOKUP(I66,Lists!$C:$C,Lists!$E:$E))</f>
        <v>5</v>
      </c>
      <c r="Q66" s="28">
        <f>IF(OR(A66="",P66=""),"",A66+P66+1)</f>
        <v>46174</v>
      </c>
      <c r="R66" s="26" t="str">
        <f ca="1">IF(Q66="","",IF(Q66&lt;=TODAY(),"Allow","Not Allow"))</f>
        <v>Allow</v>
      </c>
      <c r="S66" s="27" t="str">
        <f>IF(I66="","",_xlfn.XLOOKUP(I66,Lists!$C:$C,Lists!$I:$I))</f>
        <v>On-Label</v>
      </c>
    </row>
    <row r="67" spans="1:19" x14ac:dyDescent="0.2">
      <c r="A67" s="6">
        <v>46168</v>
      </c>
      <c r="B67" s="5">
        <v>47</v>
      </c>
      <c r="C67" s="26">
        <f>_xlfn.XLOOKUP(B67,Lists!B:B,Lists!A:A,"")</f>
        <v>4</v>
      </c>
      <c r="D67" s="5" t="s">
        <v>234</v>
      </c>
      <c r="E67" s="5">
        <v>1</v>
      </c>
      <c r="F67" s="5">
        <v>160</v>
      </c>
      <c r="G67" s="26">
        <f>IF(OR(E67="",F67=""),"",F67-E67+1)</f>
        <v>160</v>
      </c>
      <c r="H67" s="31">
        <f>IF(D67="","",IF(OR(D67="A",D67="B"),G67/80,IF(D67="A&amp;B",G67/160,"")))</f>
        <v>1</v>
      </c>
      <c r="I67" s="5" t="s">
        <v>63</v>
      </c>
      <c r="J67" s="27" t="str">
        <f>IF(I67="","",_xlfn.XLOOKUP(I67,Lists!$C:$C,Lists!$D:$D))</f>
        <v>Acetamiprid [20%]</v>
      </c>
      <c r="K67" s="5" t="s">
        <v>240</v>
      </c>
      <c r="L67" s="5">
        <v>7500</v>
      </c>
      <c r="M67" s="5">
        <v>20</v>
      </c>
      <c r="N67" s="26">
        <f>IF(OR(M67="",L67=""),"",(M67*L67)/100000)</f>
        <v>1.5</v>
      </c>
      <c r="O67" s="27" t="str">
        <f>IF(I67="","",_xlfn.XLOOKUP(I67,Lists!$C:$C,Lists!$J:$J))</f>
        <v>Kg</v>
      </c>
      <c r="P67" s="27">
        <f>IF(I67="","",_xlfn.XLOOKUP(I67,Lists!$C:$C,Lists!$E:$E))</f>
        <v>5</v>
      </c>
      <c r="Q67" s="28">
        <f>IF(OR(A67="",P67=""),"",A67+P67+1)</f>
        <v>46174</v>
      </c>
      <c r="R67" s="26" t="str">
        <f ca="1">IF(Q67="","",IF(Q67&lt;=TODAY(),"Allow","Not Allow"))</f>
        <v>Allow</v>
      </c>
      <c r="S67" s="27" t="str">
        <f>IF(I67="","",_xlfn.XLOOKUP(I67,Lists!$C:$C,Lists!$I:$I))</f>
        <v>On-Label</v>
      </c>
    </row>
    <row r="68" spans="1:19" x14ac:dyDescent="0.2">
      <c r="A68" s="6">
        <v>46168</v>
      </c>
      <c r="B68" s="5">
        <v>51</v>
      </c>
      <c r="C68" s="26">
        <f>_xlfn.XLOOKUP(B68,Lists!B:B,Lists!A:A,"")</f>
        <v>4</v>
      </c>
      <c r="D68" s="5" t="s">
        <v>234</v>
      </c>
      <c r="E68" s="5">
        <v>1</v>
      </c>
      <c r="F68" s="5">
        <v>160</v>
      </c>
      <c r="G68" s="26">
        <f>IF(OR(E68="",F68=""),"",F68-E68+1)</f>
        <v>160</v>
      </c>
      <c r="H68" s="31">
        <f>IF(D68="","",IF(OR(D68="A",D68="B"),G68/80,IF(D68="A&amp;B",G68/160,"")))</f>
        <v>1</v>
      </c>
      <c r="I68" s="5" t="s">
        <v>63</v>
      </c>
      <c r="J68" s="27" t="str">
        <f>IF(I68="","",_xlfn.XLOOKUP(I68,Lists!$C:$C,Lists!$D:$D))</f>
        <v>Acetamiprid [20%]</v>
      </c>
      <c r="K68" s="5" t="s">
        <v>240</v>
      </c>
      <c r="L68" s="5">
        <v>7500</v>
      </c>
      <c r="M68" s="5">
        <v>20</v>
      </c>
      <c r="N68" s="26">
        <f>IF(OR(M68="",L68=""),"",(M68*L68)/100000)</f>
        <v>1.5</v>
      </c>
      <c r="O68" s="27" t="str">
        <f>IF(I68="","",_xlfn.XLOOKUP(I68,Lists!$C:$C,Lists!$J:$J))</f>
        <v>Kg</v>
      </c>
      <c r="P68" s="27">
        <f>IF(I68="","",_xlfn.XLOOKUP(I68,Lists!$C:$C,Lists!$E:$E))</f>
        <v>5</v>
      </c>
      <c r="Q68" s="28">
        <f>IF(OR(A68="",P68=""),"",A68+P68+1)</f>
        <v>46174</v>
      </c>
      <c r="R68" s="26" t="str">
        <f ca="1">IF(Q68="","",IF(Q68&lt;=TODAY(),"Allow","Not Allow"))</f>
        <v>Allow</v>
      </c>
      <c r="S68" s="27" t="str">
        <f>IF(I68="","",_xlfn.XLOOKUP(I68,Lists!$C:$C,Lists!$I:$I))</f>
        <v>On-Label</v>
      </c>
    </row>
    <row r="69" spans="1:19" x14ac:dyDescent="0.2">
      <c r="A69" s="6">
        <v>46169</v>
      </c>
      <c r="B69" s="5">
        <v>23</v>
      </c>
      <c r="C69" s="26">
        <f>_xlfn.XLOOKUP(B69,Lists!B:B,Lists!A:A,"")</f>
        <v>3</v>
      </c>
      <c r="D69" s="5" t="s">
        <v>234</v>
      </c>
      <c r="E69" s="5">
        <v>1</v>
      </c>
      <c r="F69" s="5">
        <v>160</v>
      </c>
      <c r="G69" s="26">
        <f>IF(OR(E69="",F69=""),"",F69-E69+1)</f>
        <v>160</v>
      </c>
      <c r="H69" s="31">
        <f>IF(D69="","",IF(OR(D69="A",D69="B"),G69/80,IF(D69="A&amp;B",G69/160,"")))</f>
        <v>1</v>
      </c>
      <c r="I69" s="5" t="s">
        <v>47</v>
      </c>
      <c r="J69" s="27" t="str">
        <f>IF(I69="","",_xlfn.XLOOKUP(I69,Lists!$C:$C,Lists!$D:$D))</f>
        <v>Deltamethrin</v>
      </c>
      <c r="K69" s="5" t="s">
        <v>52</v>
      </c>
      <c r="L69" s="5">
        <v>100</v>
      </c>
      <c r="M69" s="5">
        <v>900</v>
      </c>
      <c r="N69" s="26">
        <f>IF(OR(M69="",L69=""),"",(M69*L69)/100000)</f>
        <v>0.9</v>
      </c>
      <c r="O69" s="27" t="str">
        <f>IF(I69="","",_xlfn.XLOOKUP(I69,Lists!$C:$C,Lists!$J:$J))</f>
        <v>L</v>
      </c>
      <c r="P69" s="27">
        <f>IF(I69="","",_xlfn.XLOOKUP(I69,Lists!$C:$C,Lists!$E:$E))</f>
        <v>10</v>
      </c>
      <c r="Q69" s="28">
        <f>IF(OR(A69="",P69=""),"",A69+P69+1)</f>
        <v>46180</v>
      </c>
      <c r="R69" s="26" t="str">
        <f ca="1">IF(Q69="","",IF(Q69&lt;=TODAY(),"Allow","Not Allow"))</f>
        <v>Allow</v>
      </c>
      <c r="S69" s="27" t="str">
        <f>IF(I69="","",_xlfn.XLOOKUP(I69,Lists!$C:$C,Lists!$I:$I))</f>
        <v>Off-Label</v>
      </c>
    </row>
    <row r="70" spans="1:19" x14ac:dyDescent="0.2">
      <c r="A70" s="6">
        <v>46169</v>
      </c>
      <c r="B70" s="5">
        <v>32</v>
      </c>
      <c r="C70" s="26">
        <f>_xlfn.XLOOKUP(B70,Lists!B:B,Lists!A:A,"")</f>
        <v>5</v>
      </c>
      <c r="D70" s="5" t="s">
        <v>234</v>
      </c>
      <c r="E70" s="5">
        <v>1</v>
      </c>
      <c r="F70" s="5">
        <v>160</v>
      </c>
      <c r="G70" s="26">
        <f>IF(OR(E70="",F70=""),"",F70-E70+1)</f>
        <v>160</v>
      </c>
      <c r="H70" s="31">
        <f>IF(D70="","",IF(OR(D70="A",D70="B"),G70/80,IF(D70="A&amp;B",G70/160,"")))</f>
        <v>1</v>
      </c>
      <c r="I70" s="5" t="s">
        <v>47</v>
      </c>
      <c r="J70" s="27" t="str">
        <f>IF(I70="","",_xlfn.XLOOKUP(I70,Lists!$C:$C,Lists!$D:$D))</f>
        <v>Deltamethrin</v>
      </c>
      <c r="K70" s="5" t="s">
        <v>52</v>
      </c>
      <c r="L70" s="5">
        <v>100</v>
      </c>
      <c r="M70" s="5">
        <v>900</v>
      </c>
      <c r="N70" s="26">
        <f>IF(OR(M70="",L70=""),"",(M70*L70)/100000)</f>
        <v>0.9</v>
      </c>
      <c r="O70" s="27" t="str">
        <f>IF(I70="","",_xlfn.XLOOKUP(I70,Lists!$C:$C,Lists!$J:$J))</f>
        <v>L</v>
      </c>
      <c r="P70" s="27">
        <f>IF(I70="","",_xlfn.XLOOKUP(I70,Lists!$C:$C,Lists!$E:$E))</f>
        <v>10</v>
      </c>
      <c r="Q70" s="28">
        <f>IF(OR(A70="",P70=""),"",A70+P70+1)</f>
        <v>46180</v>
      </c>
      <c r="R70" s="26" t="str">
        <f ca="1">IF(Q70="","",IF(Q70&lt;=TODAY(),"Allow","Not Allow"))</f>
        <v>Allow</v>
      </c>
      <c r="S70" s="27" t="str">
        <f>IF(I70="","",_xlfn.XLOOKUP(I70,Lists!$C:$C,Lists!$I:$I))</f>
        <v>Off-Label</v>
      </c>
    </row>
    <row r="71" spans="1:19" x14ac:dyDescent="0.2">
      <c r="A71" s="6">
        <v>46170</v>
      </c>
      <c r="B71" s="5">
        <v>24</v>
      </c>
      <c r="C71" s="26">
        <f>_xlfn.XLOOKUP(B71,Lists!B:B,Lists!A:A,"")</f>
        <v>3</v>
      </c>
      <c r="D71" s="5" t="s">
        <v>234</v>
      </c>
      <c r="E71" s="5">
        <v>1</v>
      </c>
      <c r="F71" s="5">
        <v>160</v>
      </c>
      <c r="G71" s="26">
        <f>IF(OR(E71="",F71=""),"",F71-E71+1)</f>
        <v>160</v>
      </c>
      <c r="H71" s="31">
        <f>IF(D71="","",IF(OR(D71="A",D71="B"),G71/80,IF(D71="A&amp;B",G71/160,"")))</f>
        <v>1</v>
      </c>
      <c r="I71" s="5" t="s">
        <v>63</v>
      </c>
      <c r="J71" s="27" t="str">
        <f>IF(I71="","",_xlfn.XLOOKUP(I71,Lists!$C:$C,Lists!$D:$D))</f>
        <v>Acetamiprid [20%]</v>
      </c>
      <c r="K71" s="5" t="s">
        <v>240</v>
      </c>
      <c r="L71" s="5">
        <v>7500</v>
      </c>
      <c r="M71" s="5">
        <v>20</v>
      </c>
      <c r="N71" s="26">
        <f>IF(OR(M71="",L71=""),"",(M71*L71)/100000)</f>
        <v>1.5</v>
      </c>
      <c r="O71" s="27" t="str">
        <f>IF(I71="","",_xlfn.XLOOKUP(I71,Lists!$C:$C,Lists!$J:$J))</f>
        <v>Kg</v>
      </c>
      <c r="P71" s="27">
        <f>IF(I71="","",_xlfn.XLOOKUP(I71,Lists!$C:$C,Lists!$E:$E))</f>
        <v>5</v>
      </c>
      <c r="Q71" s="28">
        <f>IF(OR(A71="",P71=""),"",A71+P71+1)</f>
        <v>46176</v>
      </c>
      <c r="R71" s="26" t="str">
        <f ca="1">IF(Q71="","",IF(Q71&lt;=TODAY(),"Allow","Not Allow"))</f>
        <v>Allow</v>
      </c>
      <c r="S71" s="27" t="str">
        <f>IF(I71="","",_xlfn.XLOOKUP(I71,Lists!$C:$C,Lists!$I:$I))</f>
        <v>On-Label</v>
      </c>
    </row>
    <row r="72" spans="1:19" x14ac:dyDescent="0.2">
      <c r="A72" s="6">
        <v>46170</v>
      </c>
      <c r="B72" s="5">
        <v>12</v>
      </c>
      <c r="C72" s="26">
        <f>_xlfn.XLOOKUP(B72,Lists!B:B,Lists!A:A,"")</f>
        <v>2</v>
      </c>
      <c r="D72" s="5" t="s">
        <v>234</v>
      </c>
      <c r="E72" s="5">
        <v>1</v>
      </c>
      <c r="F72" s="5">
        <v>160</v>
      </c>
      <c r="G72" s="26">
        <f>IF(OR(E72="",F72=""),"",F72-E72+1)</f>
        <v>160</v>
      </c>
      <c r="H72" s="31">
        <f>IF(D72="","",IF(OR(D72="A",D72="B"),G72/80,IF(D72="A&amp;B",G72/160,"")))</f>
        <v>1</v>
      </c>
      <c r="I72" s="5" t="s">
        <v>47</v>
      </c>
      <c r="J72" s="27" t="str">
        <f>IF(I72="","",_xlfn.XLOOKUP(I72,Lists!$C:$C,Lists!$D:$D))</f>
        <v>Deltamethrin</v>
      </c>
      <c r="K72" s="5" t="s">
        <v>52</v>
      </c>
      <c r="L72" s="5">
        <v>100</v>
      </c>
      <c r="M72" s="5">
        <v>900</v>
      </c>
      <c r="N72" s="26">
        <f>IF(OR(M72="",L72=""),"",(M72*L72)/100000)</f>
        <v>0.9</v>
      </c>
      <c r="O72" s="27" t="str">
        <f>IF(I72="","",_xlfn.XLOOKUP(I72,Lists!$C:$C,Lists!$J:$J))</f>
        <v>L</v>
      </c>
      <c r="P72" s="27">
        <f>IF(I72="","",_xlfn.XLOOKUP(I72,Lists!$C:$C,Lists!$E:$E))</f>
        <v>10</v>
      </c>
      <c r="Q72" s="28">
        <f>IF(OR(A72="",P72=""),"",A72+P72+1)</f>
        <v>46181</v>
      </c>
      <c r="R72" s="26" t="str">
        <f ca="1">IF(Q72="","",IF(Q72&lt;=TODAY(),"Allow","Not Allow"))</f>
        <v>Allow</v>
      </c>
      <c r="S72" s="27" t="str">
        <f>IF(I72="","",_xlfn.XLOOKUP(I72,Lists!$C:$C,Lists!$I:$I))</f>
        <v>Off-Label</v>
      </c>
    </row>
    <row r="73" spans="1:19" x14ac:dyDescent="0.2">
      <c r="A73" s="6">
        <v>46170</v>
      </c>
      <c r="B73" s="5">
        <v>51</v>
      </c>
      <c r="C73" s="26">
        <f>_xlfn.XLOOKUP(B73,Lists!B:B,Lists!A:A,"")</f>
        <v>4</v>
      </c>
      <c r="D73" s="5" t="s">
        <v>234</v>
      </c>
      <c r="E73" s="5">
        <v>1</v>
      </c>
      <c r="F73" s="5">
        <v>160</v>
      </c>
      <c r="G73" s="26">
        <f>IF(OR(E73="",F73=""),"",F73-E73+1)</f>
        <v>160</v>
      </c>
      <c r="H73" s="31">
        <f>IF(D73="","",IF(OR(D73="A",D73="B"),G73/80,IF(D73="A&amp;B",G73/160,"")))</f>
        <v>1</v>
      </c>
      <c r="I73" s="5" t="s">
        <v>47</v>
      </c>
      <c r="J73" s="27" t="str">
        <f>IF(I73="","",_xlfn.XLOOKUP(I73,Lists!$C:$C,Lists!$D:$D))</f>
        <v>Deltamethrin</v>
      </c>
      <c r="K73" s="5" t="s">
        <v>52</v>
      </c>
      <c r="L73" s="5">
        <v>100</v>
      </c>
      <c r="M73" s="5">
        <v>900</v>
      </c>
      <c r="N73" s="26">
        <f>IF(OR(M73="",L73=""),"",(M73*L73)/100000)</f>
        <v>0.9</v>
      </c>
      <c r="O73" s="27" t="str">
        <f>IF(I73="","",_xlfn.XLOOKUP(I73,Lists!$C:$C,Lists!$J:$J))</f>
        <v>L</v>
      </c>
      <c r="P73" s="27">
        <f>IF(I73="","",_xlfn.XLOOKUP(I73,Lists!$C:$C,Lists!$E:$E))</f>
        <v>10</v>
      </c>
      <c r="Q73" s="28">
        <f>IF(OR(A73="",P73=""),"",A73+P73+1)</f>
        <v>46181</v>
      </c>
      <c r="R73" s="26" t="str">
        <f ca="1">IF(Q73="","",IF(Q73&lt;=TODAY(),"Allow","Not Allow"))</f>
        <v>Allow</v>
      </c>
      <c r="S73" s="27" t="str">
        <f>IF(I73="","",_xlfn.XLOOKUP(I73,Lists!$C:$C,Lists!$I:$I))</f>
        <v>Off-Label</v>
      </c>
    </row>
    <row r="74" spans="1:19" x14ac:dyDescent="0.2">
      <c r="A74" s="6">
        <v>46170</v>
      </c>
      <c r="B74" s="5">
        <v>52</v>
      </c>
      <c r="C74" s="26">
        <f>_xlfn.XLOOKUP(B74,Lists!B:B,Lists!A:A,"")</f>
        <v>4</v>
      </c>
      <c r="D74" s="5" t="s">
        <v>234</v>
      </c>
      <c r="E74" s="5">
        <v>1</v>
      </c>
      <c r="F74" s="5">
        <v>160</v>
      </c>
      <c r="G74" s="26">
        <f>IF(OR(E74="",F74=""),"",F74-E74+1)</f>
        <v>160</v>
      </c>
      <c r="H74" s="31">
        <f>IF(D74="","",IF(OR(D74="A",D74="B"),G74/80,IF(D74="A&amp;B",G74/160,"")))</f>
        <v>1</v>
      </c>
      <c r="I74" s="5" t="s">
        <v>47</v>
      </c>
      <c r="J74" s="27" t="str">
        <f>IF(I74="","",_xlfn.XLOOKUP(I74,Lists!$C:$C,Lists!$D:$D))</f>
        <v>Deltamethrin</v>
      </c>
      <c r="K74" s="5" t="s">
        <v>52</v>
      </c>
      <c r="L74" s="5">
        <v>100</v>
      </c>
      <c r="M74" s="5">
        <v>900</v>
      </c>
      <c r="N74" s="26">
        <f>IF(OR(M74="",L74=""),"",(M74*L74)/100000)</f>
        <v>0.9</v>
      </c>
      <c r="O74" s="27" t="str">
        <f>IF(I74="","",_xlfn.XLOOKUP(I74,Lists!$C:$C,Lists!$J:$J))</f>
        <v>L</v>
      </c>
      <c r="P74" s="27">
        <f>IF(I74="","",_xlfn.XLOOKUP(I74,Lists!$C:$C,Lists!$E:$E))</f>
        <v>10</v>
      </c>
      <c r="Q74" s="28">
        <f>IF(OR(A74="",P74=""),"",A74+P74+1)</f>
        <v>46181</v>
      </c>
      <c r="R74" s="26" t="str">
        <f ca="1">IF(Q74="","",IF(Q74&lt;=TODAY(),"Allow","Not Allow"))</f>
        <v>Allow</v>
      </c>
      <c r="S74" s="27" t="str">
        <f>IF(I74="","",_xlfn.XLOOKUP(I74,Lists!$C:$C,Lists!$I:$I))</f>
        <v>Off-Label</v>
      </c>
    </row>
    <row r="75" spans="1:19" x14ac:dyDescent="0.2">
      <c r="A75" s="6">
        <v>46170</v>
      </c>
      <c r="B75" s="5">
        <v>14</v>
      </c>
      <c r="C75" s="26">
        <f>_xlfn.XLOOKUP(B75,Lists!B:B,Lists!A:A,"")</f>
        <v>2</v>
      </c>
      <c r="D75" s="5" t="s">
        <v>234</v>
      </c>
      <c r="E75" s="5">
        <v>1</v>
      </c>
      <c r="F75" s="5">
        <v>160</v>
      </c>
      <c r="G75" s="26">
        <f>IF(OR(E75="",F75=""),"",F75-E75+1)</f>
        <v>160</v>
      </c>
      <c r="H75" s="31">
        <f>IF(D75="","",IF(OR(D75="A",D75="B"),G75/80,IF(D75="A&amp;B",G75/160,"")))</f>
        <v>1</v>
      </c>
      <c r="I75" s="5" t="s">
        <v>47</v>
      </c>
      <c r="J75" s="27" t="str">
        <f>IF(I75="","",_xlfn.XLOOKUP(I75,Lists!$C:$C,Lists!$D:$D))</f>
        <v>Deltamethrin</v>
      </c>
      <c r="K75" s="5" t="s">
        <v>52</v>
      </c>
      <c r="L75" s="5">
        <v>100</v>
      </c>
      <c r="M75" s="5">
        <v>900</v>
      </c>
      <c r="N75" s="26">
        <f>IF(OR(M75="",L75=""),"",(M75*L75)/100000)</f>
        <v>0.9</v>
      </c>
      <c r="O75" s="27" t="str">
        <f>IF(I75="","",_xlfn.XLOOKUP(I75,Lists!$C:$C,Lists!$J:$J))</f>
        <v>L</v>
      </c>
      <c r="P75" s="27">
        <f>IF(I75="","",_xlfn.XLOOKUP(I75,Lists!$C:$C,Lists!$E:$E))</f>
        <v>10</v>
      </c>
      <c r="Q75" s="28">
        <f>IF(OR(A75="",P75=""),"",A75+P75+1)</f>
        <v>46181</v>
      </c>
      <c r="R75" s="26" t="str">
        <f ca="1">IF(Q75="","",IF(Q75&lt;=TODAY(),"Allow","Not Allow"))</f>
        <v>Allow</v>
      </c>
      <c r="S75" s="27" t="str">
        <f>IF(I75="","",_xlfn.XLOOKUP(I75,Lists!$C:$C,Lists!$I:$I))</f>
        <v>Off-Label</v>
      </c>
    </row>
    <row r="76" spans="1:19" x14ac:dyDescent="0.2">
      <c r="A76" s="6">
        <v>46171</v>
      </c>
      <c r="B76" s="5">
        <v>8</v>
      </c>
      <c r="C76" s="26">
        <f>_xlfn.XLOOKUP(B76,Lists!B:B,Lists!A:A,"")</f>
        <v>1</v>
      </c>
      <c r="D76" s="5" t="s">
        <v>234</v>
      </c>
      <c r="E76" s="5">
        <v>1</v>
      </c>
      <c r="F76" s="5">
        <v>160</v>
      </c>
      <c r="G76" s="26">
        <f>IF(OR(E76="",F76=""),"",F76-E76+1)</f>
        <v>160</v>
      </c>
      <c r="H76" s="31">
        <f>IF(D76="","",IF(OR(D76="A",D76="B"),G76/80,IF(D76="A&amp;B",G76/160,"")))</f>
        <v>1</v>
      </c>
      <c r="I76" s="5" t="s">
        <v>63</v>
      </c>
      <c r="J76" s="27" t="str">
        <f>IF(I76="","",_xlfn.XLOOKUP(I76,Lists!$C:$C,Lists!$D:$D))</f>
        <v>Acetamiprid [20%]</v>
      </c>
      <c r="K76" s="5" t="s">
        <v>240</v>
      </c>
      <c r="L76" s="5">
        <v>7500</v>
      </c>
      <c r="M76" s="5">
        <v>20</v>
      </c>
      <c r="N76" s="26">
        <f>IF(OR(M76="",L76=""),"",(M76*L76)/100000)</f>
        <v>1.5</v>
      </c>
      <c r="O76" s="27" t="str">
        <f>IF(I76="","",_xlfn.XLOOKUP(I76,Lists!$C:$C,Lists!$J:$J))</f>
        <v>Kg</v>
      </c>
      <c r="P76" s="27">
        <f>IF(I76="","",_xlfn.XLOOKUP(I76,Lists!$C:$C,Lists!$E:$E))</f>
        <v>5</v>
      </c>
      <c r="Q76" s="28">
        <f>IF(OR(A76="",P76=""),"",A76+P76+1)</f>
        <v>46177</v>
      </c>
      <c r="R76" s="26" t="str">
        <f ca="1">IF(Q76="","",IF(Q76&lt;=TODAY(),"Allow","Not Allow"))</f>
        <v>Allow</v>
      </c>
      <c r="S76" s="27" t="str">
        <f>IF(I76="","",_xlfn.XLOOKUP(I76,Lists!$C:$C,Lists!$I:$I))</f>
        <v>On-Label</v>
      </c>
    </row>
    <row r="77" spans="1:19" x14ac:dyDescent="0.2">
      <c r="A77" s="6">
        <v>46171</v>
      </c>
      <c r="B77" s="5">
        <v>9</v>
      </c>
      <c r="C77" s="26">
        <f>_xlfn.XLOOKUP(B77,Lists!B:B,Lists!A:A,"")</f>
        <v>1</v>
      </c>
      <c r="D77" s="5" t="s">
        <v>234</v>
      </c>
      <c r="E77" s="5">
        <v>1</v>
      </c>
      <c r="F77" s="5">
        <v>160</v>
      </c>
      <c r="G77" s="26">
        <f>IF(OR(E77="",F77=""),"",F77-E77+1)</f>
        <v>160</v>
      </c>
      <c r="H77" s="31">
        <f>IF(D77="","",IF(OR(D77="A",D77="B"),G77/80,IF(D77="A&amp;B",G77/160,"")))</f>
        <v>1</v>
      </c>
      <c r="I77" s="5" t="s">
        <v>63</v>
      </c>
      <c r="J77" s="27" t="str">
        <f>IF(I77="","",_xlfn.XLOOKUP(I77,Lists!$C:$C,Lists!$D:$D))</f>
        <v>Acetamiprid [20%]</v>
      </c>
      <c r="K77" s="5" t="s">
        <v>240</v>
      </c>
      <c r="L77" s="5">
        <v>7500</v>
      </c>
      <c r="M77" s="5">
        <v>20</v>
      </c>
      <c r="N77" s="26">
        <f>IF(OR(M77="",L77=""),"",(M77*L77)/100000)</f>
        <v>1.5</v>
      </c>
      <c r="O77" s="27" t="str">
        <f>IF(I77="","",_xlfn.XLOOKUP(I77,Lists!$C:$C,Lists!$J:$J))</f>
        <v>Kg</v>
      </c>
      <c r="P77" s="27">
        <f>IF(I77="","",_xlfn.XLOOKUP(I77,Lists!$C:$C,Lists!$E:$E))</f>
        <v>5</v>
      </c>
      <c r="Q77" s="28">
        <f>IF(OR(A77="",P77=""),"",A77+P77+1)</f>
        <v>46177</v>
      </c>
      <c r="R77" s="26" t="str">
        <f ca="1">IF(Q77="","",IF(Q77&lt;=TODAY(),"Allow","Not Allow"))</f>
        <v>Allow</v>
      </c>
      <c r="S77" s="27" t="str">
        <f>IF(I77="","",_xlfn.XLOOKUP(I77,Lists!$C:$C,Lists!$I:$I))</f>
        <v>On-Label</v>
      </c>
    </row>
    <row r="78" spans="1:19" x14ac:dyDescent="0.2">
      <c r="A78" s="6">
        <v>46172</v>
      </c>
      <c r="B78" s="5">
        <v>38</v>
      </c>
      <c r="C78" s="26">
        <f>_xlfn.XLOOKUP(B78,Lists!B:B,Lists!A:A,"")</f>
        <v>5</v>
      </c>
      <c r="D78" s="5" t="s">
        <v>234</v>
      </c>
      <c r="E78" s="5">
        <v>1</v>
      </c>
      <c r="F78" s="5">
        <v>160</v>
      </c>
      <c r="G78" s="26">
        <f>IF(OR(E78="",F78=""),"",F78-E78+1)</f>
        <v>160</v>
      </c>
      <c r="H78" s="31">
        <f>IF(D78="","",IF(OR(D78="A",D78="B"),G78/80,IF(D78="A&amp;B",G78/160,"")))</f>
        <v>1</v>
      </c>
      <c r="I78" s="5" t="s">
        <v>47</v>
      </c>
      <c r="J78" s="27" t="str">
        <f>IF(I78="","",_xlfn.XLOOKUP(I78,Lists!$C:$C,Lists!$D:$D))</f>
        <v>Deltamethrin</v>
      </c>
      <c r="K78" s="5" t="s">
        <v>52</v>
      </c>
      <c r="L78" s="5">
        <v>100</v>
      </c>
      <c r="M78" s="5">
        <v>900</v>
      </c>
      <c r="N78" s="26">
        <f>IF(OR(M78="",L78=""),"",(M78*L78)/100000)</f>
        <v>0.9</v>
      </c>
      <c r="O78" s="27" t="str">
        <f>IF(I78="","",_xlfn.XLOOKUP(I78,Lists!$C:$C,Lists!$J:$J))</f>
        <v>L</v>
      </c>
      <c r="P78" s="27">
        <f>IF(I78="","",_xlfn.XLOOKUP(I78,Lists!$C:$C,Lists!$E:$E))</f>
        <v>10</v>
      </c>
      <c r="Q78" s="28">
        <f>IF(OR(A78="",P78=""),"",A78+P78+1)</f>
        <v>46183</v>
      </c>
      <c r="R78" s="26" t="str">
        <f ca="1">IF(Q78="","",IF(Q78&lt;=TODAY(),"Allow","Not Allow"))</f>
        <v>Allow</v>
      </c>
      <c r="S78" s="27" t="str">
        <f>IF(I78="","",_xlfn.XLOOKUP(I78,Lists!$C:$C,Lists!$I:$I))</f>
        <v>Off-Label</v>
      </c>
    </row>
    <row r="79" spans="1:19" x14ac:dyDescent="0.2">
      <c r="A79" s="6">
        <v>46172</v>
      </c>
      <c r="B79" s="5">
        <v>24</v>
      </c>
      <c r="C79" s="26">
        <f>_xlfn.XLOOKUP(B79,Lists!B:B,Lists!A:A,"")</f>
        <v>3</v>
      </c>
      <c r="D79" s="5" t="s">
        <v>234</v>
      </c>
      <c r="E79" s="5">
        <v>1</v>
      </c>
      <c r="F79" s="5">
        <v>160</v>
      </c>
      <c r="G79" s="26">
        <f>IF(OR(E79="",F79=""),"",F79-E79+1)</f>
        <v>160</v>
      </c>
      <c r="H79" s="31">
        <f>IF(D79="","",IF(OR(D79="A",D79="B"),G79/80,IF(D79="A&amp;B",G79/160,"")))</f>
        <v>1</v>
      </c>
      <c r="I79" s="5" t="s">
        <v>47</v>
      </c>
      <c r="J79" s="27" t="str">
        <f>IF(I79="","",_xlfn.XLOOKUP(I79,Lists!$C:$C,Lists!$D:$D))</f>
        <v>Deltamethrin</v>
      </c>
      <c r="K79" s="5" t="s">
        <v>52</v>
      </c>
      <c r="L79" s="5">
        <v>100</v>
      </c>
      <c r="M79" s="5">
        <v>900</v>
      </c>
      <c r="N79" s="26">
        <f>IF(OR(M79="",L79=""),"",(M79*L79)/100000)</f>
        <v>0.9</v>
      </c>
      <c r="O79" s="27" t="str">
        <f>IF(I79="","",_xlfn.XLOOKUP(I79,Lists!$C:$C,Lists!$J:$J))</f>
        <v>L</v>
      </c>
      <c r="P79" s="27">
        <f>IF(I79="","",_xlfn.XLOOKUP(I79,Lists!$C:$C,Lists!$E:$E))</f>
        <v>10</v>
      </c>
      <c r="Q79" s="28">
        <f>IF(OR(A79="",P79=""),"",A79+P79+1)</f>
        <v>46183</v>
      </c>
      <c r="R79" s="26" t="str">
        <f ca="1">IF(Q79="","",IF(Q79&lt;=TODAY(),"Allow","Not Allow"))</f>
        <v>Allow</v>
      </c>
      <c r="S79" s="27" t="str">
        <f>IF(I79="","",_xlfn.XLOOKUP(I79,Lists!$C:$C,Lists!$I:$I))</f>
        <v>Off-Label</v>
      </c>
    </row>
    <row r="80" spans="1:19" x14ac:dyDescent="0.2">
      <c r="A80" s="6">
        <v>46172</v>
      </c>
      <c r="B80" s="5">
        <v>9</v>
      </c>
      <c r="C80" s="26">
        <f>_xlfn.XLOOKUP(B80,Lists!B:B,Lists!A:A,"")</f>
        <v>1</v>
      </c>
      <c r="D80" s="5" t="s">
        <v>234</v>
      </c>
      <c r="E80" s="5">
        <v>1</v>
      </c>
      <c r="F80" s="5">
        <v>160</v>
      </c>
      <c r="G80" s="26">
        <f>IF(OR(E80="",F80=""),"",F80-E80+1)</f>
        <v>160</v>
      </c>
      <c r="H80" s="31">
        <f>IF(D80="","",IF(OR(D80="A",D80="B"),G80/80,IF(D80="A&amp;B",G80/160,"")))</f>
        <v>1</v>
      </c>
      <c r="I80" s="5" t="s">
        <v>47</v>
      </c>
      <c r="J80" s="27" t="str">
        <f>IF(I80="","",_xlfn.XLOOKUP(I80,Lists!$C:$C,Lists!$D:$D))</f>
        <v>Deltamethrin</v>
      </c>
      <c r="K80" s="5" t="s">
        <v>52</v>
      </c>
      <c r="L80" s="5">
        <v>100</v>
      </c>
      <c r="M80" s="5">
        <v>900</v>
      </c>
      <c r="N80" s="26">
        <f>IF(OR(M80="",L80=""),"",(M80*L80)/100000)</f>
        <v>0.9</v>
      </c>
      <c r="O80" s="27" t="str">
        <f>IF(I80="","",_xlfn.XLOOKUP(I80,Lists!$C:$C,Lists!$J:$J))</f>
        <v>L</v>
      </c>
      <c r="P80" s="27">
        <f>IF(I80="","",_xlfn.XLOOKUP(I80,Lists!$C:$C,Lists!$E:$E))</f>
        <v>10</v>
      </c>
      <c r="Q80" s="28">
        <f>IF(OR(A80="",P80=""),"",A80+P80+1)</f>
        <v>46183</v>
      </c>
      <c r="R80" s="26" t="str">
        <f ca="1">IF(Q80="","",IF(Q80&lt;=TODAY(),"Allow","Not Allow"))</f>
        <v>Allow</v>
      </c>
      <c r="S80" s="27" t="str">
        <f>IF(I80="","",_xlfn.XLOOKUP(I80,Lists!$C:$C,Lists!$I:$I))</f>
        <v>Off-Label</v>
      </c>
    </row>
    <row r="81" spans="1:19" x14ac:dyDescent="0.2">
      <c r="A81" s="6">
        <v>46172</v>
      </c>
      <c r="B81" s="5">
        <v>52</v>
      </c>
      <c r="C81" s="26">
        <f>_xlfn.XLOOKUP(B81,Lists!B:B,Lists!A:A,"")</f>
        <v>4</v>
      </c>
      <c r="D81" s="5" t="s">
        <v>234</v>
      </c>
      <c r="E81" s="5">
        <v>1</v>
      </c>
      <c r="F81" s="5">
        <v>160</v>
      </c>
      <c r="G81" s="26">
        <f>IF(OR(E81="",F81=""),"",F81-E81+1)</f>
        <v>160</v>
      </c>
      <c r="H81" s="31">
        <f>IF(D81="","",IF(OR(D81="A",D81="B"),G81/80,IF(D81="A&amp;B",G81/160,"")))</f>
        <v>1</v>
      </c>
      <c r="I81" s="5" t="s">
        <v>63</v>
      </c>
      <c r="J81" s="27" t="str">
        <f>IF(I81="","",_xlfn.XLOOKUP(I81,Lists!$C:$C,Lists!$D:$D))</f>
        <v>Acetamiprid [20%]</v>
      </c>
      <c r="K81" s="5" t="s">
        <v>240</v>
      </c>
      <c r="L81" s="5">
        <v>7500</v>
      </c>
      <c r="M81" s="5">
        <v>20</v>
      </c>
      <c r="N81" s="26">
        <f>IF(OR(M81="",L81=""),"",(M81*L81)/100000)</f>
        <v>1.5</v>
      </c>
      <c r="O81" s="27" t="str">
        <f>IF(I81="","",_xlfn.XLOOKUP(I81,Lists!$C:$C,Lists!$J:$J))</f>
        <v>Kg</v>
      </c>
      <c r="P81" s="27">
        <f>IF(I81="","",_xlfn.XLOOKUP(I81,Lists!$C:$C,Lists!$E:$E))</f>
        <v>5</v>
      </c>
      <c r="Q81" s="28">
        <f>IF(OR(A81="",P81=""),"",A81+P81+1)</f>
        <v>46178</v>
      </c>
      <c r="R81" s="26" t="str">
        <f ca="1">IF(Q81="","",IF(Q81&lt;=TODAY(),"Allow","Not Allow"))</f>
        <v>Allow</v>
      </c>
      <c r="S81" s="27" t="str">
        <f>IF(I81="","",_xlfn.XLOOKUP(I81,Lists!$C:$C,Lists!$I:$I))</f>
        <v>On-Label</v>
      </c>
    </row>
    <row r="82" spans="1:19" x14ac:dyDescent="0.2">
      <c r="A82" s="6">
        <v>46172</v>
      </c>
      <c r="B82" s="5">
        <v>25</v>
      </c>
      <c r="C82" s="26">
        <f>_xlfn.XLOOKUP(B82,Lists!B:B,Lists!A:A,"")</f>
        <v>3</v>
      </c>
      <c r="D82" s="5" t="s">
        <v>234</v>
      </c>
      <c r="E82" s="5">
        <v>1</v>
      </c>
      <c r="F82" s="5">
        <v>160</v>
      </c>
      <c r="G82" s="26">
        <f>IF(OR(E82="",F82=""),"",F82-E82+1)</f>
        <v>160</v>
      </c>
      <c r="H82" s="31">
        <f>IF(D82="","",IF(OR(D82="A",D82="B"),G82/80,IF(D82="A&amp;B",G82/160,"")))</f>
        <v>1</v>
      </c>
      <c r="I82" s="5" t="s">
        <v>63</v>
      </c>
      <c r="J82" s="27" t="str">
        <f>IF(I82="","",_xlfn.XLOOKUP(I82,Lists!$C:$C,Lists!$D:$D))</f>
        <v>Acetamiprid [20%]</v>
      </c>
      <c r="K82" s="5" t="s">
        <v>240</v>
      </c>
      <c r="L82" s="5">
        <v>7500</v>
      </c>
      <c r="M82" s="5">
        <v>20</v>
      </c>
      <c r="N82" s="26">
        <f>IF(OR(M82="",L82=""),"",(M82*L82)/100000)</f>
        <v>1.5</v>
      </c>
      <c r="O82" s="27" t="str">
        <f>IF(I82="","",_xlfn.XLOOKUP(I82,Lists!$C:$C,Lists!$J:$J))</f>
        <v>Kg</v>
      </c>
      <c r="P82" s="27">
        <f>IF(I82="","",_xlfn.XLOOKUP(I82,Lists!$C:$C,Lists!$E:$E))</f>
        <v>5</v>
      </c>
      <c r="Q82" s="28">
        <f>IF(OR(A82="",P82=""),"",A82+P82+1)</f>
        <v>46178</v>
      </c>
      <c r="R82" s="26" t="str">
        <f ca="1">IF(Q82="","",IF(Q82&lt;=TODAY(),"Allow","Not Allow"))</f>
        <v>Allow</v>
      </c>
      <c r="S82" s="27" t="str">
        <f>IF(I82="","",_xlfn.XLOOKUP(I82,Lists!$C:$C,Lists!$I:$I))</f>
        <v>On-Label</v>
      </c>
    </row>
    <row r="83" spans="1:19" x14ac:dyDescent="0.2">
      <c r="A83" s="6">
        <v>46172</v>
      </c>
      <c r="B83" s="5">
        <v>14</v>
      </c>
      <c r="C83" s="26">
        <f>_xlfn.XLOOKUP(B83,Lists!B:B,Lists!A:A,"")</f>
        <v>2</v>
      </c>
      <c r="D83" s="5" t="s">
        <v>234</v>
      </c>
      <c r="E83" s="5">
        <v>1</v>
      </c>
      <c r="F83" s="5">
        <v>160</v>
      </c>
      <c r="G83" s="26">
        <f>IF(OR(E83="",F83=""),"",F83-E83+1)</f>
        <v>160</v>
      </c>
      <c r="H83" s="31">
        <f>IF(D83="","",IF(OR(D83="A",D83="B"),G83/80,IF(D83="A&amp;B",G83/160,"")))</f>
        <v>1</v>
      </c>
      <c r="I83" s="5" t="s">
        <v>63</v>
      </c>
      <c r="J83" s="27" t="str">
        <f>IF(I83="","",_xlfn.XLOOKUP(I83,Lists!$C:$C,Lists!$D:$D))</f>
        <v>Acetamiprid [20%]</v>
      </c>
      <c r="K83" s="5" t="s">
        <v>240</v>
      </c>
      <c r="L83" s="5">
        <v>7500</v>
      </c>
      <c r="M83" s="5">
        <v>20</v>
      </c>
      <c r="N83" s="26">
        <f>IF(OR(M83="",L83=""),"",(M83*L83)/100000)</f>
        <v>1.5</v>
      </c>
      <c r="O83" s="27" t="str">
        <f>IF(I83="","",_xlfn.XLOOKUP(I83,Lists!$C:$C,Lists!$J:$J))</f>
        <v>Kg</v>
      </c>
      <c r="P83" s="27">
        <f>IF(I83="","",_xlfn.XLOOKUP(I83,Lists!$C:$C,Lists!$E:$E))</f>
        <v>5</v>
      </c>
      <c r="Q83" s="28">
        <f>IF(OR(A83="",P83=""),"",A83+P83+1)</f>
        <v>46178</v>
      </c>
      <c r="R83" s="26" t="str">
        <f ca="1">IF(Q83="","",IF(Q83&lt;=TODAY(),"Allow","Not Allow"))</f>
        <v>Allow</v>
      </c>
      <c r="S83" s="27" t="str">
        <f>IF(I83="","",_xlfn.XLOOKUP(I83,Lists!$C:$C,Lists!$I:$I))</f>
        <v>On-Label</v>
      </c>
    </row>
    <row r="84" spans="1:19" x14ac:dyDescent="0.2">
      <c r="A84" s="6">
        <v>46172</v>
      </c>
      <c r="B84" s="5">
        <v>20</v>
      </c>
      <c r="C84" s="26">
        <f>_xlfn.XLOOKUP(B84,Lists!B:B,Lists!A:A,"")</f>
        <v>2</v>
      </c>
      <c r="D84" s="5" t="s">
        <v>234</v>
      </c>
      <c r="E84" s="5">
        <v>1</v>
      </c>
      <c r="F84" s="5">
        <v>160</v>
      </c>
      <c r="G84" s="26">
        <f>IF(OR(E84="",F84=""),"",F84-E84+1)</f>
        <v>160</v>
      </c>
      <c r="H84" s="31">
        <f>IF(D84="","",IF(OR(D84="A",D84="B"),G84/80,IF(D84="A&amp;B",G84/160,"")))</f>
        <v>1</v>
      </c>
      <c r="I84" s="5" t="s">
        <v>63</v>
      </c>
      <c r="J84" s="27" t="str">
        <f>IF(I84="","",_xlfn.XLOOKUP(I84,Lists!$C:$C,Lists!$D:$D))</f>
        <v>Acetamiprid [20%]</v>
      </c>
      <c r="K84" s="5" t="s">
        <v>240</v>
      </c>
      <c r="L84" s="5">
        <v>7500</v>
      </c>
      <c r="M84" s="5">
        <v>20</v>
      </c>
      <c r="N84" s="26">
        <f>IF(OR(M84="",L84=""),"",(M84*L84)/100000)</f>
        <v>1.5</v>
      </c>
      <c r="O84" s="27" t="str">
        <f>IF(I84="","",_xlfn.XLOOKUP(I84,Lists!$C:$C,Lists!$J:$J))</f>
        <v>Kg</v>
      </c>
      <c r="P84" s="27">
        <f>IF(I84="","",_xlfn.XLOOKUP(I84,Lists!$C:$C,Lists!$E:$E))</f>
        <v>5</v>
      </c>
      <c r="Q84" s="28">
        <f>IF(OR(A84="",P84=""),"",A84+P84+1)</f>
        <v>46178</v>
      </c>
      <c r="R84" s="26" t="str">
        <f ca="1">IF(Q84="","",IF(Q84&lt;=TODAY(),"Allow","Not Allow"))</f>
        <v>Allow</v>
      </c>
      <c r="S84" s="27" t="str">
        <f>IF(I84="","",_xlfn.XLOOKUP(I84,Lists!$C:$C,Lists!$I:$I))</f>
        <v>On-Label</v>
      </c>
    </row>
    <row r="85" spans="1:19" x14ac:dyDescent="0.2">
      <c r="A85" s="6">
        <v>46173</v>
      </c>
      <c r="B85" s="5">
        <v>30</v>
      </c>
      <c r="C85" s="26">
        <f>_xlfn.XLOOKUP(B85,Lists!B:B,Lists!A:A,"")</f>
        <v>3</v>
      </c>
      <c r="D85" s="5" t="s">
        <v>234</v>
      </c>
      <c r="E85" s="5">
        <v>1</v>
      </c>
      <c r="F85" s="5">
        <v>160</v>
      </c>
      <c r="G85" s="26">
        <f>IF(OR(E85="",F85=""),"",F85-E85+1)</f>
        <v>160</v>
      </c>
      <c r="H85" s="31">
        <f>IF(D85="","",IF(OR(D85="A",D85="B"),G85/80,IF(D85="A&amp;B",G85/160,"")))</f>
        <v>1</v>
      </c>
      <c r="I85" s="5" t="s">
        <v>47</v>
      </c>
      <c r="J85" s="27" t="str">
        <f>IF(I85="","",_xlfn.XLOOKUP(I85,Lists!$C:$C,Lists!$D:$D))</f>
        <v>Deltamethrin</v>
      </c>
      <c r="K85" s="5" t="s">
        <v>52</v>
      </c>
      <c r="L85" s="5">
        <v>100</v>
      </c>
      <c r="M85" s="5">
        <v>900</v>
      </c>
      <c r="N85" s="26">
        <f>IF(OR(M85="",L85=""),"",(M85*L85)/100000)</f>
        <v>0.9</v>
      </c>
      <c r="O85" s="27" t="str">
        <f>IF(I85="","",_xlfn.XLOOKUP(I85,Lists!$C:$C,Lists!$J:$J))</f>
        <v>L</v>
      </c>
      <c r="P85" s="27">
        <f>IF(I85="","",_xlfn.XLOOKUP(I85,Lists!$C:$C,Lists!$E:$E))</f>
        <v>10</v>
      </c>
      <c r="Q85" s="28">
        <f>IF(OR(A85="",P85=""),"",A85+P85+1)</f>
        <v>46184</v>
      </c>
      <c r="R85" s="26" t="str">
        <f ca="1">IF(Q85="","",IF(Q85&lt;=TODAY(),"Allow","Not Allow"))</f>
        <v>Allow</v>
      </c>
      <c r="S85" s="27" t="str">
        <f>IF(I85="","",_xlfn.XLOOKUP(I85,Lists!$C:$C,Lists!$I:$I))</f>
        <v>Off-Label</v>
      </c>
    </row>
    <row r="86" spans="1:19" x14ac:dyDescent="0.2">
      <c r="A86" s="6">
        <v>46173</v>
      </c>
      <c r="B86" s="5">
        <v>29</v>
      </c>
      <c r="C86" s="26">
        <f>_xlfn.XLOOKUP(B86,Lists!B:B,Lists!A:A,"")</f>
        <v>3</v>
      </c>
      <c r="D86" s="5" t="s">
        <v>234</v>
      </c>
      <c r="E86" s="5">
        <v>1</v>
      </c>
      <c r="F86" s="5">
        <v>160</v>
      </c>
      <c r="G86" s="26">
        <f>IF(OR(E86="",F86=""),"",F86-E86+1)</f>
        <v>160</v>
      </c>
      <c r="H86" s="31">
        <f>IF(D86="","",IF(OR(D86="A",D86="B"),G86/80,IF(D86="A&amp;B",G86/160,"")))</f>
        <v>1</v>
      </c>
      <c r="I86" s="5" t="s">
        <v>47</v>
      </c>
      <c r="J86" s="27" t="str">
        <f>IF(I86="","",_xlfn.XLOOKUP(I86,Lists!$C:$C,Lists!$D:$D))</f>
        <v>Deltamethrin</v>
      </c>
      <c r="K86" s="5" t="s">
        <v>52</v>
      </c>
      <c r="L86" s="5">
        <v>100</v>
      </c>
      <c r="M86" s="5">
        <v>900</v>
      </c>
      <c r="N86" s="26">
        <f>IF(OR(M86="",L86=""),"",(M86*L86)/100000)</f>
        <v>0.9</v>
      </c>
      <c r="O86" s="27" t="str">
        <f>IF(I86="","",_xlfn.XLOOKUP(I86,Lists!$C:$C,Lists!$J:$J))</f>
        <v>L</v>
      </c>
      <c r="P86" s="27">
        <f>IF(I86="","",_xlfn.XLOOKUP(I86,Lists!$C:$C,Lists!$E:$E))</f>
        <v>10</v>
      </c>
      <c r="Q86" s="28">
        <f>IF(OR(A86="",P86=""),"",A86+P86+1)</f>
        <v>46184</v>
      </c>
      <c r="R86" s="26" t="str">
        <f ca="1">IF(Q86="","",IF(Q86&lt;=TODAY(),"Allow","Not Allow"))</f>
        <v>Allow</v>
      </c>
      <c r="S86" s="27" t="str">
        <f>IF(I86="","",_xlfn.XLOOKUP(I86,Lists!$C:$C,Lists!$I:$I))</f>
        <v>Off-Label</v>
      </c>
    </row>
    <row r="87" spans="1:19" x14ac:dyDescent="0.2">
      <c r="A87" s="6">
        <v>46173</v>
      </c>
      <c r="B87" s="5">
        <v>26</v>
      </c>
      <c r="C87" s="26">
        <f>_xlfn.XLOOKUP(B87,Lists!B:B,Lists!A:A,"")</f>
        <v>3</v>
      </c>
      <c r="D87" s="5" t="s">
        <v>234</v>
      </c>
      <c r="E87" s="5">
        <v>1</v>
      </c>
      <c r="F87" s="5">
        <v>160</v>
      </c>
      <c r="G87" s="26">
        <f>IF(OR(E87="",F87=""),"",F87-E87+1)</f>
        <v>160</v>
      </c>
      <c r="H87" s="31">
        <f>IF(D87="","",IF(OR(D87="A",D87="B"),G87/80,IF(D87="A&amp;B",G87/160,"")))</f>
        <v>1</v>
      </c>
      <c r="I87" s="5" t="s">
        <v>47</v>
      </c>
      <c r="J87" s="27" t="str">
        <f>IF(I87="","",_xlfn.XLOOKUP(I87,Lists!$C:$C,Lists!$D:$D))</f>
        <v>Deltamethrin</v>
      </c>
      <c r="K87" s="5" t="s">
        <v>52</v>
      </c>
      <c r="L87" s="5">
        <v>100</v>
      </c>
      <c r="M87" s="5">
        <v>900</v>
      </c>
      <c r="N87" s="26">
        <f>IF(OR(M87="",L87=""),"",(M87*L87)/100000)</f>
        <v>0.9</v>
      </c>
      <c r="O87" s="27" t="str">
        <f>IF(I87="","",_xlfn.XLOOKUP(I87,Lists!$C:$C,Lists!$J:$J))</f>
        <v>L</v>
      </c>
      <c r="P87" s="27">
        <f>IF(I87="","",_xlfn.XLOOKUP(I87,Lists!$C:$C,Lists!$E:$E))</f>
        <v>10</v>
      </c>
      <c r="Q87" s="28">
        <f>IF(OR(A87="",P87=""),"",A87+P87+1)</f>
        <v>46184</v>
      </c>
      <c r="R87" s="26" t="str">
        <f ca="1">IF(Q87="","",IF(Q87&lt;=TODAY(),"Allow","Not Allow"))</f>
        <v>Allow</v>
      </c>
      <c r="S87" s="27" t="str">
        <f>IF(I87="","",_xlfn.XLOOKUP(I87,Lists!$C:$C,Lists!$I:$I))</f>
        <v>Off-Label</v>
      </c>
    </row>
    <row r="88" spans="1:19" x14ac:dyDescent="0.2">
      <c r="A88" s="6">
        <v>46173</v>
      </c>
      <c r="B88" s="5">
        <v>56</v>
      </c>
      <c r="C88" s="26">
        <f>_xlfn.XLOOKUP(B88,Lists!B:B,Lists!A:A,"")</f>
        <v>4</v>
      </c>
      <c r="D88" s="5" t="s">
        <v>234</v>
      </c>
      <c r="E88" s="5">
        <v>1</v>
      </c>
      <c r="F88" s="5">
        <v>160</v>
      </c>
      <c r="G88" s="26">
        <f>IF(OR(E88="",F88=""),"",F88-E88+1)</f>
        <v>160</v>
      </c>
      <c r="H88" s="31">
        <f>IF(D88="","",IF(OR(D88="A",D88="B"),G88/80,IF(D88="A&amp;B",G88/160,"")))</f>
        <v>1</v>
      </c>
      <c r="I88" s="5" t="s">
        <v>47</v>
      </c>
      <c r="J88" s="27" t="str">
        <f>IF(I88="","",_xlfn.XLOOKUP(I88,Lists!$C:$C,Lists!$D:$D))</f>
        <v>Deltamethrin</v>
      </c>
      <c r="K88" s="5" t="s">
        <v>52</v>
      </c>
      <c r="L88" s="5">
        <v>100</v>
      </c>
      <c r="M88" s="5">
        <v>900</v>
      </c>
      <c r="N88" s="26">
        <f>IF(OR(M88="",L88=""),"",(M88*L88)/100000)</f>
        <v>0.9</v>
      </c>
      <c r="O88" s="27" t="str">
        <f>IF(I88="","",_xlfn.XLOOKUP(I88,Lists!$C:$C,Lists!$J:$J))</f>
        <v>L</v>
      </c>
      <c r="P88" s="27">
        <f>IF(I88="","",_xlfn.XLOOKUP(I88,Lists!$C:$C,Lists!$E:$E))</f>
        <v>10</v>
      </c>
      <c r="Q88" s="28">
        <f>IF(OR(A88="",P88=""),"",A88+P88+1)</f>
        <v>46184</v>
      </c>
      <c r="R88" s="26" t="str">
        <f ca="1">IF(Q88="","",IF(Q88&lt;=TODAY(),"Allow","Not Allow"))</f>
        <v>Allow</v>
      </c>
      <c r="S88" s="27" t="str">
        <f>IF(I88="","",_xlfn.XLOOKUP(I88,Lists!$C:$C,Lists!$I:$I))</f>
        <v>Off-Label</v>
      </c>
    </row>
    <row r="89" spans="1:19" x14ac:dyDescent="0.2">
      <c r="A89" s="6">
        <v>46173</v>
      </c>
      <c r="B89" s="5">
        <v>57</v>
      </c>
      <c r="C89" s="26">
        <f>_xlfn.XLOOKUP(B89,Lists!B:B,Lists!A:A,"")</f>
        <v>4</v>
      </c>
      <c r="D89" s="5" t="s">
        <v>234</v>
      </c>
      <c r="E89" s="5">
        <v>1</v>
      </c>
      <c r="F89" s="5">
        <v>160</v>
      </c>
      <c r="G89" s="26">
        <f>IF(OR(E89="",F89=""),"",F89-E89+1)</f>
        <v>160</v>
      </c>
      <c r="H89" s="31">
        <f>IF(D89="","",IF(OR(D89="A",D89="B"),G89/80,IF(D89="A&amp;B",G89/160,"")))</f>
        <v>1</v>
      </c>
      <c r="I89" s="5" t="s">
        <v>47</v>
      </c>
      <c r="J89" s="27" t="str">
        <f>IF(I89="","",_xlfn.XLOOKUP(I89,Lists!$C:$C,Lists!$D:$D))</f>
        <v>Deltamethrin</v>
      </c>
      <c r="K89" s="5" t="s">
        <v>52</v>
      </c>
      <c r="L89" s="5">
        <v>100</v>
      </c>
      <c r="M89" s="5">
        <v>900</v>
      </c>
      <c r="N89" s="26">
        <f>IF(OR(M89="",L89=""),"",(M89*L89)/100000)</f>
        <v>0.9</v>
      </c>
      <c r="O89" s="27" t="str">
        <f>IF(I89="","",_xlfn.XLOOKUP(I89,Lists!$C:$C,Lists!$J:$J))</f>
        <v>L</v>
      </c>
      <c r="P89" s="27">
        <f>IF(I89="","",_xlfn.XLOOKUP(I89,Lists!$C:$C,Lists!$E:$E))</f>
        <v>10</v>
      </c>
      <c r="Q89" s="28">
        <f>IF(OR(A89="",P89=""),"",A89+P89+1)</f>
        <v>46184</v>
      </c>
      <c r="R89" s="26" t="str">
        <f ca="1">IF(Q89="","",IF(Q89&lt;=TODAY(),"Allow","Not Allow"))</f>
        <v>Allow</v>
      </c>
      <c r="S89" s="27" t="str">
        <f>IF(I89="","",_xlfn.XLOOKUP(I89,Lists!$C:$C,Lists!$I:$I))</f>
        <v>Off-Label</v>
      </c>
    </row>
    <row r="90" spans="1:19" x14ac:dyDescent="0.2">
      <c r="A90" s="6">
        <v>46173</v>
      </c>
      <c r="B90" s="5">
        <v>58</v>
      </c>
      <c r="C90" s="26">
        <f>_xlfn.XLOOKUP(B90,Lists!B:B,Lists!A:A,"")</f>
        <v>4</v>
      </c>
      <c r="D90" s="5" t="s">
        <v>234</v>
      </c>
      <c r="E90" s="5">
        <v>1</v>
      </c>
      <c r="F90" s="5">
        <v>160</v>
      </c>
      <c r="G90" s="26">
        <f>IF(OR(E90="",F90=""),"",F90-E90+1)</f>
        <v>160</v>
      </c>
      <c r="H90" s="31">
        <f>IF(D90="","",IF(OR(D90="A",D90="B"),G90/80,IF(D90="A&amp;B",G90/160,"")))</f>
        <v>1</v>
      </c>
      <c r="I90" s="5" t="s">
        <v>47</v>
      </c>
      <c r="J90" s="27" t="str">
        <f>IF(I90="","",_xlfn.XLOOKUP(I90,Lists!$C:$C,Lists!$D:$D))</f>
        <v>Deltamethrin</v>
      </c>
      <c r="K90" s="5" t="s">
        <v>52</v>
      </c>
      <c r="L90" s="5">
        <v>100</v>
      </c>
      <c r="M90" s="5">
        <v>900</v>
      </c>
      <c r="N90" s="26">
        <f>IF(OR(M90="",L90=""),"",(M90*L90)/100000)</f>
        <v>0.9</v>
      </c>
      <c r="O90" s="27" t="str">
        <f>IF(I90="","",_xlfn.XLOOKUP(I90,Lists!$C:$C,Lists!$J:$J))</f>
        <v>L</v>
      </c>
      <c r="P90" s="27">
        <f>IF(I90="","",_xlfn.XLOOKUP(I90,Lists!$C:$C,Lists!$E:$E))</f>
        <v>10</v>
      </c>
      <c r="Q90" s="28">
        <f>IF(OR(A90="",P90=""),"",A90+P90+1)</f>
        <v>46184</v>
      </c>
      <c r="R90" s="26" t="str">
        <f ca="1">IF(Q90="","",IF(Q90&lt;=TODAY(),"Allow","Not Allow"))</f>
        <v>Allow</v>
      </c>
      <c r="S90" s="27" t="str">
        <f>IF(I90="","",_xlfn.XLOOKUP(I90,Lists!$C:$C,Lists!$I:$I))</f>
        <v>Off-Label</v>
      </c>
    </row>
    <row r="91" spans="1:19" x14ac:dyDescent="0.2">
      <c r="C91" s="26">
        <f>_xlfn.XLOOKUP(B91,Lists!B:B,Lists!A:A,"")</f>
        <v>0</v>
      </c>
      <c r="G91" s="26" t="str">
        <f t="shared" ref="G91:G154" si="1">IF(OR(E91="",F91=""),"",F91-E91+1)</f>
        <v/>
      </c>
      <c r="H91" s="31" t="str">
        <f t="shared" ref="H91:H154" si="2">IF(D91="","",IF(OR(D91="A",D91="B"),G91/80,IF(D91="A&amp;B",G91/160,"")))</f>
        <v/>
      </c>
      <c r="J91" s="27" t="str">
        <f>IF(I91="","",_xlfn.XLOOKUP(I91,Lists!$C:$C,Lists!$D:$D))</f>
        <v/>
      </c>
      <c r="N91" s="26" t="str">
        <f t="shared" ref="N91:N154" si="3">IF(OR(M91="",L91=""),"",(M91*L91)/100000)</f>
        <v/>
      </c>
      <c r="O91" s="27" t="str">
        <f>IF(I91="","",_xlfn.XLOOKUP(I91,Lists!$C:$C,Lists!$J:$J))</f>
        <v/>
      </c>
      <c r="P91" s="27" t="str">
        <f>IF(I91="","",_xlfn.XLOOKUP(I91,Lists!$C:$C,Lists!$E:$E))</f>
        <v/>
      </c>
      <c r="Q91" s="28" t="str">
        <f t="shared" ref="Q91:Q154" si="4">IF(OR(A91="",P91=""),"",A91+P91+1)</f>
        <v/>
      </c>
      <c r="R91" s="26" t="str">
        <f t="shared" ref="R91:R154" ca="1" si="5">IF(Q91="","",IF(Q91&lt;=TODAY(),"Allow","Not Allow"))</f>
        <v/>
      </c>
      <c r="S91" s="27" t="str">
        <f>IF(I91="","",_xlfn.XLOOKUP(I91,Lists!$C:$C,Lists!$I:$I))</f>
        <v/>
      </c>
    </row>
    <row r="92" spans="1:19" x14ac:dyDescent="0.2">
      <c r="C92" s="26">
        <f>_xlfn.XLOOKUP(B92,Lists!B:B,Lists!A:A,"")</f>
        <v>0</v>
      </c>
      <c r="G92" s="26" t="str">
        <f t="shared" si="1"/>
        <v/>
      </c>
      <c r="H92" s="31" t="str">
        <f t="shared" si="2"/>
        <v/>
      </c>
      <c r="J92" s="27" t="str">
        <f>IF(I92="","",_xlfn.XLOOKUP(I92,Lists!$C:$C,Lists!$D:$D))</f>
        <v/>
      </c>
      <c r="N92" s="26" t="str">
        <f t="shared" si="3"/>
        <v/>
      </c>
      <c r="O92" s="27" t="str">
        <f>IF(I92="","",_xlfn.XLOOKUP(I92,Lists!$C:$C,Lists!$J:$J))</f>
        <v/>
      </c>
      <c r="P92" s="27" t="str">
        <f>IF(I92="","",_xlfn.XLOOKUP(I92,Lists!$C:$C,Lists!$E:$E))</f>
        <v/>
      </c>
      <c r="Q92" s="28" t="str">
        <f t="shared" si="4"/>
        <v/>
      </c>
      <c r="R92" s="26" t="str">
        <f t="shared" ca="1" si="5"/>
        <v/>
      </c>
      <c r="S92" s="27" t="str">
        <f>IF(I92="","",_xlfn.XLOOKUP(I92,Lists!$C:$C,Lists!$I:$I))</f>
        <v/>
      </c>
    </row>
    <row r="93" spans="1:19" x14ac:dyDescent="0.2">
      <c r="C93" s="26">
        <f>_xlfn.XLOOKUP(B93,Lists!B:B,Lists!A:A,"")</f>
        <v>0</v>
      </c>
      <c r="G93" s="26" t="str">
        <f t="shared" si="1"/>
        <v/>
      </c>
      <c r="H93" s="31" t="str">
        <f t="shared" si="2"/>
        <v/>
      </c>
      <c r="J93" s="27" t="str">
        <f>IF(I93="","",_xlfn.XLOOKUP(I93,Lists!$C:$C,Lists!$D:$D))</f>
        <v/>
      </c>
      <c r="N93" s="26" t="str">
        <f t="shared" si="3"/>
        <v/>
      </c>
      <c r="O93" s="27" t="str">
        <f>IF(I93="","",_xlfn.XLOOKUP(I93,Lists!$C:$C,Lists!$J:$J))</f>
        <v/>
      </c>
      <c r="P93" s="27" t="str">
        <f>IF(I93="","",_xlfn.XLOOKUP(I93,Lists!$C:$C,Lists!$E:$E))</f>
        <v/>
      </c>
      <c r="Q93" s="28" t="str">
        <f t="shared" si="4"/>
        <v/>
      </c>
      <c r="R93" s="26" t="str">
        <f t="shared" ca="1" si="5"/>
        <v/>
      </c>
      <c r="S93" s="27" t="str">
        <f>IF(I93="","",_xlfn.XLOOKUP(I93,Lists!$C:$C,Lists!$I:$I))</f>
        <v/>
      </c>
    </row>
    <row r="94" spans="1:19" x14ac:dyDescent="0.2">
      <c r="C94" s="26">
        <f>_xlfn.XLOOKUP(B94,Lists!B:B,Lists!A:A,"")</f>
        <v>0</v>
      </c>
      <c r="G94" s="26" t="str">
        <f t="shared" si="1"/>
        <v/>
      </c>
      <c r="H94" s="31" t="str">
        <f t="shared" si="2"/>
        <v/>
      </c>
      <c r="J94" s="27" t="str">
        <f>IF(I94="","",_xlfn.XLOOKUP(I94,Lists!$C:$C,Lists!$D:$D))</f>
        <v/>
      </c>
      <c r="N94" s="26" t="str">
        <f t="shared" si="3"/>
        <v/>
      </c>
      <c r="O94" s="27" t="str">
        <f>IF(I94="","",_xlfn.XLOOKUP(I94,Lists!$C:$C,Lists!$J:$J))</f>
        <v/>
      </c>
      <c r="P94" s="27" t="str">
        <f>IF(I94="","",_xlfn.XLOOKUP(I94,Lists!$C:$C,Lists!$E:$E))</f>
        <v/>
      </c>
      <c r="Q94" s="28" t="str">
        <f t="shared" si="4"/>
        <v/>
      </c>
      <c r="R94" s="26" t="str">
        <f t="shared" ca="1" si="5"/>
        <v/>
      </c>
      <c r="S94" s="27" t="str">
        <f>IF(I94="","",_xlfn.XLOOKUP(I94,Lists!$C:$C,Lists!$I:$I))</f>
        <v/>
      </c>
    </row>
    <row r="95" spans="1:19" x14ac:dyDescent="0.2">
      <c r="C95" s="26">
        <f>_xlfn.XLOOKUP(B95,Lists!B:B,Lists!A:A,"")</f>
        <v>0</v>
      </c>
      <c r="G95" s="26" t="str">
        <f t="shared" si="1"/>
        <v/>
      </c>
      <c r="H95" s="31" t="str">
        <f t="shared" si="2"/>
        <v/>
      </c>
      <c r="J95" s="27" t="str">
        <f>IF(I95="","",_xlfn.XLOOKUP(I95,Lists!$C:$C,Lists!$D:$D))</f>
        <v/>
      </c>
      <c r="N95" s="26" t="str">
        <f t="shared" si="3"/>
        <v/>
      </c>
      <c r="O95" s="27" t="str">
        <f>IF(I95="","",_xlfn.XLOOKUP(I95,Lists!$C:$C,Lists!$J:$J))</f>
        <v/>
      </c>
      <c r="P95" s="27" t="str">
        <f>IF(I95="","",_xlfn.XLOOKUP(I95,Lists!$C:$C,Lists!$E:$E))</f>
        <v/>
      </c>
      <c r="Q95" s="28" t="str">
        <f t="shared" si="4"/>
        <v/>
      </c>
      <c r="R95" s="26" t="str">
        <f t="shared" ca="1" si="5"/>
        <v/>
      </c>
      <c r="S95" s="27" t="str">
        <f>IF(I95="","",_xlfn.XLOOKUP(I95,Lists!$C:$C,Lists!$I:$I))</f>
        <v/>
      </c>
    </row>
    <row r="96" spans="1:19" x14ac:dyDescent="0.2">
      <c r="C96" s="26">
        <f>_xlfn.XLOOKUP(B96,Lists!B:B,Lists!A:A,"")</f>
        <v>0</v>
      </c>
      <c r="G96" s="26" t="str">
        <f t="shared" si="1"/>
        <v/>
      </c>
      <c r="H96" s="31" t="str">
        <f t="shared" si="2"/>
        <v/>
      </c>
      <c r="J96" s="27" t="str">
        <f>IF(I96="","",_xlfn.XLOOKUP(I96,Lists!$C:$C,Lists!$D:$D))</f>
        <v/>
      </c>
      <c r="N96" s="26" t="str">
        <f t="shared" si="3"/>
        <v/>
      </c>
      <c r="O96" s="27" t="str">
        <f>IF(I96="","",_xlfn.XLOOKUP(I96,Lists!$C:$C,Lists!$J:$J))</f>
        <v/>
      </c>
      <c r="P96" s="27" t="str">
        <f>IF(I96="","",_xlfn.XLOOKUP(I96,Lists!$C:$C,Lists!$E:$E))</f>
        <v/>
      </c>
      <c r="Q96" s="28" t="str">
        <f t="shared" si="4"/>
        <v/>
      </c>
      <c r="R96" s="26" t="str">
        <f t="shared" ca="1" si="5"/>
        <v/>
      </c>
      <c r="S96" s="27" t="str">
        <f>IF(I96="","",_xlfn.XLOOKUP(I96,Lists!$C:$C,Lists!$I:$I))</f>
        <v/>
      </c>
    </row>
    <row r="97" spans="3:19" x14ac:dyDescent="0.2">
      <c r="C97" s="26">
        <f>_xlfn.XLOOKUP(B97,Lists!B:B,Lists!A:A,"")</f>
        <v>0</v>
      </c>
      <c r="G97" s="26" t="str">
        <f t="shared" si="1"/>
        <v/>
      </c>
      <c r="H97" s="31" t="str">
        <f t="shared" si="2"/>
        <v/>
      </c>
      <c r="J97" s="27" t="str">
        <f>IF(I97="","",_xlfn.XLOOKUP(I97,Lists!$C:$C,Lists!$D:$D))</f>
        <v/>
      </c>
      <c r="N97" s="26" t="str">
        <f t="shared" si="3"/>
        <v/>
      </c>
      <c r="O97" s="27" t="str">
        <f>IF(I97="","",_xlfn.XLOOKUP(I97,Lists!$C:$C,Lists!$J:$J))</f>
        <v/>
      </c>
      <c r="P97" s="27" t="str">
        <f>IF(I97="","",_xlfn.XLOOKUP(I97,Lists!$C:$C,Lists!$E:$E))</f>
        <v/>
      </c>
      <c r="Q97" s="28" t="str">
        <f t="shared" si="4"/>
        <v/>
      </c>
      <c r="R97" s="26" t="str">
        <f t="shared" ca="1" si="5"/>
        <v/>
      </c>
      <c r="S97" s="27" t="str">
        <f>IF(I97="","",_xlfn.XLOOKUP(I97,Lists!$C:$C,Lists!$I:$I))</f>
        <v/>
      </c>
    </row>
    <row r="98" spans="3:19" x14ac:dyDescent="0.2">
      <c r="C98" s="26">
        <f>_xlfn.XLOOKUP(B98,Lists!B:B,Lists!A:A,"")</f>
        <v>0</v>
      </c>
      <c r="G98" s="26" t="str">
        <f t="shared" si="1"/>
        <v/>
      </c>
      <c r="H98" s="31" t="str">
        <f t="shared" si="2"/>
        <v/>
      </c>
      <c r="J98" s="27" t="str">
        <f>IF(I98="","",_xlfn.XLOOKUP(I98,Lists!$C:$C,Lists!$D:$D))</f>
        <v/>
      </c>
      <c r="N98" s="26" t="str">
        <f t="shared" si="3"/>
        <v/>
      </c>
      <c r="O98" s="27" t="str">
        <f>IF(I98="","",_xlfn.XLOOKUP(I98,Lists!$C:$C,Lists!$J:$J))</f>
        <v/>
      </c>
      <c r="P98" s="27" t="str">
        <f>IF(I98="","",_xlfn.XLOOKUP(I98,Lists!$C:$C,Lists!$E:$E))</f>
        <v/>
      </c>
      <c r="Q98" s="28" t="str">
        <f t="shared" si="4"/>
        <v/>
      </c>
      <c r="R98" s="26" t="str">
        <f t="shared" ca="1" si="5"/>
        <v/>
      </c>
      <c r="S98" s="27" t="str">
        <f>IF(I98="","",_xlfn.XLOOKUP(I98,Lists!$C:$C,Lists!$I:$I))</f>
        <v/>
      </c>
    </row>
    <row r="99" spans="3:19" x14ac:dyDescent="0.2">
      <c r="C99" s="26">
        <f>_xlfn.XLOOKUP(B99,Lists!B:B,Lists!A:A,"")</f>
        <v>0</v>
      </c>
      <c r="G99" s="26" t="str">
        <f t="shared" si="1"/>
        <v/>
      </c>
      <c r="H99" s="31" t="str">
        <f t="shared" si="2"/>
        <v/>
      </c>
      <c r="J99" s="27" t="str">
        <f>IF(I99="","",_xlfn.XLOOKUP(I99,Lists!$C:$C,Lists!$D:$D))</f>
        <v/>
      </c>
      <c r="N99" s="26" t="str">
        <f t="shared" si="3"/>
        <v/>
      </c>
      <c r="O99" s="27" t="str">
        <f>IF(I99="","",_xlfn.XLOOKUP(I99,Lists!$C:$C,Lists!$J:$J))</f>
        <v/>
      </c>
      <c r="P99" s="27" t="str">
        <f>IF(I99="","",_xlfn.XLOOKUP(I99,Lists!$C:$C,Lists!$E:$E))</f>
        <v/>
      </c>
      <c r="Q99" s="28" t="str">
        <f t="shared" si="4"/>
        <v/>
      </c>
      <c r="R99" s="26" t="str">
        <f t="shared" ca="1" si="5"/>
        <v/>
      </c>
      <c r="S99" s="27" t="str">
        <f>IF(I99="","",_xlfn.XLOOKUP(I99,Lists!$C:$C,Lists!$I:$I))</f>
        <v/>
      </c>
    </row>
    <row r="100" spans="3:19" x14ac:dyDescent="0.2">
      <c r="C100" s="26">
        <f>_xlfn.XLOOKUP(B100,Lists!B:B,Lists!A:A,"")</f>
        <v>0</v>
      </c>
      <c r="G100" s="26" t="str">
        <f t="shared" si="1"/>
        <v/>
      </c>
      <c r="H100" s="31" t="str">
        <f t="shared" si="2"/>
        <v/>
      </c>
      <c r="J100" s="27" t="str">
        <f>IF(I100="","",_xlfn.XLOOKUP(I100,Lists!$C:$C,Lists!$D:$D))</f>
        <v/>
      </c>
      <c r="N100" s="26" t="str">
        <f t="shared" si="3"/>
        <v/>
      </c>
      <c r="O100" s="27" t="str">
        <f>IF(I100="","",_xlfn.XLOOKUP(I100,Lists!$C:$C,Lists!$J:$J))</f>
        <v/>
      </c>
      <c r="P100" s="27" t="str">
        <f>IF(I100="","",_xlfn.XLOOKUP(I100,Lists!$C:$C,Lists!$E:$E))</f>
        <v/>
      </c>
      <c r="Q100" s="28" t="str">
        <f t="shared" si="4"/>
        <v/>
      </c>
      <c r="R100" s="26" t="str">
        <f t="shared" ca="1" si="5"/>
        <v/>
      </c>
      <c r="S100" s="27" t="str">
        <f>IF(I100="","",_xlfn.XLOOKUP(I100,Lists!$C:$C,Lists!$I:$I))</f>
        <v/>
      </c>
    </row>
    <row r="101" spans="3:19" x14ac:dyDescent="0.2">
      <c r="C101" s="26">
        <f>_xlfn.XLOOKUP(B101,Lists!B:B,Lists!A:A,"")</f>
        <v>0</v>
      </c>
      <c r="G101" s="26" t="str">
        <f t="shared" si="1"/>
        <v/>
      </c>
      <c r="H101" s="31" t="str">
        <f t="shared" si="2"/>
        <v/>
      </c>
      <c r="J101" s="27" t="str">
        <f>IF(I101="","",_xlfn.XLOOKUP(I101,Lists!$C:$C,Lists!$D:$D))</f>
        <v/>
      </c>
      <c r="N101" s="26" t="str">
        <f t="shared" si="3"/>
        <v/>
      </c>
      <c r="O101" s="27" t="str">
        <f>IF(I101="","",_xlfn.XLOOKUP(I101,Lists!$C:$C,Lists!$J:$J))</f>
        <v/>
      </c>
      <c r="P101" s="27" t="str">
        <f>IF(I101="","",_xlfn.XLOOKUP(I101,Lists!$C:$C,Lists!$E:$E))</f>
        <v/>
      </c>
      <c r="Q101" s="28" t="str">
        <f t="shared" si="4"/>
        <v/>
      </c>
      <c r="R101" s="26" t="str">
        <f t="shared" ca="1" si="5"/>
        <v/>
      </c>
      <c r="S101" s="27" t="str">
        <f>IF(I101="","",_xlfn.XLOOKUP(I101,Lists!$C:$C,Lists!$I:$I))</f>
        <v/>
      </c>
    </row>
    <row r="102" spans="3:19" x14ac:dyDescent="0.2">
      <c r="C102" s="26">
        <f>_xlfn.XLOOKUP(B102,Lists!B:B,Lists!A:A,"")</f>
        <v>0</v>
      </c>
      <c r="G102" s="26" t="str">
        <f t="shared" si="1"/>
        <v/>
      </c>
      <c r="H102" s="31" t="str">
        <f t="shared" si="2"/>
        <v/>
      </c>
      <c r="J102" s="27" t="str">
        <f>IF(I102="","",_xlfn.XLOOKUP(I102,Lists!$C:$C,Lists!$D:$D))</f>
        <v/>
      </c>
      <c r="N102" s="26" t="str">
        <f t="shared" si="3"/>
        <v/>
      </c>
      <c r="O102" s="27" t="str">
        <f>IF(I102="","",_xlfn.XLOOKUP(I102,Lists!$C:$C,Lists!$J:$J))</f>
        <v/>
      </c>
      <c r="P102" s="27" t="str">
        <f>IF(I102="","",_xlfn.XLOOKUP(I102,Lists!$C:$C,Lists!$E:$E))</f>
        <v/>
      </c>
      <c r="Q102" s="28" t="str">
        <f t="shared" si="4"/>
        <v/>
      </c>
      <c r="R102" s="26" t="str">
        <f t="shared" ca="1" si="5"/>
        <v/>
      </c>
      <c r="S102" s="27" t="str">
        <f>IF(I102="","",_xlfn.XLOOKUP(I102,Lists!$C:$C,Lists!$I:$I))</f>
        <v/>
      </c>
    </row>
    <row r="103" spans="3:19" x14ac:dyDescent="0.2">
      <c r="C103" s="26">
        <f>_xlfn.XLOOKUP(B103,Lists!B:B,Lists!A:A,"")</f>
        <v>0</v>
      </c>
      <c r="G103" s="26" t="str">
        <f t="shared" si="1"/>
        <v/>
      </c>
      <c r="H103" s="31" t="str">
        <f t="shared" si="2"/>
        <v/>
      </c>
      <c r="J103" s="27" t="str">
        <f>IF(I103="","",_xlfn.XLOOKUP(I103,Lists!$C:$C,Lists!$D:$D))</f>
        <v/>
      </c>
      <c r="N103" s="26" t="str">
        <f t="shared" si="3"/>
        <v/>
      </c>
      <c r="O103" s="27" t="str">
        <f>IF(I103="","",_xlfn.XLOOKUP(I103,Lists!$C:$C,Lists!$J:$J))</f>
        <v/>
      </c>
      <c r="P103" s="27" t="str">
        <f>IF(I103="","",_xlfn.XLOOKUP(I103,Lists!$C:$C,Lists!$E:$E))</f>
        <v/>
      </c>
      <c r="Q103" s="28" t="str">
        <f t="shared" si="4"/>
        <v/>
      </c>
      <c r="R103" s="26" t="str">
        <f t="shared" ca="1" si="5"/>
        <v/>
      </c>
      <c r="S103" s="27" t="str">
        <f>IF(I103="","",_xlfn.XLOOKUP(I103,Lists!$C:$C,Lists!$I:$I))</f>
        <v/>
      </c>
    </row>
    <row r="104" spans="3:19" x14ac:dyDescent="0.2">
      <c r="C104" s="26">
        <f>_xlfn.XLOOKUP(B104,Lists!B:B,Lists!A:A,"")</f>
        <v>0</v>
      </c>
      <c r="G104" s="26" t="str">
        <f t="shared" si="1"/>
        <v/>
      </c>
      <c r="H104" s="31" t="str">
        <f t="shared" si="2"/>
        <v/>
      </c>
      <c r="J104" s="27" t="str">
        <f>IF(I104="","",_xlfn.XLOOKUP(I104,Lists!$C:$C,Lists!$D:$D))</f>
        <v/>
      </c>
      <c r="N104" s="26" t="str">
        <f t="shared" si="3"/>
        <v/>
      </c>
      <c r="O104" s="27" t="str">
        <f>IF(I104="","",_xlfn.XLOOKUP(I104,Lists!$C:$C,Lists!$J:$J))</f>
        <v/>
      </c>
      <c r="P104" s="27" t="str">
        <f>IF(I104="","",_xlfn.XLOOKUP(I104,Lists!$C:$C,Lists!$E:$E))</f>
        <v/>
      </c>
      <c r="Q104" s="28" t="str">
        <f t="shared" si="4"/>
        <v/>
      </c>
      <c r="R104" s="26" t="str">
        <f t="shared" ca="1" si="5"/>
        <v/>
      </c>
      <c r="S104" s="27" t="str">
        <f>IF(I104="","",_xlfn.XLOOKUP(I104,Lists!$C:$C,Lists!$I:$I))</f>
        <v/>
      </c>
    </row>
    <row r="105" spans="3:19" x14ac:dyDescent="0.2">
      <c r="C105" s="26">
        <f>_xlfn.XLOOKUP(B105,Lists!B:B,Lists!A:A,"")</f>
        <v>0</v>
      </c>
      <c r="G105" s="26" t="str">
        <f t="shared" si="1"/>
        <v/>
      </c>
      <c r="H105" s="31" t="str">
        <f t="shared" si="2"/>
        <v/>
      </c>
      <c r="J105" s="27" t="str">
        <f>IF(I105="","",_xlfn.XLOOKUP(I105,Lists!$C:$C,Lists!$D:$D))</f>
        <v/>
      </c>
      <c r="N105" s="26" t="str">
        <f t="shared" si="3"/>
        <v/>
      </c>
      <c r="O105" s="27" t="str">
        <f>IF(I105="","",_xlfn.XLOOKUP(I105,Lists!$C:$C,Lists!$J:$J))</f>
        <v/>
      </c>
      <c r="P105" s="27" t="str">
        <f>IF(I105="","",_xlfn.XLOOKUP(I105,Lists!$C:$C,Lists!$E:$E))</f>
        <v/>
      </c>
      <c r="Q105" s="28" t="str">
        <f t="shared" si="4"/>
        <v/>
      </c>
      <c r="R105" s="26" t="str">
        <f t="shared" ca="1" si="5"/>
        <v/>
      </c>
      <c r="S105" s="27" t="str">
        <f>IF(I105="","",_xlfn.XLOOKUP(I105,Lists!$C:$C,Lists!$I:$I))</f>
        <v/>
      </c>
    </row>
    <row r="106" spans="3:19" x14ac:dyDescent="0.2">
      <c r="C106" s="26">
        <f>_xlfn.XLOOKUP(B106,Lists!B:B,Lists!A:A,"")</f>
        <v>0</v>
      </c>
      <c r="G106" s="26" t="str">
        <f t="shared" si="1"/>
        <v/>
      </c>
      <c r="H106" s="31" t="str">
        <f t="shared" si="2"/>
        <v/>
      </c>
      <c r="J106" s="27" t="str">
        <f>IF(I106="","",_xlfn.XLOOKUP(I106,Lists!$C:$C,Lists!$D:$D))</f>
        <v/>
      </c>
      <c r="N106" s="26" t="str">
        <f t="shared" si="3"/>
        <v/>
      </c>
      <c r="O106" s="27" t="str">
        <f>IF(I106="","",_xlfn.XLOOKUP(I106,Lists!$C:$C,Lists!$J:$J))</f>
        <v/>
      </c>
      <c r="P106" s="27" t="str">
        <f>IF(I106="","",_xlfn.XLOOKUP(I106,Lists!$C:$C,Lists!$E:$E))</f>
        <v/>
      </c>
      <c r="Q106" s="28" t="str">
        <f t="shared" si="4"/>
        <v/>
      </c>
      <c r="R106" s="26" t="str">
        <f t="shared" ca="1" si="5"/>
        <v/>
      </c>
      <c r="S106" s="27" t="str">
        <f>IF(I106="","",_xlfn.XLOOKUP(I106,Lists!$C:$C,Lists!$I:$I))</f>
        <v/>
      </c>
    </row>
    <row r="107" spans="3:19" x14ac:dyDescent="0.2">
      <c r="C107" s="26">
        <f>_xlfn.XLOOKUP(B107,Lists!B:B,Lists!A:A,"")</f>
        <v>0</v>
      </c>
      <c r="G107" s="26" t="str">
        <f t="shared" si="1"/>
        <v/>
      </c>
      <c r="H107" s="31" t="str">
        <f t="shared" si="2"/>
        <v/>
      </c>
      <c r="J107" s="27" t="str">
        <f>IF(I107="","",_xlfn.XLOOKUP(I107,Lists!$C:$C,Lists!$D:$D))</f>
        <v/>
      </c>
      <c r="N107" s="26" t="str">
        <f t="shared" si="3"/>
        <v/>
      </c>
      <c r="O107" s="27" t="str">
        <f>IF(I107="","",_xlfn.XLOOKUP(I107,Lists!$C:$C,Lists!$J:$J))</f>
        <v/>
      </c>
      <c r="P107" s="27" t="str">
        <f>IF(I107="","",_xlfn.XLOOKUP(I107,Lists!$C:$C,Lists!$E:$E))</f>
        <v/>
      </c>
      <c r="Q107" s="28" t="str">
        <f t="shared" si="4"/>
        <v/>
      </c>
      <c r="R107" s="26" t="str">
        <f t="shared" ca="1" si="5"/>
        <v/>
      </c>
      <c r="S107" s="27" t="str">
        <f>IF(I107="","",_xlfn.XLOOKUP(I107,Lists!$C:$C,Lists!$I:$I))</f>
        <v/>
      </c>
    </row>
    <row r="108" spans="3:19" x14ac:dyDescent="0.2">
      <c r="C108" s="26">
        <f>_xlfn.XLOOKUP(B108,Lists!B:B,Lists!A:A,"")</f>
        <v>0</v>
      </c>
      <c r="G108" s="26" t="str">
        <f t="shared" si="1"/>
        <v/>
      </c>
      <c r="H108" s="31" t="str">
        <f t="shared" si="2"/>
        <v/>
      </c>
      <c r="J108" s="27" t="str">
        <f>IF(I108="","",_xlfn.XLOOKUP(I108,Lists!$C:$C,Lists!$D:$D))</f>
        <v/>
      </c>
      <c r="N108" s="26" t="str">
        <f t="shared" si="3"/>
        <v/>
      </c>
      <c r="O108" s="27" t="str">
        <f>IF(I108="","",_xlfn.XLOOKUP(I108,Lists!$C:$C,Lists!$J:$J))</f>
        <v/>
      </c>
      <c r="P108" s="27" t="str">
        <f>IF(I108="","",_xlfn.XLOOKUP(I108,Lists!$C:$C,Lists!$E:$E))</f>
        <v/>
      </c>
      <c r="Q108" s="28" t="str">
        <f t="shared" si="4"/>
        <v/>
      </c>
      <c r="R108" s="26" t="str">
        <f t="shared" ca="1" si="5"/>
        <v/>
      </c>
      <c r="S108" s="27" t="str">
        <f>IF(I108="","",_xlfn.XLOOKUP(I108,Lists!$C:$C,Lists!$I:$I))</f>
        <v/>
      </c>
    </row>
    <row r="109" spans="3:19" x14ac:dyDescent="0.2">
      <c r="C109" s="26">
        <f>_xlfn.XLOOKUP(B109,Lists!B:B,Lists!A:A,"")</f>
        <v>0</v>
      </c>
      <c r="G109" s="26" t="str">
        <f t="shared" si="1"/>
        <v/>
      </c>
      <c r="H109" s="31" t="str">
        <f t="shared" si="2"/>
        <v/>
      </c>
      <c r="J109" s="27" t="str">
        <f>IF(I109="","",_xlfn.XLOOKUP(I109,Lists!$C:$C,Lists!$D:$D))</f>
        <v/>
      </c>
      <c r="N109" s="26" t="str">
        <f t="shared" si="3"/>
        <v/>
      </c>
      <c r="O109" s="27" t="str">
        <f>IF(I109="","",_xlfn.XLOOKUP(I109,Lists!$C:$C,Lists!$J:$J))</f>
        <v/>
      </c>
      <c r="P109" s="27" t="str">
        <f>IF(I109="","",_xlfn.XLOOKUP(I109,Lists!$C:$C,Lists!$E:$E))</f>
        <v/>
      </c>
      <c r="Q109" s="28" t="str">
        <f t="shared" si="4"/>
        <v/>
      </c>
      <c r="R109" s="26" t="str">
        <f t="shared" ca="1" si="5"/>
        <v/>
      </c>
      <c r="S109" s="27" t="str">
        <f>IF(I109="","",_xlfn.XLOOKUP(I109,Lists!$C:$C,Lists!$I:$I))</f>
        <v/>
      </c>
    </row>
    <row r="110" spans="3:19" x14ac:dyDescent="0.2">
      <c r="C110" s="26">
        <f>_xlfn.XLOOKUP(B110,Lists!B:B,Lists!A:A,"")</f>
        <v>0</v>
      </c>
      <c r="G110" s="26" t="str">
        <f t="shared" si="1"/>
        <v/>
      </c>
      <c r="H110" s="31" t="str">
        <f t="shared" si="2"/>
        <v/>
      </c>
      <c r="J110" s="27" t="str">
        <f>IF(I110="","",_xlfn.XLOOKUP(I110,Lists!$C:$C,Lists!$D:$D))</f>
        <v/>
      </c>
      <c r="N110" s="26" t="str">
        <f t="shared" si="3"/>
        <v/>
      </c>
      <c r="O110" s="27" t="str">
        <f>IF(I110="","",_xlfn.XLOOKUP(I110,Lists!$C:$C,Lists!$J:$J))</f>
        <v/>
      </c>
      <c r="P110" s="27" t="str">
        <f>IF(I110="","",_xlfn.XLOOKUP(I110,Lists!$C:$C,Lists!$E:$E))</f>
        <v/>
      </c>
      <c r="Q110" s="28" t="str">
        <f t="shared" si="4"/>
        <v/>
      </c>
      <c r="R110" s="26" t="str">
        <f t="shared" ca="1" si="5"/>
        <v/>
      </c>
      <c r="S110" s="27" t="str">
        <f>IF(I110="","",_xlfn.XLOOKUP(I110,Lists!$C:$C,Lists!$I:$I))</f>
        <v/>
      </c>
    </row>
    <row r="111" spans="3:19" x14ac:dyDescent="0.2">
      <c r="C111" s="26">
        <f>_xlfn.XLOOKUP(B111,Lists!B:B,Lists!A:A,"")</f>
        <v>0</v>
      </c>
      <c r="G111" s="26" t="str">
        <f t="shared" si="1"/>
        <v/>
      </c>
      <c r="H111" s="31" t="str">
        <f t="shared" si="2"/>
        <v/>
      </c>
      <c r="J111" s="27" t="str">
        <f>IF(I111="","",_xlfn.XLOOKUP(I111,Lists!$C:$C,Lists!$D:$D))</f>
        <v/>
      </c>
      <c r="N111" s="26" t="str">
        <f t="shared" si="3"/>
        <v/>
      </c>
      <c r="O111" s="27" t="str">
        <f>IF(I111="","",_xlfn.XLOOKUP(I111,Lists!$C:$C,Lists!$J:$J))</f>
        <v/>
      </c>
      <c r="P111" s="27" t="str">
        <f>IF(I111="","",_xlfn.XLOOKUP(I111,Lists!$C:$C,Lists!$E:$E))</f>
        <v/>
      </c>
      <c r="Q111" s="28" t="str">
        <f t="shared" si="4"/>
        <v/>
      </c>
      <c r="R111" s="26" t="str">
        <f t="shared" ca="1" si="5"/>
        <v/>
      </c>
      <c r="S111" s="27" t="str">
        <f>IF(I111="","",_xlfn.XLOOKUP(I111,Lists!$C:$C,Lists!$I:$I))</f>
        <v/>
      </c>
    </row>
    <row r="112" spans="3:19" x14ac:dyDescent="0.2">
      <c r="C112" s="26">
        <f>_xlfn.XLOOKUP(B112,Lists!B:B,Lists!A:A,"")</f>
        <v>0</v>
      </c>
      <c r="G112" s="26" t="str">
        <f t="shared" si="1"/>
        <v/>
      </c>
      <c r="H112" s="31" t="str">
        <f t="shared" si="2"/>
        <v/>
      </c>
      <c r="J112" s="27" t="str">
        <f>IF(I112="","",_xlfn.XLOOKUP(I112,Lists!$C:$C,Lists!$D:$D))</f>
        <v/>
      </c>
      <c r="N112" s="26" t="str">
        <f t="shared" si="3"/>
        <v/>
      </c>
      <c r="O112" s="27" t="str">
        <f>IF(I112="","",_xlfn.XLOOKUP(I112,Lists!$C:$C,Lists!$J:$J))</f>
        <v/>
      </c>
      <c r="P112" s="27" t="str">
        <f>IF(I112="","",_xlfn.XLOOKUP(I112,Lists!$C:$C,Lists!$E:$E))</f>
        <v/>
      </c>
      <c r="Q112" s="28" t="str">
        <f t="shared" si="4"/>
        <v/>
      </c>
      <c r="R112" s="26" t="str">
        <f t="shared" ca="1" si="5"/>
        <v/>
      </c>
      <c r="S112" s="27" t="str">
        <f>IF(I112="","",_xlfn.XLOOKUP(I112,Lists!$C:$C,Lists!$I:$I))</f>
        <v/>
      </c>
    </row>
    <row r="113" spans="3:19" x14ac:dyDescent="0.2">
      <c r="C113" s="26">
        <f>_xlfn.XLOOKUP(B113,Lists!B:B,Lists!A:A,"")</f>
        <v>0</v>
      </c>
      <c r="G113" s="26" t="str">
        <f t="shared" si="1"/>
        <v/>
      </c>
      <c r="H113" s="31" t="str">
        <f t="shared" si="2"/>
        <v/>
      </c>
      <c r="J113" s="27" t="str">
        <f>IF(I113="","",_xlfn.XLOOKUP(I113,Lists!$C:$C,Lists!$D:$D))</f>
        <v/>
      </c>
      <c r="N113" s="26" t="str">
        <f t="shared" si="3"/>
        <v/>
      </c>
      <c r="O113" s="27" t="str">
        <f>IF(I113="","",_xlfn.XLOOKUP(I113,Lists!$C:$C,Lists!$J:$J))</f>
        <v/>
      </c>
      <c r="P113" s="27" t="str">
        <f>IF(I113="","",_xlfn.XLOOKUP(I113,Lists!$C:$C,Lists!$E:$E))</f>
        <v/>
      </c>
      <c r="Q113" s="28" t="str">
        <f t="shared" si="4"/>
        <v/>
      </c>
      <c r="R113" s="26" t="str">
        <f t="shared" ca="1" si="5"/>
        <v/>
      </c>
      <c r="S113" s="27" t="str">
        <f>IF(I113="","",_xlfn.XLOOKUP(I113,Lists!$C:$C,Lists!$I:$I))</f>
        <v/>
      </c>
    </row>
    <row r="114" spans="3:19" x14ac:dyDescent="0.2">
      <c r="C114" s="26">
        <f>_xlfn.XLOOKUP(B114,Lists!B:B,Lists!A:A,"")</f>
        <v>0</v>
      </c>
      <c r="G114" s="26" t="str">
        <f t="shared" si="1"/>
        <v/>
      </c>
      <c r="H114" s="31" t="str">
        <f t="shared" si="2"/>
        <v/>
      </c>
      <c r="J114" s="27" t="str">
        <f>IF(I114="","",_xlfn.XLOOKUP(I114,Lists!$C:$C,Lists!$D:$D))</f>
        <v/>
      </c>
      <c r="N114" s="26" t="str">
        <f t="shared" si="3"/>
        <v/>
      </c>
      <c r="O114" s="27" t="str">
        <f>IF(I114="","",_xlfn.XLOOKUP(I114,Lists!$C:$C,Lists!$J:$J))</f>
        <v/>
      </c>
      <c r="P114" s="27" t="str">
        <f>IF(I114="","",_xlfn.XLOOKUP(I114,Lists!$C:$C,Lists!$E:$E))</f>
        <v/>
      </c>
      <c r="Q114" s="28" t="str">
        <f t="shared" si="4"/>
        <v/>
      </c>
      <c r="R114" s="26" t="str">
        <f t="shared" ca="1" si="5"/>
        <v/>
      </c>
      <c r="S114" s="27" t="str">
        <f>IF(I114="","",_xlfn.XLOOKUP(I114,Lists!$C:$C,Lists!$I:$I))</f>
        <v/>
      </c>
    </row>
    <row r="115" spans="3:19" x14ac:dyDescent="0.2">
      <c r="C115" s="26">
        <f>_xlfn.XLOOKUP(B115,Lists!B:B,Lists!A:A,"")</f>
        <v>0</v>
      </c>
      <c r="G115" s="26" t="str">
        <f t="shared" si="1"/>
        <v/>
      </c>
      <c r="H115" s="31" t="str">
        <f t="shared" si="2"/>
        <v/>
      </c>
      <c r="J115" s="27" t="str">
        <f>IF(I115="","",_xlfn.XLOOKUP(I115,Lists!$C:$C,Lists!$D:$D))</f>
        <v/>
      </c>
      <c r="N115" s="26" t="str">
        <f t="shared" si="3"/>
        <v/>
      </c>
      <c r="O115" s="27" t="str">
        <f>IF(I115="","",_xlfn.XLOOKUP(I115,Lists!$C:$C,Lists!$J:$J))</f>
        <v/>
      </c>
      <c r="P115" s="27" t="str">
        <f>IF(I115="","",_xlfn.XLOOKUP(I115,Lists!$C:$C,Lists!$E:$E))</f>
        <v/>
      </c>
      <c r="Q115" s="28" t="str">
        <f t="shared" si="4"/>
        <v/>
      </c>
      <c r="R115" s="26" t="str">
        <f t="shared" ca="1" si="5"/>
        <v/>
      </c>
      <c r="S115" s="27" t="str">
        <f>IF(I115="","",_xlfn.XLOOKUP(I115,Lists!$C:$C,Lists!$I:$I))</f>
        <v/>
      </c>
    </row>
    <row r="116" spans="3:19" x14ac:dyDescent="0.2">
      <c r="C116" s="26">
        <f>_xlfn.XLOOKUP(B116,Lists!B:B,Lists!A:A,"")</f>
        <v>0</v>
      </c>
      <c r="G116" s="26" t="str">
        <f t="shared" si="1"/>
        <v/>
      </c>
      <c r="H116" s="31" t="str">
        <f t="shared" si="2"/>
        <v/>
      </c>
      <c r="J116" s="27" t="str">
        <f>IF(I116="","",_xlfn.XLOOKUP(I116,Lists!$C:$C,Lists!$D:$D))</f>
        <v/>
      </c>
      <c r="N116" s="26" t="str">
        <f t="shared" si="3"/>
        <v/>
      </c>
      <c r="O116" s="27" t="str">
        <f>IF(I116="","",_xlfn.XLOOKUP(I116,Lists!$C:$C,Lists!$J:$J))</f>
        <v/>
      </c>
      <c r="P116" s="27" t="str">
        <f>IF(I116="","",_xlfn.XLOOKUP(I116,Lists!$C:$C,Lists!$E:$E))</f>
        <v/>
      </c>
      <c r="Q116" s="28" t="str">
        <f t="shared" si="4"/>
        <v/>
      </c>
      <c r="R116" s="26" t="str">
        <f t="shared" ca="1" si="5"/>
        <v/>
      </c>
      <c r="S116" s="27" t="str">
        <f>IF(I116="","",_xlfn.XLOOKUP(I116,Lists!$C:$C,Lists!$I:$I))</f>
        <v/>
      </c>
    </row>
    <row r="117" spans="3:19" x14ac:dyDescent="0.2">
      <c r="C117" s="26">
        <f>_xlfn.XLOOKUP(B117,Lists!B:B,Lists!A:A,"")</f>
        <v>0</v>
      </c>
      <c r="G117" s="26" t="str">
        <f t="shared" si="1"/>
        <v/>
      </c>
      <c r="H117" s="31" t="str">
        <f t="shared" si="2"/>
        <v/>
      </c>
      <c r="J117" s="27" t="str">
        <f>IF(I117="","",_xlfn.XLOOKUP(I117,Lists!$C:$C,Lists!$D:$D))</f>
        <v/>
      </c>
      <c r="N117" s="26" t="str">
        <f t="shared" si="3"/>
        <v/>
      </c>
      <c r="O117" s="27" t="str">
        <f>IF(I117="","",_xlfn.XLOOKUP(I117,Lists!$C:$C,Lists!$J:$J))</f>
        <v/>
      </c>
      <c r="P117" s="27" t="str">
        <f>IF(I117="","",_xlfn.XLOOKUP(I117,Lists!$C:$C,Lists!$E:$E))</f>
        <v/>
      </c>
      <c r="Q117" s="28" t="str">
        <f t="shared" si="4"/>
        <v/>
      </c>
      <c r="R117" s="26" t="str">
        <f t="shared" ca="1" si="5"/>
        <v/>
      </c>
      <c r="S117" s="27" t="str">
        <f>IF(I117="","",_xlfn.XLOOKUP(I117,Lists!$C:$C,Lists!$I:$I))</f>
        <v/>
      </c>
    </row>
    <row r="118" spans="3:19" x14ac:dyDescent="0.2">
      <c r="C118" s="26">
        <f>_xlfn.XLOOKUP(B118,Lists!B:B,Lists!A:A,"")</f>
        <v>0</v>
      </c>
      <c r="G118" s="26" t="str">
        <f t="shared" si="1"/>
        <v/>
      </c>
      <c r="H118" s="31" t="str">
        <f t="shared" si="2"/>
        <v/>
      </c>
      <c r="J118" s="27" t="str">
        <f>IF(I118="","",_xlfn.XLOOKUP(I118,Lists!$C:$C,Lists!$D:$D))</f>
        <v/>
      </c>
      <c r="N118" s="26" t="str">
        <f t="shared" si="3"/>
        <v/>
      </c>
      <c r="O118" s="27" t="str">
        <f>IF(I118="","",_xlfn.XLOOKUP(I118,Lists!$C:$C,Lists!$J:$J))</f>
        <v/>
      </c>
      <c r="P118" s="27" t="str">
        <f>IF(I118="","",_xlfn.XLOOKUP(I118,Lists!$C:$C,Lists!$E:$E))</f>
        <v/>
      </c>
      <c r="Q118" s="28" t="str">
        <f t="shared" si="4"/>
        <v/>
      </c>
      <c r="R118" s="26" t="str">
        <f t="shared" ca="1" si="5"/>
        <v/>
      </c>
      <c r="S118" s="27" t="str">
        <f>IF(I118="","",_xlfn.XLOOKUP(I118,Lists!$C:$C,Lists!$I:$I))</f>
        <v/>
      </c>
    </row>
    <row r="119" spans="3:19" x14ac:dyDescent="0.2">
      <c r="C119" s="26">
        <f>_xlfn.XLOOKUP(B119,Lists!B:B,Lists!A:A,"")</f>
        <v>0</v>
      </c>
      <c r="G119" s="26" t="str">
        <f t="shared" si="1"/>
        <v/>
      </c>
      <c r="H119" s="31" t="str">
        <f t="shared" si="2"/>
        <v/>
      </c>
      <c r="J119" s="27" t="str">
        <f>IF(I119="","",_xlfn.XLOOKUP(I119,Lists!$C:$C,Lists!$D:$D))</f>
        <v/>
      </c>
      <c r="N119" s="26" t="str">
        <f t="shared" si="3"/>
        <v/>
      </c>
      <c r="O119" s="27" t="str">
        <f>IF(I119="","",_xlfn.XLOOKUP(I119,Lists!$C:$C,Lists!$J:$J))</f>
        <v/>
      </c>
      <c r="P119" s="27" t="str">
        <f>IF(I119="","",_xlfn.XLOOKUP(I119,Lists!$C:$C,Lists!$E:$E))</f>
        <v/>
      </c>
      <c r="Q119" s="28" t="str">
        <f t="shared" si="4"/>
        <v/>
      </c>
      <c r="R119" s="26" t="str">
        <f t="shared" ca="1" si="5"/>
        <v/>
      </c>
      <c r="S119" s="27" t="str">
        <f>IF(I119="","",_xlfn.XLOOKUP(I119,Lists!$C:$C,Lists!$I:$I))</f>
        <v/>
      </c>
    </row>
    <row r="120" spans="3:19" x14ac:dyDescent="0.2">
      <c r="C120" s="26">
        <f>_xlfn.XLOOKUP(B120,Lists!B:B,Lists!A:A,"")</f>
        <v>0</v>
      </c>
      <c r="G120" s="26" t="str">
        <f t="shared" si="1"/>
        <v/>
      </c>
      <c r="H120" s="31" t="str">
        <f t="shared" si="2"/>
        <v/>
      </c>
      <c r="J120" s="27" t="str">
        <f>IF(I120="","",_xlfn.XLOOKUP(I120,Lists!$C:$C,Lists!$D:$D))</f>
        <v/>
      </c>
      <c r="N120" s="26" t="str">
        <f t="shared" si="3"/>
        <v/>
      </c>
      <c r="O120" s="27" t="str">
        <f>IF(I120="","",_xlfn.XLOOKUP(I120,Lists!$C:$C,Lists!$J:$J))</f>
        <v/>
      </c>
      <c r="P120" s="27" t="str">
        <f>IF(I120="","",_xlfn.XLOOKUP(I120,Lists!$C:$C,Lists!$E:$E))</f>
        <v/>
      </c>
      <c r="Q120" s="28" t="str">
        <f t="shared" si="4"/>
        <v/>
      </c>
      <c r="R120" s="26" t="str">
        <f t="shared" ca="1" si="5"/>
        <v/>
      </c>
      <c r="S120" s="27" t="str">
        <f>IF(I120="","",_xlfn.XLOOKUP(I120,Lists!$C:$C,Lists!$I:$I))</f>
        <v/>
      </c>
    </row>
    <row r="121" spans="3:19" x14ac:dyDescent="0.2">
      <c r="C121" s="26">
        <f>_xlfn.XLOOKUP(B121,Lists!B:B,Lists!A:A,"")</f>
        <v>0</v>
      </c>
      <c r="G121" s="26" t="str">
        <f t="shared" si="1"/>
        <v/>
      </c>
      <c r="H121" s="31" t="str">
        <f t="shared" si="2"/>
        <v/>
      </c>
      <c r="J121" s="27" t="str">
        <f>IF(I121="","",_xlfn.XLOOKUP(I121,Lists!$C:$C,Lists!$D:$D))</f>
        <v/>
      </c>
      <c r="N121" s="26" t="str">
        <f t="shared" si="3"/>
        <v/>
      </c>
      <c r="O121" s="27" t="str">
        <f>IF(I121="","",_xlfn.XLOOKUP(I121,Lists!$C:$C,Lists!$J:$J))</f>
        <v/>
      </c>
      <c r="P121" s="27" t="str">
        <f>IF(I121="","",_xlfn.XLOOKUP(I121,Lists!$C:$C,Lists!$E:$E))</f>
        <v/>
      </c>
      <c r="Q121" s="28" t="str">
        <f t="shared" si="4"/>
        <v/>
      </c>
      <c r="R121" s="26" t="str">
        <f t="shared" ca="1" si="5"/>
        <v/>
      </c>
      <c r="S121" s="27" t="str">
        <f>IF(I121="","",_xlfn.XLOOKUP(I121,Lists!$C:$C,Lists!$I:$I))</f>
        <v/>
      </c>
    </row>
    <row r="122" spans="3:19" x14ac:dyDescent="0.2">
      <c r="C122" s="26">
        <f>_xlfn.XLOOKUP(B122,Lists!B:B,Lists!A:A,"")</f>
        <v>0</v>
      </c>
      <c r="G122" s="26" t="str">
        <f t="shared" si="1"/>
        <v/>
      </c>
      <c r="H122" s="31" t="str">
        <f t="shared" si="2"/>
        <v/>
      </c>
      <c r="J122" s="27" t="str">
        <f>IF(I122="","",_xlfn.XLOOKUP(I122,Lists!$C:$C,Lists!$D:$D))</f>
        <v/>
      </c>
      <c r="N122" s="26" t="str">
        <f t="shared" si="3"/>
        <v/>
      </c>
      <c r="O122" s="27" t="str">
        <f>IF(I122="","",_xlfn.XLOOKUP(I122,Lists!$C:$C,Lists!$J:$J))</f>
        <v/>
      </c>
      <c r="P122" s="27" t="str">
        <f>IF(I122="","",_xlfn.XLOOKUP(I122,Lists!$C:$C,Lists!$E:$E))</f>
        <v/>
      </c>
      <c r="Q122" s="28" t="str">
        <f t="shared" si="4"/>
        <v/>
      </c>
      <c r="R122" s="26" t="str">
        <f t="shared" ca="1" si="5"/>
        <v/>
      </c>
      <c r="S122" s="27" t="str">
        <f>IF(I122="","",_xlfn.XLOOKUP(I122,Lists!$C:$C,Lists!$I:$I))</f>
        <v/>
      </c>
    </row>
    <row r="123" spans="3:19" x14ac:dyDescent="0.2">
      <c r="C123" s="26">
        <f>_xlfn.XLOOKUP(B123,Lists!B:B,Lists!A:A,"")</f>
        <v>0</v>
      </c>
      <c r="G123" s="26" t="str">
        <f t="shared" si="1"/>
        <v/>
      </c>
      <c r="H123" s="31" t="str">
        <f t="shared" si="2"/>
        <v/>
      </c>
      <c r="J123" s="27" t="str">
        <f>IF(I123="","",_xlfn.XLOOKUP(I123,Lists!$C:$C,Lists!$D:$D))</f>
        <v/>
      </c>
      <c r="N123" s="26" t="str">
        <f t="shared" si="3"/>
        <v/>
      </c>
      <c r="O123" s="27" t="str">
        <f>IF(I123="","",_xlfn.XLOOKUP(I123,Lists!$C:$C,Lists!$J:$J))</f>
        <v/>
      </c>
      <c r="P123" s="27" t="str">
        <f>IF(I123="","",_xlfn.XLOOKUP(I123,Lists!$C:$C,Lists!$E:$E))</f>
        <v/>
      </c>
      <c r="Q123" s="28" t="str">
        <f t="shared" si="4"/>
        <v/>
      </c>
      <c r="R123" s="26" t="str">
        <f t="shared" ca="1" si="5"/>
        <v/>
      </c>
      <c r="S123" s="27" t="str">
        <f>IF(I123="","",_xlfn.XLOOKUP(I123,Lists!$C:$C,Lists!$I:$I))</f>
        <v/>
      </c>
    </row>
    <row r="124" spans="3:19" x14ac:dyDescent="0.2">
      <c r="C124" s="26">
        <f>_xlfn.XLOOKUP(B124,Lists!B:B,Lists!A:A,"")</f>
        <v>0</v>
      </c>
      <c r="G124" s="26" t="str">
        <f t="shared" si="1"/>
        <v/>
      </c>
      <c r="H124" s="31" t="str">
        <f t="shared" si="2"/>
        <v/>
      </c>
      <c r="J124" s="27" t="str">
        <f>IF(I124="","",_xlfn.XLOOKUP(I124,Lists!$C:$C,Lists!$D:$D))</f>
        <v/>
      </c>
      <c r="N124" s="26" t="str">
        <f t="shared" si="3"/>
        <v/>
      </c>
      <c r="O124" s="27" t="str">
        <f>IF(I124="","",_xlfn.XLOOKUP(I124,Lists!$C:$C,Lists!$J:$J))</f>
        <v/>
      </c>
      <c r="P124" s="27" t="str">
        <f>IF(I124="","",_xlfn.XLOOKUP(I124,Lists!$C:$C,Lists!$E:$E))</f>
        <v/>
      </c>
      <c r="Q124" s="28" t="str">
        <f t="shared" si="4"/>
        <v/>
      </c>
      <c r="R124" s="26" t="str">
        <f t="shared" ca="1" si="5"/>
        <v/>
      </c>
      <c r="S124" s="27" t="str">
        <f>IF(I124="","",_xlfn.XLOOKUP(I124,Lists!$C:$C,Lists!$I:$I))</f>
        <v/>
      </c>
    </row>
    <row r="125" spans="3:19" x14ac:dyDescent="0.2">
      <c r="C125" s="26">
        <f>_xlfn.XLOOKUP(B125,Lists!B:B,Lists!A:A,"")</f>
        <v>0</v>
      </c>
      <c r="G125" s="26" t="str">
        <f t="shared" si="1"/>
        <v/>
      </c>
      <c r="H125" s="31" t="str">
        <f t="shared" si="2"/>
        <v/>
      </c>
      <c r="J125" s="27" t="str">
        <f>IF(I125="","",_xlfn.XLOOKUP(I125,Lists!$C:$C,Lists!$D:$D))</f>
        <v/>
      </c>
      <c r="N125" s="26" t="str">
        <f t="shared" si="3"/>
        <v/>
      </c>
      <c r="O125" s="27" t="str">
        <f>IF(I125="","",_xlfn.XLOOKUP(I125,Lists!$C:$C,Lists!$J:$J))</f>
        <v/>
      </c>
      <c r="P125" s="27" t="str">
        <f>IF(I125="","",_xlfn.XLOOKUP(I125,Lists!$C:$C,Lists!$E:$E))</f>
        <v/>
      </c>
      <c r="Q125" s="28" t="str">
        <f t="shared" si="4"/>
        <v/>
      </c>
      <c r="R125" s="26" t="str">
        <f t="shared" ca="1" si="5"/>
        <v/>
      </c>
      <c r="S125" s="27" t="str">
        <f>IF(I125="","",_xlfn.XLOOKUP(I125,Lists!$C:$C,Lists!$I:$I))</f>
        <v/>
      </c>
    </row>
    <row r="126" spans="3:19" x14ac:dyDescent="0.2">
      <c r="C126" s="26">
        <f>_xlfn.XLOOKUP(B126,Lists!B:B,Lists!A:A,"")</f>
        <v>0</v>
      </c>
      <c r="G126" s="26" t="str">
        <f t="shared" si="1"/>
        <v/>
      </c>
      <c r="H126" s="31" t="str">
        <f t="shared" si="2"/>
        <v/>
      </c>
      <c r="J126" s="27" t="str">
        <f>IF(I126="","",_xlfn.XLOOKUP(I126,Lists!$C:$C,Lists!$D:$D))</f>
        <v/>
      </c>
      <c r="N126" s="26" t="str">
        <f t="shared" si="3"/>
        <v/>
      </c>
      <c r="O126" s="27" t="str">
        <f>IF(I126="","",_xlfn.XLOOKUP(I126,Lists!$C:$C,Lists!$J:$J))</f>
        <v/>
      </c>
      <c r="P126" s="27" t="str">
        <f>IF(I126="","",_xlfn.XLOOKUP(I126,Lists!$C:$C,Lists!$E:$E))</f>
        <v/>
      </c>
      <c r="Q126" s="28" t="str">
        <f t="shared" si="4"/>
        <v/>
      </c>
      <c r="R126" s="26" t="str">
        <f t="shared" ca="1" si="5"/>
        <v/>
      </c>
      <c r="S126" s="27" t="str">
        <f>IF(I126="","",_xlfn.XLOOKUP(I126,Lists!$C:$C,Lists!$I:$I))</f>
        <v/>
      </c>
    </row>
    <row r="127" spans="3:19" x14ac:dyDescent="0.2">
      <c r="C127" s="26">
        <f>_xlfn.XLOOKUP(B127,Lists!B:B,Lists!A:A,"")</f>
        <v>0</v>
      </c>
      <c r="G127" s="26" t="str">
        <f t="shared" si="1"/>
        <v/>
      </c>
      <c r="H127" s="31" t="str">
        <f t="shared" si="2"/>
        <v/>
      </c>
      <c r="J127" s="27" t="str">
        <f>IF(I127="","",_xlfn.XLOOKUP(I127,Lists!$C:$C,Lists!$D:$D))</f>
        <v/>
      </c>
      <c r="N127" s="26" t="str">
        <f t="shared" si="3"/>
        <v/>
      </c>
      <c r="O127" s="27" t="str">
        <f>IF(I127="","",_xlfn.XLOOKUP(I127,Lists!$C:$C,Lists!$J:$J))</f>
        <v/>
      </c>
      <c r="P127" s="27" t="str">
        <f>IF(I127="","",_xlfn.XLOOKUP(I127,Lists!$C:$C,Lists!$E:$E))</f>
        <v/>
      </c>
      <c r="Q127" s="28" t="str">
        <f t="shared" si="4"/>
        <v/>
      </c>
      <c r="R127" s="26" t="str">
        <f t="shared" ca="1" si="5"/>
        <v/>
      </c>
      <c r="S127" s="27" t="str">
        <f>IF(I127="","",_xlfn.XLOOKUP(I127,Lists!$C:$C,Lists!$I:$I))</f>
        <v/>
      </c>
    </row>
    <row r="128" spans="3:19" x14ac:dyDescent="0.2">
      <c r="C128" s="26">
        <f>_xlfn.XLOOKUP(B128,Lists!B:B,Lists!A:A,"")</f>
        <v>0</v>
      </c>
      <c r="G128" s="26" t="str">
        <f t="shared" si="1"/>
        <v/>
      </c>
      <c r="H128" s="31" t="str">
        <f t="shared" si="2"/>
        <v/>
      </c>
      <c r="J128" s="27" t="str">
        <f>IF(I128="","",_xlfn.XLOOKUP(I128,Lists!$C:$C,Lists!$D:$D))</f>
        <v/>
      </c>
      <c r="N128" s="26" t="str">
        <f t="shared" si="3"/>
        <v/>
      </c>
      <c r="O128" s="27" t="str">
        <f>IF(I128="","",_xlfn.XLOOKUP(I128,Lists!$C:$C,Lists!$J:$J))</f>
        <v/>
      </c>
      <c r="P128" s="27" t="str">
        <f>IF(I128="","",_xlfn.XLOOKUP(I128,Lists!$C:$C,Lists!$E:$E))</f>
        <v/>
      </c>
      <c r="Q128" s="28" t="str">
        <f t="shared" si="4"/>
        <v/>
      </c>
      <c r="R128" s="26" t="str">
        <f t="shared" ca="1" si="5"/>
        <v/>
      </c>
      <c r="S128" s="27" t="str">
        <f>IF(I128="","",_xlfn.XLOOKUP(I128,Lists!$C:$C,Lists!$I:$I))</f>
        <v/>
      </c>
    </row>
    <row r="129" spans="3:19" x14ac:dyDescent="0.2">
      <c r="C129" s="26">
        <f>_xlfn.XLOOKUP(B129,Lists!B:B,Lists!A:A,"")</f>
        <v>0</v>
      </c>
      <c r="G129" s="26" t="str">
        <f t="shared" si="1"/>
        <v/>
      </c>
      <c r="H129" s="31" t="str">
        <f t="shared" si="2"/>
        <v/>
      </c>
      <c r="J129" s="27" t="str">
        <f>IF(I129="","",_xlfn.XLOOKUP(I129,Lists!$C:$C,Lists!$D:$D))</f>
        <v/>
      </c>
      <c r="N129" s="26" t="str">
        <f t="shared" si="3"/>
        <v/>
      </c>
      <c r="O129" s="27" t="str">
        <f>IF(I129="","",_xlfn.XLOOKUP(I129,Lists!$C:$C,Lists!$J:$J))</f>
        <v/>
      </c>
      <c r="P129" s="27" t="str">
        <f>IF(I129="","",_xlfn.XLOOKUP(I129,Lists!$C:$C,Lists!$E:$E))</f>
        <v/>
      </c>
      <c r="Q129" s="28" t="str">
        <f t="shared" si="4"/>
        <v/>
      </c>
      <c r="R129" s="26" t="str">
        <f t="shared" ca="1" si="5"/>
        <v/>
      </c>
      <c r="S129" s="27" t="str">
        <f>IF(I129="","",_xlfn.XLOOKUP(I129,Lists!$C:$C,Lists!$I:$I))</f>
        <v/>
      </c>
    </row>
    <row r="130" spans="3:19" x14ac:dyDescent="0.2">
      <c r="C130" s="26">
        <f>_xlfn.XLOOKUP(B130,Lists!B:B,Lists!A:A,"")</f>
        <v>0</v>
      </c>
      <c r="G130" s="26" t="str">
        <f t="shared" si="1"/>
        <v/>
      </c>
      <c r="H130" s="31" t="str">
        <f t="shared" si="2"/>
        <v/>
      </c>
      <c r="J130" s="27" t="str">
        <f>IF(I130="","",_xlfn.XLOOKUP(I130,Lists!$C:$C,Lists!$D:$D))</f>
        <v/>
      </c>
      <c r="N130" s="26" t="str">
        <f t="shared" si="3"/>
        <v/>
      </c>
      <c r="O130" s="27" t="str">
        <f>IF(I130="","",_xlfn.XLOOKUP(I130,Lists!$C:$C,Lists!$J:$J))</f>
        <v/>
      </c>
      <c r="P130" s="27" t="str">
        <f>IF(I130="","",_xlfn.XLOOKUP(I130,Lists!$C:$C,Lists!$E:$E))</f>
        <v/>
      </c>
      <c r="Q130" s="28" t="str">
        <f t="shared" si="4"/>
        <v/>
      </c>
      <c r="R130" s="26" t="str">
        <f t="shared" ca="1" si="5"/>
        <v/>
      </c>
      <c r="S130" s="27" t="str">
        <f>IF(I130="","",_xlfn.XLOOKUP(I130,Lists!$C:$C,Lists!$I:$I))</f>
        <v/>
      </c>
    </row>
    <row r="131" spans="3:19" x14ac:dyDescent="0.2">
      <c r="C131" s="26">
        <f>_xlfn.XLOOKUP(B131,Lists!B:B,Lists!A:A,"")</f>
        <v>0</v>
      </c>
      <c r="G131" s="26" t="str">
        <f t="shared" si="1"/>
        <v/>
      </c>
      <c r="H131" s="31" t="str">
        <f t="shared" si="2"/>
        <v/>
      </c>
      <c r="J131" s="27" t="str">
        <f>IF(I131="","",_xlfn.XLOOKUP(I131,Lists!$C:$C,Lists!$D:$D))</f>
        <v/>
      </c>
      <c r="N131" s="26" t="str">
        <f t="shared" si="3"/>
        <v/>
      </c>
      <c r="O131" s="27" t="str">
        <f>IF(I131="","",_xlfn.XLOOKUP(I131,Lists!$C:$C,Lists!$J:$J))</f>
        <v/>
      </c>
      <c r="P131" s="27" t="str">
        <f>IF(I131="","",_xlfn.XLOOKUP(I131,Lists!$C:$C,Lists!$E:$E))</f>
        <v/>
      </c>
      <c r="Q131" s="28" t="str">
        <f t="shared" si="4"/>
        <v/>
      </c>
      <c r="R131" s="26" t="str">
        <f t="shared" ca="1" si="5"/>
        <v/>
      </c>
      <c r="S131" s="27" t="str">
        <f>IF(I131="","",_xlfn.XLOOKUP(I131,Lists!$C:$C,Lists!$I:$I))</f>
        <v/>
      </c>
    </row>
    <row r="132" spans="3:19" x14ac:dyDescent="0.2">
      <c r="C132" s="26">
        <f>_xlfn.XLOOKUP(B132,Lists!B:B,Lists!A:A,"")</f>
        <v>0</v>
      </c>
      <c r="G132" s="26" t="str">
        <f t="shared" si="1"/>
        <v/>
      </c>
      <c r="H132" s="31" t="str">
        <f t="shared" si="2"/>
        <v/>
      </c>
      <c r="J132" s="27" t="str">
        <f>IF(I132="","",_xlfn.XLOOKUP(I132,Lists!$C:$C,Lists!$D:$D))</f>
        <v/>
      </c>
      <c r="N132" s="26" t="str">
        <f t="shared" si="3"/>
        <v/>
      </c>
      <c r="O132" s="27" t="str">
        <f>IF(I132="","",_xlfn.XLOOKUP(I132,Lists!$C:$C,Lists!$J:$J))</f>
        <v/>
      </c>
      <c r="P132" s="27" t="str">
        <f>IF(I132="","",_xlfn.XLOOKUP(I132,Lists!$C:$C,Lists!$E:$E))</f>
        <v/>
      </c>
      <c r="Q132" s="28" t="str">
        <f t="shared" si="4"/>
        <v/>
      </c>
      <c r="R132" s="26" t="str">
        <f t="shared" ca="1" si="5"/>
        <v/>
      </c>
      <c r="S132" s="27" t="str">
        <f>IF(I132="","",_xlfn.XLOOKUP(I132,Lists!$C:$C,Lists!$I:$I))</f>
        <v/>
      </c>
    </row>
    <row r="133" spans="3:19" x14ac:dyDescent="0.2">
      <c r="C133" s="26">
        <f>_xlfn.XLOOKUP(B133,Lists!B:B,Lists!A:A,"")</f>
        <v>0</v>
      </c>
      <c r="G133" s="26" t="str">
        <f t="shared" si="1"/>
        <v/>
      </c>
      <c r="H133" s="31" t="str">
        <f t="shared" si="2"/>
        <v/>
      </c>
      <c r="J133" s="27" t="str">
        <f>IF(I133="","",_xlfn.XLOOKUP(I133,Lists!$C:$C,Lists!$D:$D))</f>
        <v/>
      </c>
      <c r="N133" s="26" t="str">
        <f t="shared" si="3"/>
        <v/>
      </c>
      <c r="O133" s="27" t="str">
        <f>IF(I133="","",_xlfn.XLOOKUP(I133,Lists!$C:$C,Lists!$J:$J))</f>
        <v/>
      </c>
      <c r="P133" s="27" t="str">
        <f>IF(I133="","",_xlfn.XLOOKUP(I133,Lists!$C:$C,Lists!$E:$E))</f>
        <v/>
      </c>
      <c r="Q133" s="28" t="str">
        <f t="shared" si="4"/>
        <v/>
      </c>
      <c r="R133" s="26" t="str">
        <f t="shared" ca="1" si="5"/>
        <v/>
      </c>
      <c r="S133" s="27" t="str">
        <f>IF(I133="","",_xlfn.XLOOKUP(I133,Lists!$C:$C,Lists!$I:$I))</f>
        <v/>
      </c>
    </row>
    <row r="134" spans="3:19" x14ac:dyDescent="0.2">
      <c r="C134" s="26">
        <f>_xlfn.XLOOKUP(B134,Lists!B:B,Lists!A:A,"")</f>
        <v>0</v>
      </c>
      <c r="G134" s="26" t="str">
        <f t="shared" si="1"/>
        <v/>
      </c>
      <c r="H134" s="31" t="str">
        <f t="shared" si="2"/>
        <v/>
      </c>
      <c r="J134" s="27" t="str">
        <f>IF(I134="","",_xlfn.XLOOKUP(I134,Lists!$C:$C,Lists!$D:$D))</f>
        <v/>
      </c>
      <c r="N134" s="26" t="str">
        <f t="shared" si="3"/>
        <v/>
      </c>
      <c r="O134" s="27" t="str">
        <f>IF(I134="","",_xlfn.XLOOKUP(I134,Lists!$C:$C,Lists!$J:$J))</f>
        <v/>
      </c>
      <c r="P134" s="27" t="str">
        <f>IF(I134="","",_xlfn.XLOOKUP(I134,Lists!$C:$C,Lists!$E:$E))</f>
        <v/>
      </c>
      <c r="Q134" s="28" t="str">
        <f t="shared" si="4"/>
        <v/>
      </c>
      <c r="R134" s="26" t="str">
        <f t="shared" ca="1" si="5"/>
        <v/>
      </c>
      <c r="S134" s="27" t="str">
        <f>IF(I134="","",_xlfn.XLOOKUP(I134,Lists!$C:$C,Lists!$I:$I))</f>
        <v/>
      </c>
    </row>
    <row r="135" spans="3:19" x14ac:dyDescent="0.2">
      <c r="C135" s="26">
        <f>_xlfn.XLOOKUP(B135,Lists!B:B,Lists!A:A,"")</f>
        <v>0</v>
      </c>
      <c r="G135" s="26" t="str">
        <f t="shared" si="1"/>
        <v/>
      </c>
      <c r="H135" s="31" t="str">
        <f t="shared" si="2"/>
        <v/>
      </c>
      <c r="J135" s="27" t="str">
        <f>IF(I135="","",_xlfn.XLOOKUP(I135,Lists!$C:$C,Lists!$D:$D))</f>
        <v/>
      </c>
      <c r="N135" s="26" t="str">
        <f t="shared" si="3"/>
        <v/>
      </c>
      <c r="O135" s="27" t="str">
        <f>IF(I135="","",_xlfn.XLOOKUP(I135,Lists!$C:$C,Lists!$J:$J))</f>
        <v/>
      </c>
      <c r="P135" s="27" t="str">
        <f>IF(I135="","",_xlfn.XLOOKUP(I135,Lists!$C:$C,Lists!$E:$E))</f>
        <v/>
      </c>
      <c r="Q135" s="28" t="str">
        <f t="shared" si="4"/>
        <v/>
      </c>
      <c r="R135" s="26" t="str">
        <f t="shared" ca="1" si="5"/>
        <v/>
      </c>
      <c r="S135" s="27" t="str">
        <f>IF(I135="","",_xlfn.XLOOKUP(I135,Lists!$C:$C,Lists!$I:$I))</f>
        <v/>
      </c>
    </row>
    <row r="136" spans="3:19" x14ac:dyDescent="0.2">
      <c r="C136" s="26">
        <f>_xlfn.XLOOKUP(B136,Lists!B:B,Lists!A:A,"")</f>
        <v>0</v>
      </c>
      <c r="G136" s="26" t="str">
        <f t="shared" si="1"/>
        <v/>
      </c>
      <c r="H136" s="31" t="str">
        <f t="shared" si="2"/>
        <v/>
      </c>
      <c r="J136" s="27" t="str">
        <f>IF(I136="","",_xlfn.XLOOKUP(I136,Lists!$C:$C,Lists!$D:$D))</f>
        <v/>
      </c>
      <c r="N136" s="26" t="str">
        <f t="shared" si="3"/>
        <v/>
      </c>
      <c r="O136" s="27" t="str">
        <f>IF(I136="","",_xlfn.XLOOKUP(I136,Lists!$C:$C,Lists!$J:$J))</f>
        <v/>
      </c>
      <c r="P136" s="27" t="str">
        <f>IF(I136="","",_xlfn.XLOOKUP(I136,Lists!$C:$C,Lists!$E:$E))</f>
        <v/>
      </c>
      <c r="Q136" s="28" t="str">
        <f t="shared" si="4"/>
        <v/>
      </c>
      <c r="R136" s="26" t="str">
        <f t="shared" ca="1" si="5"/>
        <v/>
      </c>
      <c r="S136" s="27" t="str">
        <f>IF(I136="","",_xlfn.XLOOKUP(I136,Lists!$C:$C,Lists!$I:$I))</f>
        <v/>
      </c>
    </row>
    <row r="137" spans="3:19" x14ac:dyDescent="0.2">
      <c r="C137" s="26">
        <f>_xlfn.XLOOKUP(B137,Lists!B:B,Lists!A:A,"")</f>
        <v>0</v>
      </c>
      <c r="G137" s="26" t="str">
        <f t="shared" si="1"/>
        <v/>
      </c>
      <c r="H137" s="31" t="str">
        <f t="shared" si="2"/>
        <v/>
      </c>
      <c r="J137" s="27" t="str">
        <f>IF(I137="","",_xlfn.XLOOKUP(I137,Lists!$C:$C,Lists!$D:$D))</f>
        <v/>
      </c>
      <c r="N137" s="26" t="str">
        <f t="shared" si="3"/>
        <v/>
      </c>
      <c r="O137" s="27" t="str">
        <f>IF(I137="","",_xlfn.XLOOKUP(I137,Lists!$C:$C,Lists!$J:$J))</f>
        <v/>
      </c>
      <c r="P137" s="27" t="str">
        <f>IF(I137="","",_xlfn.XLOOKUP(I137,Lists!$C:$C,Lists!$E:$E))</f>
        <v/>
      </c>
      <c r="Q137" s="28" t="str">
        <f t="shared" si="4"/>
        <v/>
      </c>
      <c r="R137" s="26" t="str">
        <f t="shared" ca="1" si="5"/>
        <v/>
      </c>
      <c r="S137" s="27" t="str">
        <f>IF(I137="","",_xlfn.XLOOKUP(I137,Lists!$C:$C,Lists!$I:$I))</f>
        <v/>
      </c>
    </row>
    <row r="138" spans="3:19" x14ac:dyDescent="0.2">
      <c r="C138" s="26">
        <f>_xlfn.XLOOKUP(B138,Lists!B:B,Lists!A:A,"")</f>
        <v>0</v>
      </c>
      <c r="G138" s="26" t="str">
        <f t="shared" si="1"/>
        <v/>
      </c>
      <c r="H138" s="31" t="str">
        <f t="shared" si="2"/>
        <v/>
      </c>
      <c r="J138" s="27" t="str">
        <f>IF(I138="","",_xlfn.XLOOKUP(I138,Lists!$C:$C,Lists!$D:$D))</f>
        <v/>
      </c>
      <c r="N138" s="26" t="str">
        <f t="shared" si="3"/>
        <v/>
      </c>
      <c r="O138" s="27" t="str">
        <f>IF(I138="","",_xlfn.XLOOKUP(I138,Lists!$C:$C,Lists!$J:$J))</f>
        <v/>
      </c>
      <c r="P138" s="27" t="str">
        <f>IF(I138="","",_xlfn.XLOOKUP(I138,Lists!$C:$C,Lists!$E:$E))</f>
        <v/>
      </c>
      <c r="Q138" s="28" t="str">
        <f t="shared" si="4"/>
        <v/>
      </c>
      <c r="R138" s="26" t="str">
        <f t="shared" ca="1" si="5"/>
        <v/>
      </c>
      <c r="S138" s="27" t="str">
        <f>IF(I138="","",_xlfn.XLOOKUP(I138,Lists!$C:$C,Lists!$I:$I))</f>
        <v/>
      </c>
    </row>
    <row r="139" spans="3:19" x14ac:dyDescent="0.2">
      <c r="C139" s="26">
        <f>_xlfn.XLOOKUP(B139,Lists!B:B,Lists!A:A,"")</f>
        <v>0</v>
      </c>
      <c r="G139" s="26" t="str">
        <f t="shared" si="1"/>
        <v/>
      </c>
      <c r="H139" s="31" t="str">
        <f t="shared" si="2"/>
        <v/>
      </c>
      <c r="J139" s="27" t="str">
        <f>IF(I139="","",_xlfn.XLOOKUP(I139,Lists!$C:$C,Lists!$D:$D))</f>
        <v/>
      </c>
      <c r="N139" s="26" t="str">
        <f t="shared" si="3"/>
        <v/>
      </c>
      <c r="O139" s="27" t="str">
        <f>IF(I139="","",_xlfn.XLOOKUP(I139,Lists!$C:$C,Lists!$J:$J))</f>
        <v/>
      </c>
      <c r="P139" s="27" t="str">
        <f>IF(I139="","",_xlfn.XLOOKUP(I139,Lists!$C:$C,Lists!$E:$E))</f>
        <v/>
      </c>
      <c r="Q139" s="28" t="str">
        <f t="shared" si="4"/>
        <v/>
      </c>
      <c r="R139" s="26" t="str">
        <f t="shared" ca="1" si="5"/>
        <v/>
      </c>
      <c r="S139" s="27" t="str">
        <f>IF(I139="","",_xlfn.XLOOKUP(I139,Lists!$C:$C,Lists!$I:$I))</f>
        <v/>
      </c>
    </row>
    <row r="140" spans="3:19" x14ac:dyDescent="0.2">
      <c r="C140" s="26">
        <f>_xlfn.XLOOKUP(B140,Lists!B:B,Lists!A:A,"")</f>
        <v>0</v>
      </c>
      <c r="G140" s="26" t="str">
        <f t="shared" si="1"/>
        <v/>
      </c>
      <c r="H140" s="31" t="str">
        <f t="shared" si="2"/>
        <v/>
      </c>
      <c r="J140" s="27" t="str">
        <f>IF(I140="","",_xlfn.XLOOKUP(I140,Lists!$C:$C,Lists!$D:$D))</f>
        <v/>
      </c>
      <c r="N140" s="26" t="str">
        <f t="shared" si="3"/>
        <v/>
      </c>
      <c r="O140" s="27" t="str">
        <f>IF(I140="","",_xlfn.XLOOKUP(I140,Lists!$C:$C,Lists!$J:$J))</f>
        <v/>
      </c>
      <c r="P140" s="27" t="str">
        <f>IF(I140="","",_xlfn.XLOOKUP(I140,Lists!$C:$C,Lists!$E:$E))</f>
        <v/>
      </c>
      <c r="Q140" s="28" t="str">
        <f t="shared" si="4"/>
        <v/>
      </c>
      <c r="R140" s="26" t="str">
        <f t="shared" ca="1" si="5"/>
        <v/>
      </c>
      <c r="S140" s="27" t="str">
        <f>IF(I140="","",_xlfn.XLOOKUP(I140,Lists!$C:$C,Lists!$I:$I))</f>
        <v/>
      </c>
    </row>
    <row r="141" spans="3:19" x14ac:dyDescent="0.2">
      <c r="C141" s="26">
        <f>_xlfn.XLOOKUP(B141,Lists!B:B,Lists!A:A,"")</f>
        <v>0</v>
      </c>
      <c r="G141" s="26" t="str">
        <f t="shared" si="1"/>
        <v/>
      </c>
      <c r="H141" s="31" t="str">
        <f t="shared" si="2"/>
        <v/>
      </c>
      <c r="J141" s="27" t="str">
        <f>IF(I141="","",_xlfn.XLOOKUP(I141,Lists!$C:$C,Lists!$D:$D))</f>
        <v/>
      </c>
      <c r="N141" s="26" t="str">
        <f t="shared" si="3"/>
        <v/>
      </c>
      <c r="O141" s="27" t="str">
        <f>IF(I141="","",_xlfn.XLOOKUP(I141,Lists!$C:$C,Lists!$J:$J))</f>
        <v/>
      </c>
      <c r="P141" s="27" t="str">
        <f>IF(I141="","",_xlfn.XLOOKUP(I141,Lists!$C:$C,Lists!$E:$E))</f>
        <v/>
      </c>
      <c r="Q141" s="28" t="str">
        <f t="shared" si="4"/>
        <v/>
      </c>
      <c r="R141" s="26" t="str">
        <f t="shared" ca="1" si="5"/>
        <v/>
      </c>
      <c r="S141" s="27" t="str">
        <f>IF(I141="","",_xlfn.XLOOKUP(I141,Lists!$C:$C,Lists!$I:$I))</f>
        <v/>
      </c>
    </row>
    <row r="142" spans="3:19" x14ac:dyDescent="0.2">
      <c r="C142" s="26">
        <f>_xlfn.XLOOKUP(B142,Lists!B:B,Lists!A:A,"")</f>
        <v>0</v>
      </c>
      <c r="G142" s="26" t="str">
        <f t="shared" si="1"/>
        <v/>
      </c>
      <c r="H142" s="31" t="str">
        <f t="shared" si="2"/>
        <v/>
      </c>
      <c r="J142" s="27" t="str">
        <f>IF(I142="","",_xlfn.XLOOKUP(I142,Lists!$C:$C,Lists!$D:$D))</f>
        <v/>
      </c>
      <c r="N142" s="26" t="str">
        <f t="shared" si="3"/>
        <v/>
      </c>
      <c r="O142" s="27" t="str">
        <f>IF(I142="","",_xlfn.XLOOKUP(I142,Lists!$C:$C,Lists!$J:$J))</f>
        <v/>
      </c>
      <c r="P142" s="27" t="str">
        <f>IF(I142="","",_xlfn.XLOOKUP(I142,Lists!$C:$C,Lists!$E:$E))</f>
        <v/>
      </c>
      <c r="Q142" s="28" t="str">
        <f t="shared" si="4"/>
        <v/>
      </c>
      <c r="R142" s="26" t="str">
        <f t="shared" ca="1" si="5"/>
        <v/>
      </c>
      <c r="S142" s="27" t="str">
        <f>IF(I142="","",_xlfn.XLOOKUP(I142,Lists!$C:$C,Lists!$I:$I))</f>
        <v/>
      </c>
    </row>
    <row r="143" spans="3:19" x14ac:dyDescent="0.2">
      <c r="C143" s="26">
        <f>_xlfn.XLOOKUP(B143,Lists!B:B,Lists!A:A,"")</f>
        <v>0</v>
      </c>
      <c r="G143" s="26" t="str">
        <f t="shared" si="1"/>
        <v/>
      </c>
      <c r="H143" s="31" t="str">
        <f t="shared" si="2"/>
        <v/>
      </c>
      <c r="J143" s="27" t="str">
        <f>IF(I143="","",_xlfn.XLOOKUP(I143,Lists!$C:$C,Lists!$D:$D))</f>
        <v/>
      </c>
      <c r="N143" s="26" t="str">
        <f t="shared" si="3"/>
        <v/>
      </c>
      <c r="O143" s="27" t="str">
        <f>IF(I143="","",_xlfn.XLOOKUP(I143,Lists!$C:$C,Lists!$J:$J))</f>
        <v/>
      </c>
      <c r="P143" s="27" t="str">
        <f>IF(I143="","",_xlfn.XLOOKUP(I143,Lists!$C:$C,Lists!$E:$E))</f>
        <v/>
      </c>
      <c r="Q143" s="28" t="str">
        <f t="shared" si="4"/>
        <v/>
      </c>
      <c r="R143" s="26" t="str">
        <f t="shared" ca="1" si="5"/>
        <v/>
      </c>
      <c r="S143" s="27" t="str">
        <f>IF(I143="","",_xlfn.XLOOKUP(I143,Lists!$C:$C,Lists!$I:$I))</f>
        <v/>
      </c>
    </row>
    <row r="144" spans="3:19" x14ac:dyDescent="0.2">
      <c r="C144" s="26">
        <f>_xlfn.XLOOKUP(B144,Lists!B:B,Lists!A:A,"")</f>
        <v>0</v>
      </c>
      <c r="G144" s="26" t="str">
        <f t="shared" si="1"/>
        <v/>
      </c>
      <c r="H144" s="31" t="str">
        <f t="shared" si="2"/>
        <v/>
      </c>
      <c r="J144" s="27" t="str">
        <f>IF(I144="","",_xlfn.XLOOKUP(I144,Lists!$C:$C,Lists!$D:$D))</f>
        <v/>
      </c>
      <c r="N144" s="26" t="str">
        <f t="shared" si="3"/>
        <v/>
      </c>
      <c r="O144" s="27" t="str">
        <f>IF(I144="","",_xlfn.XLOOKUP(I144,Lists!$C:$C,Lists!$J:$J))</f>
        <v/>
      </c>
      <c r="P144" s="27" t="str">
        <f>IF(I144="","",_xlfn.XLOOKUP(I144,Lists!$C:$C,Lists!$E:$E))</f>
        <v/>
      </c>
      <c r="Q144" s="28" t="str">
        <f t="shared" si="4"/>
        <v/>
      </c>
      <c r="R144" s="26" t="str">
        <f t="shared" ca="1" si="5"/>
        <v/>
      </c>
      <c r="S144" s="27" t="str">
        <f>IF(I144="","",_xlfn.XLOOKUP(I144,Lists!$C:$C,Lists!$I:$I))</f>
        <v/>
      </c>
    </row>
    <row r="145" spans="3:19" x14ac:dyDescent="0.2">
      <c r="C145" s="26">
        <f>_xlfn.XLOOKUP(B145,Lists!B:B,Lists!A:A,"")</f>
        <v>0</v>
      </c>
      <c r="G145" s="26" t="str">
        <f t="shared" si="1"/>
        <v/>
      </c>
      <c r="H145" s="31" t="str">
        <f t="shared" si="2"/>
        <v/>
      </c>
      <c r="J145" s="27" t="str">
        <f>IF(I145="","",_xlfn.XLOOKUP(I145,Lists!$C:$C,Lists!$D:$D))</f>
        <v/>
      </c>
      <c r="N145" s="26" t="str">
        <f t="shared" si="3"/>
        <v/>
      </c>
      <c r="O145" s="27" t="str">
        <f>IF(I145="","",_xlfn.XLOOKUP(I145,Lists!$C:$C,Lists!$J:$J))</f>
        <v/>
      </c>
      <c r="P145" s="27" t="str">
        <f>IF(I145="","",_xlfn.XLOOKUP(I145,Lists!$C:$C,Lists!$E:$E))</f>
        <v/>
      </c>
      <c r="Q145" s="28" t="str">
        <f t="shared" si="4"/>
        <v/>
      </c>
      <c r="R145" s="26" t="str">
        <f t="shared" ca="1" si="5"/>
        <v/>
      </c>
      <c r="S145" s="27" t="str">
        <f>IF(I145="","",_xlfn.XLOOKUP(I145,Lists!$C:$C,Lists!$I:$I))</f>
        <v/>
      </c>
    </row>
    <row r="146" spans="3:19" x14ac:dyDescent="0.2">
      <c r="C146" s="26">
        <f>_xlfn.XLOOKUP(B146,Lists!B:B,Lists!A:A,"")</f>
        <v>0</v>
      </c>
      <c r="G146" s="26" t="str">
        <f t="shared" si="1"/>
        <v/>
      </c>
      <c r="H146" s="31" t="str">
        <f t="shared" si="2"/>
        <v/>
      </c>
      <c r="J146" s="27" t="str">
        <f>IF(I146="","",_xlfn.XLOOKUP(I146,Lists!$C:$C,Lists!$D:$D))</f>
        <v/>
      </c>
      <c r="N146" s="26" t="str">
        <f t="shared" si="3"/>
        <v/>
      </c>
      <c r="O146" s="27" t="str">
        <f>IF(I146="","",_xlfn.XLOOKUP(I146,Lists!$C:$C,Lists!$J:$J))</f>
        <v/>
      </c>
      <c r="P146" s="27" t="str">
        <f>IF(I146="","",_xlfn.XLOOKUP(I146,Lists!$C:$C,Lists!$E:$E))</f>
        <v/>
      </c>
      <c r="Q146" s="28" t="str">
        <f t="shared" si="4"/>
        <v/>
      </c>
      <c r="R146" s="26" t="str">
        <f t="shared" ca="1" si="5"/>
        <v/>
      </c>
      <c r="S146" s="27" t="str">
        <f>IF(I146="","",_xlfn.XLOOKUP(I146,Lists!$C:$C,Lists!$I:$I))</f>
        <v/>
      </c>
    </row>
    <row r="147" spans="3:19" x14ac:dyDescent="0.2">
      <c r="C147" s="26">
        <f>_xlfn.XLOOKUP(B147,Lists!B:B,Lists!A:A,"")</f>
        <v>0</v>
      </c>
      <c r="G147" s="26" t="str">
        <f t="shared" si="1"/>
        <v/>
      </c>
      <c r="H147" s="31" t="str">
        <f t="shared" si="2"/>
        <v/>
      </c>
      <c r="J147" s="27" t="str">
        <f>IF(I147="","",_xlfn.XLOOKUP(I147,Lists!$C:$C,Lists!$D:$D))</f>
        <v/>
      </c>
      <c r="N147" s="26" t="str">
        <f t="shared" si="3"/>
        <v/>
      </c>
      <c r="O147" s="27" t="str">
        <f>IF(I147="","",_xlfn.XLOOKUP(I147,Lists!$C:$C,Lists!$J:$J))</f>
        <v/>
      </c>
      <c r="P147" s="27" t="str">
        <f>IF(I147="","",_xlfn.XLOOKUP(I147,Lists!$C:$C,Lists!$E:$E))</f>
        <v/>
      </c>
      <c r="Q147" s="28" t="str">
        <f t="shared" si="4"/>
        <v/>
      </c>
      <c r="R147" s="26" t="str">
        <f t="shared" ca="1" si="5"/>
        <v/>
      </c>
      <c r="S147" s="27" t="str">
        <f>IF(I147="","",_xlfn.XLOOKUP(I147,Lists!$C:$C,Lists!$I:$I))</f>
        <v/>
      </c>
    </row>
    <row r="148" spans="3:19" x14ac:dyDescent="0.2">
      <c r="C148" s="26">
        <f>_xlfn.XLOOKUP(B148,Lists!B:B,Lists!A:A,"")</f>
        <v>0</v>
      </c>
      <c r="G148" s="26" t="str">
        <f t="shared" si="1"/>
        <v/>
      </c>
      <c r="H148" s="31" t="str">
        <f t="shared" si="2"/>
        <v/>
      </c>
      <c r="J148" s="27" t="str">
        <f>IF(I148="","",_xlfn.XLOOKUP(I148,Lists!$C:$C,Lists!$D:$D))</f>
        <v/>
      </c>
      <c r="N148" s="26" t="str">
        <f t="shared" si="3"/>
        <v/>
      </c>
      <c r="O148" s="27" t="str">
        <f>IF(I148="","",_xlfn.XLOOKUP(I148,Lists!$C:$C,Lists!$J:$J))</f>
        <v/>
      </c>
      <c r="P148" s="27" t="str">
        <f>IF(I148="","",_xlfn.XLOOKUP(I148,Lists!$C:$C,Lists!$E:$E))</f>
        <v/>
      </c>
      <c r="Q148" s="28" t="str">
        <f t="shared" si="4"/>
        <v/>
      </c>
      <c r="R148" s="26" t="str">
        <f t="shared" ca="1" si="5"/>
        <v/>
      </c>
      <c r="S148" s="27" t="str">
        <f>IF(I148="","",_xlfn.XLOOKUP(I148,Lists!$C:$C,Lists!$I:$I))</f>
        <v/>
      </c>
    </row>
    <row r="149" spans="3:19" x14ac:dyDescent="0.2">
      <c r="C149" s="26">
        <f>_xlfn.XLOOKUP(B149,Lists!B:B,Lists!A:A,"")</f>
        <v>0</v>
      </c>
      <c r="G149" s="26" t="str">
        <f t="shared" si="1"/>
        <v/>
      </c>
      <c r="H149" s="31" t="str">
        <f t="shared" si="2"/>
        <v/>
      </c>
      <c r="J149" s="27" t="str">
        <f>IF(I149="","",_xlfn.XLOOKUP(I149,Lists!$C:$C,Lists!$D:$D))</f>
        <v/>
      </c>
      <c r="N149" s="26" t="str">
        <f t="shared" si="3"/>
        <v/>
      </c>
      <c r="O149" s="27" t="str">
        <f>IF(I149="","",_xlfn.XLOOKUP(I149,Lists!$C:$C,Lists!$J:$J))</f>
        <v/>
      </c>
      <c r="P149" s="27" t="str">
        <f>IF(I149="","",_xlfn.XLOOKUP(I149,Lists!$C:$C,Lists!$E:$E))</f>
        <v/>
      </c>
      <c r="Q149" s="28" t="str">
        <f t="shared" si="4"/>
        <v/>
      </c>
      <c r="R149" s="26" t="str">
        <f t="shared" ca="1" si="5"/>
        <v/>
      </c>
      <c r="S149" s="27" t="str">
        <f>IF(I149="","",_xlfn.XLOOKUP(I149,Lists!$C:$C,Lists!$I:$I))</f>
        <v/>
      </c>
    </row>
    <row r="150" spans="3:19" x14ac:dyDescent="0.2">
      <c r="C150" s="26">
        <f>_xlfn.XLOOKUP(B150,Lists!B:B,Lists!A:A,"")</f>
        <v>0</v>
      </c>
      <c r="G150" s="26" t="str">
        <f t="shared" si="1"/>
        <v/>
      </c>
      <c r="H150" s="31" t="str">
        <f t="shared" si="2"/>
        <v/>
      </c>
      <c r="J150" s="27" t="str">
        <f>IF(I150="","",_xlfn.XLOOKUP(I150,Lists!$C:$C,Lists!$D:$D))</f>
        <v/>
      </c>
      <c r="N150" s="26" t="str">
        <f t="shared" si="3"/>
        <v/>
      </c>
      <c r="O150" s="27" t="str">
        <f>IF(I150="","",_xlfn.XLOOKUP(I150,Lists!$C:$C,Lists!$J:$J))</f>
        <v/>
      </c>
      <c r="P150" s="27" t="str">
        <f>IF(I150="","",_xlfn.XLOOKUP(I150,Lists!$C:$C,Lists!$E:$E))</f>
        <v/>
      </c>
      <c r="Q150" s="28" t="str">
        <f t="shared" si="4"/>
        <v/>
      </c>
      <c r="R150" s="26" t="str">
        <f t="shared" ca="1" si="5"/>
        <v/>
      </c>
      <c r="S150" s="27" t="str">
        <f>IF(I150="","",_xlfn.XLOOKUP(I150,Lists!$C:$C,Lists!$I:$I))</f>
        <v/>
      </c>
    </row>
    <row r="151" spans="3:19" x14ac:dyDescent="0.2">
      <c r="C151" s="26">
        <f>_xlfn.XLOOKUP(B151,Lists!B:B,Lists!A:A,"")</f>
        <v>0</v>
      </c>
      <c r="G151" s="26" t="str">
        <f t="shared" si="1"/>
        <v/>
      </c>
      <c r="H151" s="31" t="str">
        <f t="shared" si="2"/>
        <v/>
      </c>
      <c r="J151" s="27" t="str">
        <f>IF(I151="","",_xlfn.XLOOKUP(I151,Lists!$C:$C,Lists!$D:$D))</f>
        <v/>
      </c>
      <c r="N151" s="26" t="str">
        <f t="shared" si="3"/>
        <v/>
      </c>
      <c r="O151" s="27" t="str">
        <f>IF(I151="","",_xlfn.XLOOKUP(I151,Lists!$C:$C,Lists!$J:$J))</f>
        <v/>
      </c>
      <c r="P151" s="27" t="str">
        <f>IF(I151="","",_xlfn.XLOOKUP(I151,Lists!$C:$C,Lists!$E:$E))</f>
        <v/>
      </c>
      <c r="Q151" s="28" t="str">
        <f t="shared" si="4"/>
        <v/>
      </c>
      <c r="R151" s="26" t="str">
        <f t="shared" ca="1" si="5"/>
        <v/>
      </c>
      <c r="S151" s="27" t="str">
        <f>IF(I151="","",_xlfn.XLOOKUP(I151,Lists!$C:$C,Lists!$I:$I))</f>
        <v/>
      </c>
    </row>
    <row r="152" spans="3:19" x14ac:dyDescent="0.2">
      <c r="C152" s="26">
        <f>_xlfn.XLOOKUP(B152,Lists!B:B,Lists!A:A,"")</f>
        <v>0</v>
      </c>
      <c r="G152" s="26" t="str">
        <f t="shared" si="1"/>
        <v/>
      </c>
      <c r="H152" s="31" t="str">
        <f t="shared" si="2"/>
        <v/>
      </c>
      <c r="J152" s="27" t="str">
        <f>IF(I152="","",_xlfn.XLOOKUP(I152,Lists!$C:$C,Lists!$D:$D))</f>
        <v/>
      </c>
      <c r="N152" s="26" t="str">
        <f t="shared" si="3"/>
        <v/>
      </c>
      <c r="O152" s="27" t="str">
        <f>IF(I152="","",_xlfn.XLOOKUP(I152,Lists!$C:$C,Lists!$J:$J))</f>
        <v/>
      </c>
      <c r="P152" s="27" t="str">
        <f>IF(I152="","",_xlfn.XLOOKUP(I152,Lists!$C:$C,Lists!$E:$E))</f>
        <v/>
      </c>
      <c r="Q152" s="28" t="str">
        <f t="shared" si="4"/>
        <v/>
      </c>
      <c r="R152" s="26" t="str">
        <f t="shared" ca="1" si="5"/>
        <v/>
      </c>
      <c r="S152" s="27" t="str">
        <f>IF(I152="","",_xlfn.XLOOKUP(I152,Lists!$C:$C,Lists!$I:$I))</f>
        <v/>
      </c>
    </row>
    <row r="153" spans="3:19" x14ac:dyDescent="0.2">
      <c r="C153" s="26">
        <f>_xlfn.XLOOKUP(B153,Lists!B:B,Lists!A:A,"")</f>
        <v>0</v>
      </c>
      <c r="G153" s="26" t="str">
        <f t="shared" si="1"/>
        <v/>
      </c>
      <c r="H153" s="31" t="str">
        <f t="shared" si="2"/>
        <v/>
      </c>
      <c r="J153" s="27" t="str">
        <f>IF(I153="","",_xlfn.XLOOKUP(I153,Lists!$C:$C,Lists!$D:$D))</f>
        <v/>
      </c>
      <c r="N153" s="26" t="str">
        <f t="shared" si="3"/>
        <v/>
      </c>
      <c r="O153" s="27" t="str">
        <f>IF(I153="","",_xlfn.XLOOKUP(I153,Lists!$C:$C,Lists!$J:$J))</f>
        <v/>
      </c>
      <c r="P153" s="27" t="str">
        <f>IF(I153="","",_xlfn.XLOOKUP(I153,Lists!$C:$C,Lists!$E:$E))</f>
        <v/>
      </c>
      <c r="Q153" s="28" t="str">
        <f t="shared" si="4"/>
        <v/>
      </c>
      <c r="R153" s="26" t="str">
        <f t="shared" ca="1" si="5"/>
        <v/>
      </c>
      <c r="S153" s="27" t="str">
        <f>IF(I153="","",_xlfn.XLOOKUP(I153,Lists!$C:$C,Lists!$I:$I))</f>
        <v/>
      </c>
    </row>
    <row r="154" spans="3:19" x14ac:dyDescent="0.2">
      <c r="C154" s="26">
        <f>_xlfn.XLOOKUP(B154,Lists!B:B,Lists!A:A,"")</f>
        <v>0</v>
      </c>
      <c r="G154" s="26" t="str">
        <f t="shared" si="1"/>
        <v/>
      </c>
      <c r="H154" s="31" t="str">
        <f t="shared" si="2"/>
        <v/>
      </c>
      <c r="J154" s="27" t="str">
        <f>IF(I154="","",_xlfn.XLOOKUP(I154,Lists!$C:$C,Lists!$D:$D))</f>
        <v/>
      </c>
      <c r="N154" s="26" t="str">
        <f t="shared" si="3"/>
        <v/>
      </c>
      <c r="O154" s="27" t="str">
        <f>IF(I154="","",_xlfn.XLOOKUP(I154,Lists!$C:$C,Lists!$J:$J))</f>
        <v/>
      </c>
      <c r="P154" s="27" t="str">
        <f>IF(I154="","",_xlfn.XLOOKUP(I154,Lists!$C:$C,Lists!$E:$E))</f>
        <v/>
      </c>
      <c r="Q154" s="28" t="str">
        <f t="shared" si="4"/>
        <v/>
      </c>
      <c r="R154" s="26" t="str">
        <f t="shared" ca="1" si="5"/>
        <v/>
      </c>
      <c r="S154" s="27" t="str">
        <f>IF(I154="","",_xlfn.XLOOKUP(I154,Lists!$C:$C,Lists!$I:$I))</f>
        <v/>
      </c>
    </row>
    <row r="155" spans="3:19" x14ac:dyDescent="0.2">
      <c r="C155" s="26">
        <f>_xlfn.XLOOKUP(B155,Lists!B:B,Lists!A:A,"")</f>
        <v>0</v>
      </c>
      <c r="G155" s="26" t="str">
        <f t="shared" ref="G155:G218" si="6">IF(OR(E155="",F155=""),"",F155-E155+1)</f>
        <v/>
      </c>
      <c r="H155" s="31" t="str">
        <f t="shared" ref="H155:H218" si="7">IF(D155="","",IF(OR(D155="A",D155="B"),G155/80,IF(D155="A&amp;B",G155/160,"")))</f>
        <v/>
      </c>
      <c r="J155" s="27" t="str">
        <f>IF(I155="","",_xlfn.XLOOKUP(I155,Lists!$C:$C,Lists!$D:$D))</f>
        <v/>
      </c>
      <c r="N155" s="26" t="str">
        <f t="shared" ref="N155:N218" si="8">IF(OR(M155="",L155=""),"",(M155*L155)/100000)</f>
        <v/>
      </c>
      <c r="O155" s="27" t="str">
        <f>IF(I155="","",_xlfn.XLOOKUP(I155,Lists!$C:$C,Lists!$J:$J))</f>
        <v/>
      </c>
      <c r="P155" s="27" t="str">
        <f>IF(I155="","",_xlfn.XLOOKUP(I155,Lists!$C:$C,Lists!$E:$E))</f>
        <v/>
      </c>
      <c r="Q155" s="28" t="str">
        <f t="shared" ref="Q155:Q218" si="9">IF(OR(A155="",P155=""),"",A155+P155+1)</f>
        <v/>
      </c>
      <c r="R155" s="26" t="str">
        <f t="shared" ref="R155:R218" ca="1" si="10">IF(Q155="","",IF(Q155&lt;=TODAY(),"Allow","Not Allow"))</f>
        <v/>
      </c>
      <c r="S155" s="27" t="str">
        <f>IF(I155="","",_xlfn.XLOOKUP(I155,Lists!$C:$C,Lists!$I:$I))</f>
        <v/>
      </c>
    </row>
    <row r="156" spans="3:19" x14ac:dyDescent="0.2">
      <c r="C156" s="26">
        <f>_xlfn.XLOOKUP(B156,Lists!B:B,Lists!A:A,"")</f>
        <v>0</v>
      </c>
      <c r="G156" s="26" t="str">
        <f t="shared" si="6"/>
        <v/>
      </c>
      <c r="H156" s="31" t="str">
        <f t="shared" si="7"/>
        <v/>
      </c>
      <c r="J156" s="27" t="str">
        <f>IF(I156="","",_xlfn.XLOOKUP(I156,Lists!$C:$C,Lists!$D:$D))</f>
        <v/>
      </c>
      <c r="N156" s="26" t="str">
        <f t="shared" si="8"/>
        <v/>
      </c>
      <c r="O156" s="27" t="str">
        <f>IF(I156="","",_xlfn.XLOOKUP(I156,Lists!$C:$C,Lists!$J:$J))</f>
        <v/>
      </c>
      <c r="P156" s="27" t="str">
        <f>IF(I156="","",_xlfn.XLOOKUP(I156,Lists!$C:$C,Lists!$E:$E))</f>
        <v/>
      </c>
      <c r="Q156" s="28" t="str">
        <f t="shared" si="9"/>
        <v/>
      </c>
      <c r="R156" s="26" t="str">
        <f t="shared" ca="1" si="10"/>
        <v/>
      </c>
      <c r="S156" s="27" t="str">
        <f>IF(I156="","",_xlfn.XLOOKUP(I156,Lists!$C:$C,Lists!$I:$I))</f>
        <v/>
      </c>
    </row>
    <row r="157" spans="3:19" x14ac:dyDescent="0.2">
      <c r="C157" s="26">
        <f>_xlfn.XLOOKUP(B157,Lists!B:B,Lists!A:A,"")</f>
        <v>0</v>
      </c>
      <c r="G157" s="26" t="str">
        <f t="shared" si="6"/>
        <v/>
      </c>
      <c r="H157" s="31" t="str">
        <f t="shared" si="7"/>
        <v/>
      </c>
      <c r="J157" s="27" t="str">
        <f>IF(I157="","",_xlfn.XLOOKUP(I157,Lists!$C:$C,Lists!$D:$D))</f>
        <v/>
      </c>
      <c r="N157" s="26" t="str">
        <f t="shared" si="8"/>
        <v/>
      </c>
      <c r="O157" s="27" t="str">
        <f>IF(I157="","",_xlfn.XLOOKUP(I157,Lists!$C:$C,Lists!$J:$J))</f>
        <v/>
      </c>
      <c r="P157" s="27" t="str">
        <f>IF(I157="","",_xlfn.XLOOKUP(I157,Lists!$C:$C,Lists!$E:$E))</f>
        <v/>
      </c>
      <c r="Q157" s="28" t="str">
        <f t="shared" si="9"/>
        <v/>
      </c>
      <c r="R157" s="26" t="str">
        <f t="shared" ca="1" si="10"/>
        <v/>
      </c>
      <c r="S157" s="27" t="str">
        <f>IF(I157="","",_xlfn.XLOOKUP(I157,Lists!$C:$C,Lists!$I:$I))</f>
        <v/>
      </c>
    </row>
    <row r="158" spans="3:19" x14ac:dyDescent="0.2">
      <c r="C158" s="26">
        <f>_xlfn.XLOOKUP(B158,Lists!B:B,Lists!A:A,"")</f>
        <v>0</v>
      </c>
      <c r="G158" s="26" t="str">
        <f t="shared" si="6"/>
        <v/>
      </c>
      <c r="H158" s="31" t="str">
        <f t="shared" si="7"/>
        <v/>
      </c>
      <c r="J158" s="27" t="str">
        <f>IF(I158="","",_xlfn.XLOOKUP(I158,Lists!$C:$C,Lists!$D:$D))</f>
        <v/>
      </c>
      <c r="N158" s="26" t="str">
        <f t="shared" si="8"/>
        <v/>
      </c>
      <c r="O158" s="27" t="str">
        <f>IF(I158="","",_xlfn.XLOOKUP(I158,Lists!$C:$C,Lists!$J:$J))</f>
        <v/>
      </c>
      <c r="P158" s="27" t="str">
        <f>IF(I158="","",_xlfn.XLOOKUP(I158,Lists!$C:$C,Lists!$E:$E))</f>
        <v/>
      </c>
      <c r="Q158" s="28" t="str">
        <f t="shared" si="9"/>
        <v/>
      </c>
      <c r="R158" s="26" t="str">
        <f t="shared" ca="1" si="10"/>
        <v/>
      </c>
      <c r="S158" s="27" t="str">
        <f>IF(I158="","",_xlfn.XLOOKUP(I158,Lists!$C:$C,Lists!$I:$I))</f>
        <v/>
      </c>
    </row>
    <row r="159" spans="3:19" x14ac:dyDescent="0.2">
      <c r="C159" s="26">
        <f>_xlfn.XLOOKUP(B159,Lists!B:B,Lists!A:A,"")</f>
        <v>0</v>
      </c>
      <c r="G159" s="26" t="str">
        <f t="shared" si="6"/>
        <v/>
      </c>
      <c r="H159" s="31" t="str">
        <f t="shared" si="7"/>
        <v/>
      </c>
      <c r="J159" s="27" t="str">
        <f>IF(I159="","",_xlfn.XLOOKUP(I159,Lists!$C:$C,Lists!$D:$D))</f>
        <v/>
      </c>
      <c r="N159" s="26" t="str">
        <f t="shared" si="8"/>
        <v/>
      </c>
      <c r="O159" s="27" t="str">
        <f>IF(I159="","",_xlfn.XLOOKUP(I159,Lists!$C:$C,Lists!$J:$J))</f>
        <v/>
      </c>
      <c r="P159" s="27" t="str">
        <f>IF(I159="","",_xlfn.XLOOKUP(I159,Lists!$C:$C,Lists!$E:$E))</f>
        <v/>
      </c>
      <c r="Q159" s="28" t="str">
        <f t="shared" si="9"/>
        <v/>
      </c>
      <c r="R159" s="26" t="str">
        <f t="shared" ca="1" si="10"/>
        <v/>
      </c>
      <c r="S159" s="27" t="str">
        <f>IF(I159="","",_xlfn.XLOOKUP(I159,Lists!$C:$C,Lists!$I:$I))</f>
        <v/>
      </c>
    </row>
    <row r="160" spans="3:19" x14ac:dyDescent="0.2">
      <c r="C160" s="26">
        <f>_xlfn.XLOOKUP(B160,Lists!B:B,Lists!A:A,"")</f>
        <v>0</v>
      </c>
      <c r="G160" s="26" t="str">
        <f t="shared" si="6"/>
        <v/>
      </c>
      <c r="H160" s="31" t="str">
        <f t="shared" si="7"/>
        <v/>
      </c>
      <c r="J160" s="27" t="str">
        <f>IF(I160="","",_xlfn.XLOOKUP(I160,Lists!$C:$C,Lists!$D:$D))</f>
        <v/>
      </c>
      <c r="N160" s="26" t="str">
        <f t="shared" si="8"/>
        <v/>
      </c>
      <c r="O160" s="27" t="str">
        <f>IF(I160="","",_xlfn.XLOOKUP(I160,Lists!$C:$C,Lists!$J:$J))</f>
        <v/>
      </c>
      <c r="P160" s="27" t="str">
        <f>IF(I160="","",_xlfn.XLOOKUP(I160,Lists!$C:$C,Lists!$E:$E))</f>
        <v/>
      </c>
      <c r="Q160" s="28" t="str">
        <f t="shared" si="9"/>
        <v/>
      </c>
      <c r="R160" s="26" t="str">
        <f t="shared" ca="1" si="10"/>
        <v/>
      </c>
      <c r="S160" s="27" t="str">
        <f>IF(I160="","",_xlfn.XLOOKUP(I160,Lists!$C:$C,Lists!$I:$I))</f>
        <v/>
      </c>
    </row>
    <row r="161" spans="3:19" x14ac:dyDescent="0.2">
      <c r="C161" s="26">
        <f>_xlfn.XLOOKUP(B161,Lists!B:B,Lists!A:A,"")</f>
        <v>0</v>
      </c>
      <c r="G161" s="26" t="str">
        <f t="shared" si="6"/>
        <v/>
      </c>
      <c r="H161" s="31" t="str">
        <f t="shared" si="7"/>
        <v/>
      </c>
      <c r="J161" s="27" t="str">
        <f>IF(I161="","",_xlfn.XLOOKUP(I161,Lists!$C:$C,Lists!$D:$D))</f>
        <v/>
      </c>
      <c r="N161" s="26" t="str">
        <f t="shared" si="8"/>
        <v/>
      </c>
      <c r="O161" s="27" t="str">
        <f>IF(I161="","",_xlfn.XLOOKUP(I161,Lists!$C:$C,Lists!$J:$J))</f>
        <v/>
      </c>
      <c r="P161" s="27" t="str">
        <f>IF(I161="","",_xlfn.XLOOKUP(I161,Lists!$C:$C,Lists!$E:$E))</f>
        <v/>
      </c>
      <c r="Q161" s="28" t="str">
        <f t="shared" si="9"/>
        <v/>
      </c>
      <c r="R161" s="26" t="str">
        <f t="shared" ca="1" si="10"/>
        <v/>
      </c>
      <c r="S161" s="27" t="str">
        <f>IF(I161="","",_xlfn.XLOOKUP(I161,Lists!$C:$C,Lists!$I:$I))</f>
        <v/>
      </c>
    </row>
    <row r="162" spans="3:19" x14ac:dyDescent="0.2">
      <c r="C162" s="26">
        <f>_xlfn.XLOOKUP(B162,Lists!B:B,Lists!A:A,"")</f>
        <v>0</v>
      </c>
      <c r="G162" s="26" t="str">
        <f t="shared" si="6"/>
        <v/>
      </c>
      <c r="H162" s="31" t="str">
        <f t="shared" si="7"/>
        <v/>
      </c>
      <c r="J162" s="27" t="str">
        <f>IF(I162="","",_xlfn.XLOOKUP(I162,Lists!$C:$C,Lists!$D:$D))</f>
        <v/>
      </c>
      <c r="N162" s="26" t="str">
        <f t="shared" si="8"/>
        <v/>
      </c>
      <c r="O162" s="27" t="str">
        <f>IF(I162="","",_xlfn.XLOOKUP(I162,Lists!$C:$C,Lists!$J:$J))</f>
        <v/>
      </c>
      <c r="P162" s="27" t="str">
        <f>IF(I162="","",_xlfn.XLOOKUP(I162,Lists!$C:$C,Lists!$E:$E))</f>
        <v/>
      </c>
      <c r="Q162" s="28" t="str">
        <f t="shared" si="9"/>
        <v/>
      </c>
      <c r="R162" s="26" t="str">
        <f t="shared" ca="1" si="10"/>
        <v/>
      </c>
      <c r="S162" s="27" t="str">
        <f>IF(I162="","",_xlfn.XLOOKUP(I162,Lists!$C:$C,Lists!$I:$I))</f>
        <v/>
      </c>
    </row>
    <row r="163" spans="3:19" x14ac:dyDescent="0.2">
      <c r="C163" s="26">
        <f>_xlfn.XLOOKUP(B163,Lists!B:B,Lists!A:A,"")</f>
        <v>0</v>
      </c>
      <c r="G163" s="26" t="str">
        <f t="shared" si="6"/>
        <v/>
      </c>
      <c r="H163" s="31" t="str">
        <f t="shared" si="7"/>
        <v/>
      </c>
      <c r="J163" s="27" t="str">
        <f>IF(I163="","",_xlfn.XLOOKUP(I163,Lists!$C:$C,Lists!$D:$D))</f>
        <v/>
      </c>
      <c r="N163" s="26" t="str">
        <f t="shared" si="8"/>
        <v/>
      </c>
      <c r="O163" s="27" t="str">
        <f>IF(I163="","",_xlfn.XLOOKUP(I163,Lists!$C:$C,Lists!$J:$J))</f>
        <v/>
      </c>
      <c r="P163" s="27" t="str">
        <f>IF(I163="","",_xlfn.XLOOKUP(I163,Lists!$C:$C,Lists!$E:$E))</f>
        <v/>
      </c>
      <c r="Q163" s="28" t="str">
        <f t="shared" si="9"/>
        <v/>
      </c>
      <c r="R163" s="26" t="str">
        <f t="shared" ca="1" si="10"/>
        <v/>
      </c>
      <c r="S163" s="27" t="str">
        <f>IF(I163="","",_xlfn.XLOOKUP(I163,Lists!$C:$C,Lists!$I:$I))</f>
        <v/>
      </c>
    </row>
    <row r="164" spans="3:19" x14ac:dyDescent="0.2">
      <c r="C164" s="26">
        <f>_xlfn.XLOOKUP(B164,Lists!B:B,Lists!A:A,"")</f>
        <v>0</v>
      </c>
      <c r="G164" s="26" t="str">
        <f t="shared" si="6"/>
        <v/>
      </c>
      <c r="H164" s="31" t="str">
        <f t="shared" si="7"/>
        <v/>
      </c>
      <c r="J164" s="27" t="str">
        <f>IF(I164="","",_xlfn.XLOOKUP(I164,Lists!$C:$C,Lists!$D:$D))</f>
        <v/>
      </c>
      <c r="N164" s="26" t="str">
        <f t="shared" si="8"/>
        <v/>
      </c>
      <c r="O164" s="27" t="str">
        <f>IF(I164="","",_xlfn.XLOOKUP(I164,Lists!$C:$C,Lists!$J:$J))</f>
        <v/>
      </c>
      <c r="P164" s="27" t="str">
        <f>IF(I164="","",_xlfn.XLOOKUP(I164,Lists!$C:$C,Lists!$E:$E))</f>
        <v/>
      </c>
      <c r="Q164" s="28" t="str">
        <f t="shared" si="9"/>
        <v/>
      </c>
      <c r="R164" s="26" t="str">
        <f t="shared" ca="1" si="10"/>
        <v/>
      </c>
      <c r="S164" s="27" t="str">
        <f>IF(I164="","",_xlfn.XLOOKUP(I164,Lists!$C:$C,Lists!$I:$I))</f>
        <v/>
      </c>
    </row>
    <row r="165" spans="3:19" x14ac:dyDescent="0.2">
      <c r="C165" s="26">
        <f>_xlfn.XLOOKUP(B165,Lists!B:B,Lists!A:A,"")</f>
        <v>0</v>
      </c>
      <c r="G165" s="26" t="str">
        <f t="shared" si="6"/>
        <v/>
      </c>
      <c r="H165" s="31" t="str">
        <f t="shared" si="7"/>
        <v/>
      </c>
      <c r="J165" s="27" t="str">
        <f>IF(I165="","",_xlfn.XLOOKUP(I165,Lists!$C:$C,Lists!$D:$D))</f>
        <v/>
      </c>
      <c r="N165" s="26" t="str">
        <f t="shared" si="8"/>
        <v/>
      </c>
      <c r="O165" s="27" t="str">
        <f>IF(I165="","",_xlfn.XLOOKUP(I165,Lists!$C:$C,Lists!$J:$J))</f>
        <v/>
      </c>
      <c r="P165" s="27" t="str">
        <f>IF(I165="","",_xlfn.XLOOKUP(I165,Lists!$C:$C,Lists!$E:$E))</f>
        <v/>
      </c>
      <c r="Q165" s="28" t="str">
        <f t="shared" si="9"/>
        <v/>
      </c>
      <c r="R165" s="26" t="str">
        <f t="shared" ca="1" si="10"/>
        <v/>
      </c>
      <c r="S165" s="27" t="str">
        <f>IF(I165="","",_xlfn.XLOOKUP(I165,Lists!$C:$C,Lists!$I:$I))</f>
        <v/>
      </c>
    </row>
    <row r="166" spans="3:19" x14ac:dyDescent="0.2">
      <c r="C166" s="26">
        <f>_xlfn.XLOOKUP(B166,Lists!B:B,Lists!A:A,"")</f>
        <v>0</v>
      </c>
      <c r="G166" s="26" t="str">
        <f t="shared" si="6"/>
        <v/>
      </c>
      <c r="H166" s="31" t="str">
        <f t="shared" si="7"/>
        <v/>
      </c>
      <c r="J166" s="27" t="str">
        <f>IF(I166="","",_xlfn.XLOOKUP(I166,Lists!$C:$C,Lists!$D:$D))</f>
        <v/>
      </c>
      <c r="N166" s="26" t="str">
        <f t="shared" si="8"/>
        <v/>
      </c>
      <c r="O166" s="27" t="str">
        <f>IF(I166="","",_xlfn.XLOOKUP(I166,Lists!$C:$C,Lists!$J:$J))</f>
        <v/>
      </c>
      <c r="P166" s="27" t="str">
        <f>IF(I166="","",_xlfn.XLOOKUP(I166,Lists!$C:$C,Lists!$E:$E))</f>
        <v/>
      </c>
      <c r="Q166" s="28" t="str">
        <f t="shared" si="9"/>
        <v/>
      </c>
      <c r="R166" s="26" t="str">
        <f t="shared" ca="1" si="10"/>
        <v/>
      </c>
      <c r="S166" s="27" t="str">
        <f>IF(I166="","",_xlfn.XLOOKUP(I166,Lists!$C:$C,Lists!$I:$I))</f>
        <v/>
      </c>
    </row>
    <row r="167" spans="3:19" x14ac:dyDescent="0.2">
      <c r="C167" s="26">
        <f>_xlfn.XLOOKUP(B167,Lists!B:B,Lists!A:A,"")</f>
        <v>0</v>
      </c>
      <c r="G167" s="26" t="str">
        <f t="shared" si="6"/>
        <v/>
      </c>
      <c r="H167" s="31" t="str">
        <f t="shared" si="7"/>
        <v/>
      </c>
      <c r="J167" s="27" t="str">
        <f>IF(I167="","",_xlfn.XLOOKUP(I167,Lists!$C:$C,Lists!$D:$D))</f>
        <v/>
      </c>
      <c r="N167" s="26" t="str">
        <f t="shared" si="8"/>
        <v/>
      </c>
      <c r="O167" s="27" t="str">
        <f>IF(I167="","",_xlfn.XLOOKUP(I167,Lists!$C:$C,Lists!$J:$J))</f>
        <v/>
      </c>
      <c r="P167" s="27" t="str">
        <f>IF(I167="","",_xlfn.XLOOKUP(I167,Lists!$C:$C,Lists!$E:$E))</f>
        <v/>
      </c>
      <c r="Q167" s="28" t="str">
        <f t="shared" si="9"/>
        <v/>
      </c>
      <c r="R167" s="26" t="str">
        <f t="shared" ca="1" si="10"/>
        <v/>
      </c>
      <c r="S167" s="27" t="str">
        <f>IF(I167="","",_xlfn.XLOOKUP(I167,Lists!$C:$C,Lists!$I:$I))</f>
        <v/>
      </c>
    </row>
    <row r="168" spans="3:19" x14ac:dyDescent="0.2">
      <c r="C168" s="26">
        <f>_xlfn.XLOOKUP(B168,Lists!B:B,Lists!A:A,"")</f>
        <v>0</v>
      </c>
      <c r="G168" s="26" t="str">
        <f t="shared" si="6"/>
        <v/>
      </c>
      <c r="H168" s="31" t="str">
        <f t="shared" si="7"/>
        <v/>
      </c>
      <c r="J168" s="27" t="str">
        <f>IF(I168="","",_xlfn.XLOOKUP(I168,Lists!$C:$C,Lists!$D:$D))</f>
        <v/>
      </c>
      <c r="N168" s="26" t="str">
        <f t="shared" si="8"/>
        <v/>
      </c>
      <c r="O168" s="27" t="str">
        <f>IF(I168="","",_xlfn.XLOOKUP(I168,Lists!$C:$C,Lists!$J:$J))</f>
        <v/>
      </c>
      <c r="P168" s="27" t="str">
        <f>IF(I168="","",_xlfn.XLOOKUP(I168,Lists!$C:$C,Lists!$E:$E))</f>
        <v/>
      </c>
      <c r="Q168" s="28" t="str">
        <f t="shared" si="9"/>
        <v/>
      </c>
      <c r="R168" s="26" t="str">
        <f t="shared" ca="1" si="10"/>
        <v/>
      </c>
      <c r="S168" s="27" t="str">
        <f>IF(I168="","",_xlfn.XLOOKUP(I168,Lists!$C:$C,Lists!$I:$I))</f>
        <v/>
      </c>
    </row>
    <row r="169" spans="3:19" x14ac:dyDescent="0.2">
      <c r="C169" s="26">
        <f>_xlfn.XLOOKUP(B169,Lists!B:B,Lists!A:A,"")</f>
        <v>0</v>
      </c>
      <c r="G169" s="26" t="str">
        <f t="shared" si="6"/>
        <v/>
      </c>
      <c r="H169" s="31" t="str">
        <f t="shared" si="7"/>
        <v/>
      </c>
      <c r="J169" s="27" t="str">
        <f>IF(I169="","",_xlfn.XLOOKUP(I169,Lists!$C:$C,Lists!$D:$D))</f>
        <v/>
      </c>
      <c r="N169" s="26" t="str">
        <f t="shared" si="8"/>
        <v/>
      </c>
      <c r="O169" s="27" t="str">
        <f>IF(I169="","",_xlfn.XLOOKUP(I169,Lists!$C:$C,Lists!$J:$J))</f>
        <v/>
      </c>
      <c r="P169" s="27" t="str">
        <f>IF(I169="","",_xlfn.XLOOKUP(I169,Lists!$C:$C,Lists!$E:$E))</f>
        <v/>
      </c>
      <c r="Q169" s="28" t="str">
        <f t="shared" si="9"/>
        <v/>
      </c>
      <c r="R169" s="26" t="str">
        <f t="shared" ca="1" si="10"/>
        <v/>
      </c>
      <c r="S169" s="27" t="str">
        <f>IF(I169="","",_xlfn.XLOOKUP(I169,Lists!$C:$C,Lists!$I:$I))</f>
        <v/>
      </c>
    </row>
    <row r="170" spans="3:19" x14ac:dyDescent="0.2">
      <c r="C170" s="26">
        <f>_xlfn.XLOOKUP(B170,Lists!B:B,Lists!A:A,"")</f>
        <v>0</v>
      </c>
      <c r="G170" s="26" t="str">
        <f t="shared" si="6"/>
        <v/>
      </c>
      <c r="H170" s="31" t="str">
        <f t="shared" si="7"/>
        <v/>
      </c>
      <c r="J170" s="27" t="str">
        <f>IF(I170="","",_xlfn.XLOOKUP(I170,Lists!$C:$C,Lists!$D:$D))</f>
        <v/>
      </c>
      <c r="N170" s="26" t="str">
        <f t="shared" si="8"/>
        <v/>
      </c>
      <c r="O170" s="27" t="str">
        <f>IF(I170="","",_xlfn.XLOOKUP(I170,Lists!$C:$C,Lists!$J:$J))</f>
        <v/>
      </c>
      <c r="P170" s="27" t="str">
        <f>IF(I170="","",_xlfn.XLOOKUP(I170,Lists!$C:$C,Lists!$E:$E))</f>
        <v/>
      </c>
      <c r="Q170" s="28" t="str">
        <f t="shared" si="9"/>
        <v/>
      </c>
      <c r="R170" s="26" t="str">
        <f t="shared" ca="1" si="10"/>
        <v/>
      </c>
      <c r="S170" s="27" t="str">
        <f>IF(I170="","",_xlfn.XLOOKUP(I170,Lists!$C:$C,Lists!$I:$I))</f>
        <v/>
      </c>
    </row>
    <row r="171" spans="3:19" x14ac:dyDescent="0.2">
      <c r="C171" s="26">
        <f>_xlfn.XLOOKUP(B171,Lists!B:B,Lists!A:A,"")</f>
        <v>0</v>
      </c>
      <c r="G171" s="26" t="str">
        <f t="shared" si="6"/>
        <v/>
      </c>
      <c r="H171" s="31" t="str">
        <f t="shared" si="7"/>
        <v/>
      </c>
      <c r="J171" s="27" t="str">
        <f>IF(I171="","",_xlfn.XLOOKUP(I171,Lists!$C:$C,Lists!$D:$D))</f>
        <v/>
      </c>
      <c r="N171" s="26" t="str">
        <f t="shared" si="8"/>
        <v/>
      </c>
      <c r="O171" s="27" t="str">
        <f>IF(I171="","",_xlfn.XLOOKUP(I171,Lists!$C:$C,Lists!$J:$J))</f>
        <v/>
      </c>
      <c r="P171" s="27" t="str">
        <f>IF(I171="","",_xlfn.XLOOKUP(I171,Lists!$C:$C,Lists!$E:$E))</f>
        <v/>
      </c>
      <c r="Q171" s="28" t="str">
        <f t="shared" si="9"/>
        <v/>
      </c>
      <c r="R171" s="26" t="str">
        <f t="shared" ca="1" si="10"/>
        <v/>
      </c>
      <c r="S171" s="27" t="str">
        <f>IF(I171="","",_xlfn.XLOOKUP(I171,Lists!$C:$C,Lists!$I:$I))</f>
        <v/>
      </c>
    </row>
    <row r="172" spans="3:19" x14ac:dyDescent="0.2">
      <c r="C172" s="26">
        <f>_xlfn.XLOOKUP(B172,Lists!B:B,Lists!A:A,"")</f>
        <v>0</v>
      </c>
      <c r="G172" s="26" t="str">
        <f t="shared" si="6"/>
        <v/>
      </c>
      <c r="H172" s="31" t="str">
        <f t="shared" si="7"/>
        <v/>
      </c>
      <c r="J172" s="27" t="str">
        <f>IF(I172="","",_xlfn.XLOOKUP(I172,Lists!$C:$C,Lists!$D:$D))</f>
        <v/>
      </c>
      <c r="N172" s="26" t="str">
        <f t="shared" si="8"/>
        <v/>
      </c>
      <c r="O172" s="27" t="str">
        <f>IF(I172="","",_xlfn.XLOOKUP(I172,Lists!$C:$C,Lists!$J:$J))</f>
        <v/>
      </c>
      <c r="P172" s="27" t="str">
        <f>IF(I172="","",_xlfn.XLOOKUP(I172,Lists!$C:$C,Lists!$E:$E))</f>
        <v/>
      </c>
      <c r="Q172" s="28" t="str">
        <f t="shared" si="9"/>
        <v/>
      </c>
      <c r="R172" s="26" t="str">
        <f t="shared" ca="1" si="10"/>
        <v/>
      </c>
      <c r="S172" s="27" t="str">
        <f>IF(I172="","",_xlfn.XLOOKUP(I172,Lists!$C:$C,Lists!$I:$I))</f>
        <v/>
      </c>
    </row>
    <row r="173" spans="3:19" x14ac:dyDescent="0.2">
      <c r="C173" s="26">
        <f>_xlfn.XLOOKUP(B173,Lists!B:B,Lists!A:A,"")</f>
        <v>0</v>
      </c>
      <c r="G173" s="26" t="str">
        <f t="shared" si="6"/>
        <v/>
      </c>
      <c r="H173" s="31" t="str">
        <f t="shared" si="7"/>
        <v/>
      </c>
      <c r="J173" s="27" t="str">
        <f>IF(I173="","",_xlfn.XLOOKUP(I173,Lists!$C:$C,Lists!$D:$D))</f>
        <v/>
      </c>
      <c r="N173" s="26" t="str">
        <f t="shared" si="8"/>
        <v/>
      </c>
      <c r="O173" s="27" t="str">
        <f>IF(I173="","",_xlfn.XLOOKUP(I173,Lists!$C:$C,Lists!$J:$J))</f>
        <v/>
      </c>
      <c r="P173" s="27" t="str">
        <f>IF(I173="","",_xlfn.XLOOKUP(I173,Lists!$C:$C,Lists!$E:$E))</f>
        <v/>
      </c>
      <c r="Q173" s="28" t="str">
        <f t="shared" si="9"/>
        <v/>
      </c>
      <c r="R173" s="26" t="str">
        <f t="shared" ca="1" si="10"/>
        <v/>
      </c>
      <c r="S173" s="27" t="str">
        <f>IF(I173="","",_xlfn.XLOOKUP(I173,Lists!$C:$C,Lists!$I:$I))</f>
        <v/>
      </c>
    </row>
    <row r="174" spans="3:19" x14ac:dyDescent="0.2">
      <c r="C174" s="26">
        <f>_xlfn.XLOOKUP(B174,Lists!B:B,Lists!A:A,"")</f>
        <v>0</v>
      </c>
      <c r="G174" s="26" t="str">
        <f t="shared" si="6"/>
        <v/>
      </c>
      <c r="H174" s="31" t="str">
        <f t="shared" si="7"/>
        <v/>
      </c>
      <c r="J174" s="27" t="str">
        <f>IF(I174="","",_xlfn.XLOOKUP(I174,Lists!$C:$C,Lists!$D:$D))</f>
        <v/>
      </c>
      <c r="N174" s="26" t="str">
        <f t="shared" si="8"/>
        <v/>
      </c>
      <c r="O174" s="27" t="str">
        <f>IF(I174="","",_xlfn.XLOOKUP(I174,Lists!$C:$C,Lists!$J:$J))</f>
        <v/>
      </c>
      <c r="P174" s="27" t="str">
        <f>IF(I174="","",_xlfn.XLOOKUP(I174,Lists!$C:$C,Lists!$E:$E))</f>
        <v/>
      </c>
      <c r="Q174" s="28" t="str">
        <f t="shared" si="9"/>
        <v/>
      </c>
      <c r="R174" s="26" t="str">
        <f t="shared" ca="1" si="10"/>
        <v/>
      </c>
      <c r="S174" s="27" t="str">
        <f>IF(I174="","",_xlfn.XLOOKUP(I174,Lists!$C:$C,Lists!$I:$I))</f>
        <v/>
      </c>
    </row>
    <row r="175" spans="3:19" x14ac:dyDescent="0.2">
      <c r="C175" s="26">
        <f>_xlfn.XLOOKUP(B175,Lists!B:B,Lists!A:A,"")</f>
        <v>0</v>
      </c>
      <c r="G175" s="26" t="str">
        <f t="shared" si="6"/>
        <v/>
      </c>
      <c r="H175" s="31" t="str">
        <f t="shared" si="7"/>
        <v/>
      </c>
      <c r="J175" s="27" t="str">
        <f>IF(I175="","",_xlfn.XLOOKUP(I175,Lists!$C:$C,Lists!$D:$D))</f>
        <v/>
      </c>
      <c r="N175" s="26" t="str">
        <f t="shared" si="8"/>
        <v/>
      </c>
      <c r="O175" s="27" t="str">
        <f>IF(I175="","",_xlfn.XLOOKUP(I175,Lists!$C:$C,Lists!$J:$J))</f>
        <v/>
      </c>
      <c r="P175" s="27" t="str">
        <f>IF(I175="","",_xlfn.XLOOKUP(I175,Lists!$C:$C,Lists!$E:$E))</f>
        <v/>
      </c>
      <c r="Q175" s="28" t="str">
        <f t="shared" si="9"/>
        <v/>
      </c>
      <c r="R175" s="26" t="str">
        <f t="shared" ca="1" si="10"/>
        <v/>
      </c>
      <c r="S175" s="27" t="str">
        <f>IF(I175="","",_xlfn.XLOOKUP(I175,Lists!$C:$C,Lists!$I:$I))</f>
        <v/>
      </c>
    </row>
    <row r="176" spans="3:19" x14ac:dyDescent="0.2">
      <c r="C176" s="26">
        <f>_xlfn.XLOOKUP(B176,Lists!B:B,Lists!A:A,"")</f>
        <v>0</v>
      </c>
      <c r="G176" s="26" t="str">
        <f t="shared" si="6"/>
        <v/>
      </c>
      <c r="H176" s="31" t="str">
        <f t="shared" si="7"/>
        <v/>
      </c>
      <c r="J176" s="27" t="str">
        <f>IF(I176="","",_xlfn.XLOOKUP(I176,Lists!$C:$C,Lists!$D:$D))</f>
        <v/>
      </c>
      <c r="N176" s="26" t="str">
        <f t="shared" si="8"/>
        <v/>
      </c>
      <c r="O176" s="27" t="str">
        <f>IF(I176="","",_xlfn.XLOOKUP(I176,Lists!$C:$C,Lists!$J:$J))</f>
        <v/>
      </c>
      <c r="P176" s="27" t="str">
        <f>IF(I176="","",_xlfn.XLOOKUP(I176,Lists!$C:$C,Lists!$E:$E))</f>
        <v/>
      </c>
      <c r="Q176" s="28" t="str">
        <f t="shared" si="9"/>
        <v/>
      </c>
      <c r="R176" s="26" t="str">
        <f t="shared" ca="1" si="10"/>
        <v/>
      </c>
      <c r="S176" s="27" t="str">
        <f>IF(I176="","",_xlfn.XLOOKUP(I176,Lists!$C:$C,Lists!$I:$I))</f>
        <v/>
      </c>
    </row>
    <row r="177" spans="3:19" x14ac:dyDescent="0.2">
      <c r="C177" s="26">
        <f>_xlfn.XLOOKUP(B177,Lists!B:B,Lists!A:A,"")</f>
        <v>0</v>
      </c>
      <c r="G177" s="26" t="str">
        <f t="shared" si="6"/>
        <v/>
      </c>
      <c r="H177" s="31" t="str">
        <f t="shared" si="7"/>
        <v/>
      </c>
      <c r="J177" s="27" t="str">
        <f>IF(I177="","",_xlfn.XLOOKUP(I177,Lists!$C:$C,Lists!$D:$D))</f>
        <v/>
      </c>
      <c r="N177" s="26" t="str">
        <f t="shared" si="8"/>
        <v/>
      </c>
      <c r="O177" s="27" t="str">
        <f>IF(I177="","",_xlfn.XLOOKUP(I177,Lists!$C:$C,Lists!$J:$J))</f>
        <v/>
      </c>
      <c r="P177" s="27" t="str">
        <f>IF(I177="","",_xlfn.XLOOKUP(I177,Lists!$C:$C,Lists!$E:$E))</f>
        <v/>
      </c>
      <c r="Q177" s="28" t="str">
        <f t="shared" si="9"/>
        <v/>
      </c>
      <c r="R177" s="26" t="str">
        <f t="shared" ca="1" si="10"/>
        <v/>
      </c>
      <c r="S177" s="27" t="str">
        <f>IF(I177="","",_xlfn.XLOOKUP(I177,Lists!$C:$C,Lists!$I:$I))</f>
        <v/>
      </c>
    </row>
    <row r="178" spans="3:19" x14ac:dyDescent="0.2">
      <c r="C178" s="26">
        <f>_xlfn.XLOOKUP(B178,Lists!B:B,Lists!A:A,"")</f>
        <v>0</v>
      </c>
      <c r="G178" s="26" t="str">
        <f t="shared" si="6"/>
        <v/>
      </c>
      <c r="H178" s="31" t="str">
        <f t="shared" si="7"/>
        <v/>
      </c>
      <c r="J178" s="27" t="str">
        <f>IF(I178="","",_xlfn.XLOOKUP(I178,Lists!$C:$C,Lists!$D:$D))</f>
        <v/>
      </c>
      <c r="N178" s="26" t="str">
        <f t="shared" si="8"/>
        <v/>
      </c>
      <c r="O178" s="27" t="str">
        <f>IF(I178="","",_xlfn.XLOOKUP(I178,Lists!$C:$C,Lists!$J:$J))</f>
        <v/>
      </c>
      <c r="P178" s="27" t="str">
        <f>IF(I178="","",_xlfn.XLOOKUP(I178,Lists!$C:$C,Lists!$E:$E))</f>
        <v/>
      </c>
      <c r="Q178" s="28" t="str">
        <f t="shared" si="9"/>
        <v/>
      </c>
      <c r="R178" s="26" t="str">
        <f t="shared" ca="1" si="10"/>
        <v/>
      </c>
      <c r="S178" s="27" t="str">
        <f>IF(I178="","",_xlfn.XLOOKUP(I178,Lists!$C:$C,Lists!$I:$I))</f>
        <v/>
      </c>
    </row>
    <row r="179" spans="3:19" x14ac:dyDescent="0.2">
      <c r="C179" s="26">
        <f>_xlfn.XLOOKUP(B179,Lists!B:B,Lists!A:A,"")</f>
        <v>0</v>
      </c>
      <c r="G179" s="26" t="str">
        <f t="shared" si="6"/>
        <v/>
      </c>
      <c r="H179" s="31" t="str">
        <f t="shared" si="7"/>
        <v/>
      </c>
      <c r="J179" s="27" t="str">
        <f>IF(I179="","",_xlfn.XLOOKUP(I179,Lists!$C:$C,Lists!$D:$D))</f>
        <v/>
      </c>
      <c r="N179" s="26" t="str">
        <f t="shared" si="8"/>
        <v/>
      </c>
      <c r="O179" s="27" t="str">
        <f>IF(I179="","",_xlfn.XLOOKUP(I179,Lists!$C:$C,Lists!$J:$J))</f>
        <v/>
      </c>
      <c r="P179" s="27" t="str">
        <f>IF(I179="","",_xlfn.XLOOKUP(I179,Lists!$C:$C,Lists!$E:$E))</f>
        <v/>
      </c>
      <c r="Q179" s="28" t="str">
        <f t="shared" si="9"/>
        <v/>
      </c>
      <c r="R179" s="26" t="str">
        <f t="shared" ca="1" si="10"/>
        <v/>
      </c>
      <c r="S179" s="27" t="str">
        <f>IF(I179="","",_xlfn.XLOOKUP(I179,Lists!$C:$C,Lists!$I:$I))</f>
        <v/>
      </c>
    </row>
    <row r="180" spans="3:19" x14ac:dyDescent="0.2">
      <c r="C180" s="26">
        <f>_xlfn.XLOOKUP(B180,Lists!B:B,Lists!A:A,"")</f>
        <v>0</v>
      </c>
      <c r="G180" s="26" t="str">
        <f t="shared" si="6"/>
        <v/>
      </c>
      <c r="H180" s="31" t="str">
        <f t="shared" si="7"/>
        <v/>
      </c>
      <c r="J180" s="27" t="str">
        <f>IF(I180="","",_xlfn.XLOOKUP(I180,Lists!$C:$C,Lists!$D:$D))</f>
        <v/>
      </c>
      <c r="N180" s="26" t="str">
        <f t="shared" si="8"/>
        <v/>
      </c>
      <c r="O180" s="27" t="str">
        <f>IF(I180="","",_xlfn.XLOOKUP(I180,Lists!$C:$C,Lists!$J:$J))</f>
        <v/>
      </c>
      <c r="P180" s="27" t="str">
        <f>IF(I180="","",_xlfn.XLOOKUP(I180,Lists!$C:$C,Lists!$E:$E))</f>
        <v/>
      </c>
      <c r="Q180" s="28" t="str">
        <f t="shared" si="9"/>
        <v/>
      </c>
      <c r="R180" s="26" t="str">
        <f t="shared" ca="1" si="10"/>
        <v/>
      </c>
      <c r="S180" s="27" t="str">
        <f>IF(I180="","",_xlfn.XLOOKUP(I180,Lists!$C:$C,Lists!$I:$I))</f>
        <v/>
      </c>
    </row>
    <row r="181" spans="3:19" x14ac:dyDescent="0.2">
      <c r="C181" s="26">
        <f>_xlfn.XLOOKUP(B181,Lists!B:B,Lists!A:A,"")</f>
        <v>0</v>
      </c>
      <c r="G181" s="26" t="str">
        <f t="shared" si="6"/>
        <v/>
      </c>
      <c r="H181" s="31" t="str">
        <f t="shared" si="7"/>
        <v/>
      </c>
      <c r="J181" s="27" t="str">
        <f>IF(I181="","",_xlfn.XLOOKUP(I181,Lists!$C:$C,Lists!$D:$D))</f>
        <v/>
      </c>
      <c r="N181" s="26" t="str">
        <f t="shared" si="8"/>
        <v/>
      </c>
      <c r="O181" s="27" t="str">
        <f>IF(I181="","",_xlfn.XLOOKUP(I181,Lists!$C:$C,Lists!$J:$J))</f>
        <v/>
      </c>
      <c r="P181" s="27" t="str">
        <f>IF(I181="","",_xlfn.XLOOKUP(I181,Lists!$C:$C,Lists!$E:$E))</f>
        <v/>
      </c>
      <c r="Q181" s="28" t="str">
        <f t="shared" si="9"/>
        <v/>
      </c>
      <c r="R181" s="26" t="str">
        <f t="shared" ca="1" si="10"/>
        <v/>
      </c>
      <c r="S181" s="27" t="str">
        <f>IF(I181="","",_xlfn.XLOOKUP(I181,Lists!$C:$C,Lists!$I:$I))</f>
        <v/>
      </c>
    </row>
    <row r="182" spans="3:19" x14ac:dyDescent="0.2">
      <c r="C182" s="26">
        <f>_xlfn.XLOOKUP(B182,Lists!B:B,Lists!A:A,"")</f>
        <v>0</v>
      </c>
      <c r="G182" s="26" t="str">
        <f t="shared" si="6"/>
        <v/>
      </c>
      <c r="H182" s="31" t="str">
        <f t="shared" si="7"/>
        <v/>
      </c>
      <c r="J182" s="27" t="str">
        <f>IF(I182="","",_xlfn.XLOOKUP(I182,Lists!$C:$C,Lists!$D:$D))</f>
        <v/>
      </c>
      <c r="N182" s="26" t="str">
        <f t="shared" si="8"/>
        <v/>
      </c>
      <c r="O182" s="27" t="str">
        <f>IF(I182="","",_xlfn.XLOOKUP(I182,Lists!$C:$C,Lists!$J:$J))</f>
        <v/>
      </c>
      <c r="P182" s="27" t="str">
        <f>IF(I182="","",_xlfn.XLOOKUP(I182,Lists!$C:$C,Lists!$E:$E))</f>
        <v/>
      </c>
      <c r="Q182" s="28" t="str">
        <f t="shared" si="9"/>
        <v/>
      </c>
      <c r="R182" s="26" t="str">
        <f t="shared" ca="1" si="10"/>
        <v/>
      </c>
      <c r="S182" s="27" t="str">
        <f>IF(I182="","",_xlfn.XLOOKUP(I182,Lists!$C:$C,Lists!$I:$I))</f>
        <v/>
      </c>
    </row>
    <row r="183" spans="3:19" x14ac:dyDescent="0.2">
      <c r="C183" s="26">
        <f>_xlfn.XLOOKUP(B183,Lists!B:B,Lists!A:A,"")</f>
        <v>0</v>
      </c>
      <c r="G183" s="26" t="str">
        <f t="shared" si="6"/>
        <v/>
      </c>
      <c r="H183" s="31" t="str">
        <f t="shared" si="7"/>
        <v/>
      </c>
      <c r="J183" s="27" t="str">
        <f>IF(I183="","",_xlfn.XLOOKUP(I183,Lists!$C:$C,Lists!$D:$D))</f>
        <v/>
      </c>
      <c r="N183" s="26" t="str">
        <f t="shared" si="8"/>
        <v/>
      </c>
      <c r="O183" s="27" t="str">
        <f>IF(I183="","",_xlfn.XLOOKUP(I183,Lists!$C:$C,Lists!$J:$J))</f>
        <v/>
      </c>
      <c r="P183" s="27" t="str">
        <f>IF(I183="","",_xlfn.XLOOKUP(I183,Lists!$C:$C,Lists!$E:$E))</f>
        <v/>
      </c>
      <c r="Q183" s="28" t="str">
        <f t="shared" si="9"/>
        <v/>
      </c>
      <c r="R183" s="26" t="str">
        <f t="shared" ca="1" si="10"/>
        <v/>
      </c>
      <c r="S183" s="27" t="str">
        <f>IF(I183="","",_xlfn.XLOOKUP(I183,Lists!$C:$C,Lists!$I:$I))</f>
        <v/>
      </c>
    </row>
    <row r="184" spans="3:19" x14ac:dyDescent="0.2">
      <c r="C184" s="26">
        <f>_xlfn.XLOOKUP(B184,Lists!B:B,Lists!A:A,"")</f>
        <v>0</v>
      </c>
      <c r="G184" s="26" t="str">
        <f t="shared" si="6"/>
        <v/>
      </c>
      <c r="H184" s="31" t="str">
        <f t="shared" si="7"/>
        <v/>
      </c>
      <c r="J184" s="27" t="str">
        <f>IF(I184="","",_xlfn.XLOOKUP(I184,Lists!$C:$C,Lists!$D:$D))</f>
        <v/>
      </c>
      <c r="N184" s="26" t="str">
        <f t="shared" si="8"/>
        <v/>
      </c>
      <c r="O184" s="27" t="str">
        <f>IF(I184="","",_xlfn.XLOOKUP(I184,Lists!$C:$C,Lists!$J:$J))</f>
        <v/>
      </c>
      <c r="P184" s="27" t="str">
        <f>IF(I184="","",_xlfn.XLOOKUP(I184,Lists!$C:$C,Lists!$E:$E))</f>
        <v/>
      </c>
      <c r="Q184" s="28" t="str">
        <f t="shared" si="9"/>
        <v/>
      </c>
      <c r="R184" s="26" t="str">
        <f t="shared" ca="1" si="10"/>
        <v/>
      </c>
      <c r="S184" s="27" t="str">
        <f>IF(I184="","",_xlfn.XLOOKUP(I184,Lists!$C:$C,Lists!$I:$I))</f>
        <v/>
      </c>
    </row>
    <row r="185" spans="3:19" x14ac:dyDescent="0.2">
      <c r="C185" s="26">
        <f>_xlfn.XLOOKUP(B185,Lists!B:B,Lists!A:A,"")</f>
        <v>0</v>
      </c>
      <c r="G185" s="26" t="str">
        <f t="shared" si="6"/>
        <v/>
      </c>
      <c r="H185" s="31" t="str">
        <f t="shared" si="7"/>
        <v/>
      </c>
      <c r="J185" s="27" t="str">
        <f>IF(I185="","",_xlfn.XLOOKUP(I185,Lists!$C:$C,Lists!$D:$D))</f>
        <v/>
      </c>
      <c r="N185" s="26" t="str">
        <f t="shared" si="8"/>
        <v/>
      </c>
      <c r="O185" s="27" t="str">
        <f>IF(I185="","",_xlfn.XLOOKUP(I185,Lists!$C:$C,Lists!$J:$J))</f>
        <v/>
      </c>
      <c r="P185" s="27" t="str">
        <f>IF(I185="","",_xlfn.XLOOKUP(I185,Lists!$C:$C,Lists!$E:$E))</f>
        <v/>
      </c>
      <c r="Q185" s="28" t="str">
        <f t="shared" si="9"/>
        <v/>
      </c>
      <c r="R185" s="26" t="str">
        <f t="shared" ca="1" si="10"/>
        <v/>
      </c>
      <c r="S185" s="27" t="str">
        <f>IF(I185="","",_xlfn.XLOOKUP(I185,Lists!$C:$C,Lists!$I:$I))</f>
        <v/>
      </c>
    </row>
    <row r="186" spans="3:19" x14ac:dyDescent="0.2">
      <c r="C186" s="26">
        <f>_xlfn.XLOOKUP(B186,Lists!B:B,Lists!A:A,"")</f>
        <v>0</v>
      </c>
      <c r="G186" s="26" t="str">
        <f t="shared" si="6"/>
        <v/>
      </c>
      <c r="H186" s="31" t="str">
        <f t="shared" si="7"/>
        <v/>
      </c>
      <c r="J186" s="27" t="str">
        <f>IF(I186="","",_xlfn.XLOOKUP(I186,Lists!$C:$C,Lists!$D:$D))</f>
        <v/>
      </c>
      <c r="N186" s="26" t="str">
        <f t="shared" si="8"/>
        <v/>
      </c>
      <c r="O186" s="27" t="str">
        <f>IF(I186="","",_xlfn.XLOOKUP(I186,Lists!$C:$C,Lists!$J:$J))</f>
        <v/>
      </c>
      <c r="P186" s="27" t="str">
        <f>IF(I186="","",_xlfn.XLOOKUP(I186,Lists!$C:$C,Lists!$E:$E))</f>
        <v/>
      </c>
      <c r="Q186" s="28" t="str">
        <f t="shared" si="9"/>
        <v/>
      </c>
      <c r="R186" s="26" t="str">
        <f t="shared" ca="1" si="10"/>
        <v/>
      </c>
      <c r="S186" s="27" t="str">
        <f>IF(I186="","",_xlfn.XLOOKUP(I186,Lists!$C:$C,Lists!$I:$I))</f>
        <v/>
      </c>
    </row>
    <row r="187" spans="3:19" x14ac:dyDescent="0.2">
      <c r="C187" s="26">
        <f>_xlfn.XLOOKUP(B187,Lists!B:B,Lists!A:A,"")</f>
        <v>0</v>
      </c>
      <c r="G187" s="26" t="str">
        <f t="shared" si="6"/>
        <v/>
      </c>
      <c r="H187" s="31" t="str">
        <f t="shared" si="7"/>
        <v/>
      </c>
      <c r="J187" s="27" t="str">
        <f>IF(I187="","",_xlfn.XLOOKUP(I187,Lists!$C:$C,Lists!$D:$D))</f>
        <v/>
      </c>
      <c r="N187" s="26" t="str">
        <f t="shared" si="8"/>
        <v/>
      </c>
      <c r="O187" s="27" t="str">
        <f>IF(I187="","",_xlfn.XLOOKUP(I187,Lists!$C:$C,Lists!$J:$J))</f>
        <v/>
      </c>
      <c r="P187" s="27" t="str">
        <f>IF(I187="","",_xlfn.XLOOKUP(I187,Lists!$C:$C,Lists!$E:$E))</f>
        <v/>
      </c>
      <c r="Q187" s="28" t="str">
        <f t="shared" si="9"/>
        <v/>
      </c>
      <c r="R187" s="26" t="str">
        <f t="shared" ca="1" si="10"/>
        <v/>
      </c>
      <c r="S187" s="27" t="str">
        <f>IF(I187="","",_xlfn.XLOOKUP(I187,Lists!$C:$C,Lists!$I:$I))</f>
        <v/>
      </c>
    </row>
    <row r="188" spans="3:19" x14ac:dyDescent="0.2">
      <c r="C188" s="26">
        <f>_xlfn.XLOOKUP(B188,Lists!B:B,Lists!A:A,"")</f>
        <v>0</v>
      </c>
      <c r="G188" s="26" t="str">
        <f t="shared" si="6"/>
        <v/>
      </c>
      <c r="H188" s="31" t="str">
        <f t="shared" si="7"/>
        <v/>
      </c>
      <c r="J188" s="27" t="str">
        <f>IF(I188="","",_xlfn.XLOOKUP(I188,Lists!$C:$C,Lists!$D:$D))</f>
        <v/>
      </c>
      <c r="N188" s="26" t="str">
        <f t="shared" si="8"/>
        <v/>
      </c>
      <c r="O188" s="27" t="str">
        <f>IF(I188="","",_xlfn.XLOOKUP(I188,Lists!$C:$C,Lists!$J:$J))</f>
        <v/>
      </c>
      <c r="P188" s="27" t="str">
        <f>IF(I188="","",_xlfn.XLOOKUP(I188,Lists!$C:$C,Lists!$E:$E))</f>
        <v/>
      </c>
      <c r="Q188" s="28" t="str">
        <f t="shared" si="9"/>
        <v/>
      </c>
      <c r="R188" s="26" t="str">
        <f t="shared" ca="1" si="10"/>
        <v/>
      </c>
      <c r="S188" s="27" t="str">
        <f>IF(I188="","",_xlfn.XLOOKUP(I188,Lists!$C:$C,Lists!$I:$I))</f>
        <v/>
      </c>
    </row>
    <row r="189" spans="3:19" x14ac:dyDescent="0.2">
      <c r="C189" s="26">
        <f>_xlfn.XLOOKUP(B189,Lists!B:B,Lists!A:A,"")</f>
        <v>0</v>
      </c>
      <c r="G189" s="26" t="str">
        <f t="shared" si="6"/>
        <v/>
      </c>
      <c r="H189" s="31" t="str">
        <f t="shared" si="7"/>
        <v/>
      </c>
      <c r="J189" s="27" t="str">
        <f>IF(I189="","",_xlfn.XLOOKUP(I189,Lists!$C:$C,Lists!$D:$D))</f>
        <v/>
      </c>
      <c r="N189" s="26" t="str">
        <f t="shared" si="8"/>
        <v/>
      </c>
      <c r="O189" s="27" t="str">
        <f>IF(I189="","",_xlfn.XLOOKUP(I189,Lists!$C:$C,Lists!$J:$J))</f>
        <v/>
      </c>
      <c r="P189" s="27" t="str">
        <f>IF(I189="","",_xlfn.XLOOKUP(I189,Lists!$C:$C,Lists!$E:$E))</f>
        <v/>
      </c>
      <c r="Q189" s="28" t="str">
        <f t="shared" si="9"/>
        <v/>
      </c>
      <c r="R189" s="26" t="str">
        <f t="shared" ca="1" si="10"/>
        <v/>
      </c>
      <c r="S189" s="27" t="str">
        <f>IF(I189="","",_xlfn.XLOOKUP(I189,Lists!$C:$C,Lists!$I:$I))</f>
        <v/>
      </c>
    </row>
    <row r="190" spans="3:19" x14ac:dyDescent="0.2">
      <c r="C190" s="26">
        <f>_xlfn.XLOOKUP(B190,Lists!B:B,Lists!A:A,"")</f>
        <v>0</v>
      </c>
      <c r="G190" s="26" t="str">
        <f t="shared" si="6"/>
        <v/>
      </c>
      <c r="H190" s="31" t="str">
        <f t="shared" si="7"/>
        <v/>
      </c>
      <c r="J190" s="27" t="str">
        <f>IF(I190="","",_xlfn.XLOOKUP(I190,Lists!$C:$C,Lists!$D:$D))</f>
        <v/>
      </c>
      <c r="N190" s="26" t="str">
        <f t="shared" si="8"/>
        <v/>
      </c>
      <c r="O190" s="27" t="str">
        <f>IF(I190="","",_xlfn.XLOOKUP(I190,Lists!$C:$C,Lists!$J:$J))</f>
        <v/>
      </c>
      <c r="P190" s="27" t="str">
        <f>IF(I190="","",_xlfn.XLOOKUP(I190,Lists!$C:$C,Lists!$E:$E))</f>
        <v/>
      </c>
      <c r="Q190" s="28" t="str">
        <f t="shared" si="9"/>
        <v/>
      </c>
      <c r="R190" s="26" t="str">
        <f t="shared" ca="1" si="10"/>
        <v/>
      </c>
      <c r="S190" s="27" t="str">
        <f>IF(I190="","",_xlfn.XLOOKUP(I190,Lists!$C:$C,Lists!$I:$I))</f>
        <v/>
      </c>
    </row>
    <row r="191" spans="3:19" x14ac:dyDescent="0.2">
      <c r="C191" s="26">
        <f>_xlfn.XLOOKUP(B191,Lists!B:B,Lists!A:A,"")</f>
        <v>0</v>
      </c>
      <c r="G191" s="26" t="str">
        <f t="shared" si="6"/>
        <v/>
      </c>
      <c r="H191" s="31" t="str">
        <f t="shared" si="7"/>
        <v/>
      </c>
      <c r="J191" s="27" t="str">
        <f>IF(I191="","",_xlfn.XLOOKUP(I191,Lists!$C:$C,Lists!$D:$D))</f>
        <v/>
      </c>
      <c r="N191" s="26" t="str">
        <f t="shared" si="8"/>
        <v/>
      </c>
      <c r="O191" s="27" t="str">
        <f>IF(I191="","",_xlfn.XLOOKUP(I191,Lists!$C:$C,Lists!$J:$J))</f>
        <v/>
      </c>
      <c r="P191" s="27" t="str">
        <f>IF(I191="","",_xlfn.XLOOKUP(I191,Lists!$C:$C,Lists!$E:$E))</f>
        <v/>
      </c>
      <c r="Q191" s="28" t="str">
        <f t="shared" si="9"/>
        <v/>
      </c>
      <c r="R191" s="26" t="str">
        <f t="shared" ca="1" si="10"/>
        <v/>
      </c>
      <c r="S191" s="27" t="str">
        <f>IF(I191="","",_xlfn.XLOOKUP(I191,Lists!$C:$C,Lists!$I:$I))</f>
        <v/>
      </c>
    </row>
    <row r="192" spans="3:19" x14ac:dyDescent="0.2">
      <c r="C192" s="26">
        <f>_xlfn.XLOOKUP(B192,Lists!B:B,Lists!A:A,"")</f>
        <v>0</v>
      </c>
      <c r="G192" s="26" t="str">
        <f t="shared" si="6"/>
        <v/>
      </c>
      <c r="H192" s="31" t="str">
        <f t="shared" si="7"/>
        <v/>
      </c>
      <c r="J192" s="27" t="str">
        <f>IF(I192="","",_xlfn.XLOOKUP(I192,Lists!$C:$C,Lists!$D:$D))</f>
        <v/>
      </c>
      <c r="N192" s="26" t="str">
        <f t="shared" si="8"/>
        <v/>
      </c>
      <c r="O192" s="27" t="str">
        <f>IF(I192="","",_xlfn.XLOOKUP(I192,Lists!$C:$C,Lists!$J:$J))</f>
        <v/>
      </c>
      <c r="P192" s="27" t="str">
        <f>IF(I192="","",_xlfn.XLOOKUP(I192,Lists!$C:$C,Lists!$E:$E))</f>
        <v/>
      </c>
      <c r="Q192" s="28" t="str">
        <f t="shared" si="9"/>
        <v/>
      </c>
      <c r="R192" s="26" t="str">
        <f t="shared" ca="1" si="10"/>
        <v/>
      </c>
      <c r="S192" s="27" t="str">
        <f>IF(I192="","",_xlfn.XLOOKUP(I192,Lists!$C:$C,Lists!$I:$I))</f>
        <v/>
      </c>
    </row>
    <row r="193" spans="3:19" x14ac:dyDescent="0.2">
      <c r="C193" s="26">
        <f>_xlfn.XLOOKUP(B193,Lists!B:B,Lists!A:A,"")</f>
        <v>0</v>
      </c>
      <c r="G193" s="26" t="str">
        <f t="shared" si="6"/>
        <v/>
      </c>
      <c r="H193" s="31" t="str">
        <f t="shared" si="7"/>
        <v/>
      </c>
      <c r="J193" s="27" t="str">
        <f>IF(I193="","",_xlfn.XLOOKUP(I193,Lists!$C:$C,Lists!$D:$D))</f>
        <v/>
      </c>
      <c r="N193" s="26" t="str">
        <f t="shared" si="8"/>
        <v/>
      </c>
      <c r="O193" s="27" t="str">
        <f>IF(I193="","",_xlfn.XLOOKUP(I193,Lists!$C:$C,Lists!$J:$J))</f>
        <v/>
      </c>
      <c r="P193" s="27" t="str">
        <f>IF(I193="","",_xlfn.XLOOKUP(I193,Lists!$C:$C,Lists!$E:$E))</f>
        <v/>
      </c>
      <c r="Q193" s="28" t="str">
        <f t="shared" si="9"/>
        <v/>
      </c>
      <c r="R193" s="26" t="str">
        <f t="shared" ca="1" si="10"/>
        <v/>
      </c>
      <c r="S193" s="27" t="str">
        <f>IF(I193="","",_xlfn.XLOOKUP(I193,Lists!$C:$C,Lists!$I:$I))</f>
        <v/>
      </c>
    </row>
    <row r="194" spans="3:19" x14ac:dyDescent="0.2">
      <c r="C194" s="26">
        <f>_xlfn.XLOOKUP(B194,Lists!B:B,Lists!A:A,"")</f>
        <v>0</v>
      </c>
      <c r="G194" s="26" t="str">
        <f t="shared" si="6"/>
        <v/>
      </c>
      <c r="H194" s="31" t="str">
        <f t="shared" si="7"/>
        <v/>
      </c>
      <c r="J194" s="27" t="str">
        <f>IF(I194="","",_xlfn.XLOOKUP(I194,Lists!$C:$C,Lists!$D:$D))</f>
        <v/>
      </c>
      <c r="N194" s="26" t="str">
        <f t="shared" si="8"/>
        <v/>
      </c>
      <c r="O194" s="27" t="str">
        <f>IF(I194="","",_xlfn.XLOOKUP(I194,Lists!$C:$C,Lists!$J:$J))</f>
        <v/>
      </c>
      <c r="P194" s="27" t="str">
        <f>IF(I194="","",_xlfn.XLOOKUP(I194,Lists!$C:$C,Lists!$E:$E))</f>
        <v/>
      </c>
      <c r="Q194" s="28" t="str">
        <f t="shared" si="9"/>
        <v/>
      </c>
      <c r="R194" s="26" t="str">
        <f t="shared" ca="1" si="10"/>
        <v/>
      </c>
      <c r="S194" s="27" t="str">
        <f>IF(I194="","",_xlfn.XLOOKUP(I194,Lists!$C:$C,Lists!$I:$I))</f>
        <v/>
      </c>
    </row>
    <row r="195" spans="3:19" x14ac:dyDescent="0.2">
      <c r="C195" s="26">
        <f>_xlfn.XLOOKUP(B195,Lists!B:B,Lists!A:A,"")</f>
        <v>0</v>
      </c>
      <c r="G195" s="26" t="str">
        <f t="shared" si="6"/>
        <v/>
      </c>
      <c r="H195" s="31" t="str">
        <f t="shared" si="7"/>
        <v/>
      </c>
      <c r="J195" s="27" t="str">
        <f>IF(I195="","",_xlfn.XLOOKUP(I195,Lists!$C:$C,Lists!$D:$D))</f>
        <v/>
      </c>
      <c r="N195" s="26" t="str">
        <f t="shared" si="8"/>
        <v/>
      </c>
      <c r="O195" s="27" t="str">
        <f>IF(I195="","",_xlfn.XLOOKUP(I195,Lists!$C:$C,Lists!$J:$J))</f>
        <v/>
      </c>
      <c r="P195" s="27" t="str">
        <f>IF(I195="","",_xlfn.XLOOKUP(I195,Lists!$C:$C,Lists!$E:$E))</f>
        <v/>
      </c>
      <c r="Q195" s="28" t="str">
        <f t="shared" si="9"/>
        <v/>
      </c>
      <c r="R195" s="26" t="str">
        <f t="shared" ca="1" si="10"/>
        <v/>
      </c>
      <c r="S195" s="27" t="str">
        <f>IF(I195="","",_xlfn.XLOOKUP(I195,Lists!$C:$C,Lists!$I:$I))</f>
        <v/>
      </c>
    </row>
    <row r="196" spans="3:19" x14ac:dyDescent="0.2">
      <c r="C196" s="26">
        <f>_xlfn.XLOOKUP(B196,Lists!B:B,Lists!A:A,"")</f>
        <v>0</v>
      </c>
      <c r="G196" s="26" t="str">
        <f t="shared" si="6"/>
        <v/>
      </c>
      <c r="H196" s="31" t="str">
        <f t="shared" si="7"/>
        <v/>
      </c>
      <c r="J196" s="27" t="str">
        <f>IF(I196="","",_xlfn.XLOOKUP(I196,Lists!$C:$C,Lists!$D:$D))</f>
        <v/>
      </c>
      <c r="N196" s="26" t="str">
        <f t="shared" si="8"/>
        <v/>
      </c>
      <c r="O196" s="27" t="str">
        <f>IF(I196="","",_xlfn.XLOOKUP(I196,Lists!$C:$C,Lists!$J:$J))</f>
        <v/>
      </c>
      <c r="P196" s="27" t="str">
        <f>IF(I196="","",_xlfn.XLOOKUP(I196,Lists!$C:$C,Lists!$E:$E))</f>
        <v/>
      </c>
      <c r="Q196" s="28" t="str">
        <f t="shared" si="9"/>
        <v/>
      </c>
      <c r="R196" s="26" t="str">
        <f t="shared" ca="1" si="10"/>
        <v/>
      </c>
      <c r="S196" s="27" t="str">
        <f>IF(I196="","",_xlfn.XLOOKUP(I196,Lists!$C:$C,Lists!$I:$I))</f>
        <v/>
      </c>
    </row>
    <row r="197" spans="3:19" x14ac:dyDescent="0.2">
      <c r="C197" s="26">
        <f>_xlfn.XLOOKUP(B197,Lists!B:B,Lists!A:A,"")</f>
        <v>0</v>
      </c>
      <c r="G197" s="26" t="str">
        <f t="shared" si="6"/>
        <v/>
      </c>
      <c r="H197" s="31" t="str">
        <f t="shared" si="7"/>
        <v/>
      </c>
      <c r="J197" s="27" t="str">
        <f>IF(I197="","",_xlfn.XLOOKUP(I197,Lists!$C:$C,Lists!$D:$D))</f>
        <v/>
      </c>
      <c r="N197" s="26" t="str">
        <f t="shared" si="8"/>
        <v/>
      </c>
      <c r="O197" s="27" t="str">
        <f>IF(I197="","",_xlfn.XLOOKUP(I197,Lists!$C:$C,Lists!$J:$J))</f>
        <v/>
      </c>
      <c r="P197" s="27" t="str">
        <f>IF(I197="","",_xlfn.XLOOKUP(I197,Lists!$C:$C,Lists!$E:$E))</f>
        <v/>
      </c>
      <c r="Q197" s="28" t="str">
        <f t="shared" si="9"/>
        <v/>
      </c>
      <c r="R197" s="26" t="str">
        <f t="shared" ca="1" si="10"/>
        <v/>
      </c>
      <c r="S197" s="27" t="str">
        <f>IF(I197="","",_xlfn.XLOOKUP(I197,Lists!$C:$C,Lists!$I:$I))</f>
        <v/>
      </c>
    </row>
    <row r="198" spans="3:19" x14ac:dyDescent="0.2">
      <c r="C198" s="26">
        <f>_xlfn.XLOOKUP(B198,Lists!B:B,Lists!A:A,"")</f>
        <v>0</v>
      </c>
      <c r="G198" s="26" t="str">
        <f t="shared" si="6"/>
        <v/>
      </c>
      <c r="H198" s="31" t="str">
        <f t="shared" si="7"/>
        <v/>
      </c>
      <c r="J198" s="27" t="str">
        <f>IF(I198="","",_xlfn.XLOOKUP(I198,Lists!$C:$C,Lists!$D:$D))</f>
        <v/>
      </c>
      <c r="N198" s="26" t="str">
        <f t="shared" si="8"/>
        <v/>
      </c>
      <c r="O198" s="27" t="str">
        <f>IF(I198="","",_xlfn.XLOOKUP(I198,Lists!$C:$C,Lists!$J:$J))</f>
        <v/>
      </c>
      <c r="P198" s="27" t="str">
        <f>IF(I198="","",_xlfn.XLOOKUP(I198,Lists!$C:$C,Lists!$E:$E))</f>
        <v/>
      </c>
      <c r="Q198" s="28" t="str">
        <f t="shared" si="9"/>
        <v/>
      </c>
      <c r="R198" s="26" t="str">
        <f t="shared" ca="1" si="10"/>
        <v/>
      </c>
      <c r="S198" s="27" t="str">
        <f>IF(I198="","",_xlfn.XLOOKUP(I198,Lists!$C:$C,Lists!$I:$I))</f>
        <v/>
      </c>
    </row>
    <row r="199" spans="3:19" x14ac:dyDescent="0.2">
      <c r="C199" s="26">
        <f>_xlfn.XLOOKUP(B199,Lists!B:B,Lists!A:A,"")</f>
        <v>0</v>
      </c>
      <c r="G199" s="26" t="str">
        <f t="shared" si="6"/>
        <v/>
      </c>
      <c r="H199" s="31" t="str">
        <f t="shared" si="7"/>
        <v/>
      </c>
      <c r="J199" s="27" t="str">
        <f>IF(I199="","",_xlfn.XLOOKUP(I199,Lists!$C:$C,Lists!$D:$D))</f>
        <v/>
      </c>
      <c r="N199" s="26" t="str">
        <f t="shared" si="8"/>
        <v/>
      </c>
      <c r="O199" s="27" t="str">
        <f>IF(I199="","",_xlfn.XLOOKUP(I199,Lists!$C:$C,Lists!$J:$J))</f>
        <v/>
      </c>
      <c r="P199" s="27" t="str">
        <f>IF(I199="","",_xlfn.XLOOKUP(I199,Lists!$C:$C,Lists!$E:$E))</f>
        <v/>
      </c>
      <c r="Q199" s="28" t="str">
        <f t="shared" si="9"/>
        <v/>
      </c>
      <c r="R199" s="26" t="str">
        <f t="shared" ca="1" si="10"/>
        <v/>
      </c>
      <c r="S199" s="27" t="str">
        <f>IF(I199="","",_xlfn.XLOOKUP(I199,Lists!$C:$C,Lists!$I:$I))</f>
        <v/>
      </c>
    </row>
    <row r="200" spans="3:19" x14ac:dyDescent="0.2">
      <c r="C200" s="26">
        <f>_xlfn.XLOOKUP(B200,Lists!B:B,Lists!A:A,"")</f>
        <v>0</v>
      </c>
      <c r="G200" s="26" t="str">
        <f t="shared" si="6"/>
        <v/>
      </c>
      <c r="H200" s="31" t="str">
        <f t="shared" si="7"/>
        <v/>
      </c>
      <c r="J200" s="27" t="str">
        <f>IF(I200="","",_xlfn.XLOOKUP(I200,Lists!$C:$C,Lists!$D:$D))</f>
        <v/>
      </c>
      <c r="N200" s="26" t="str">
        <f t="shared" si="8"/>
        <v/>
      </c>
      <c r="O200" s="27" t="str">
        <f>IF(I200="","",_xlfn.XLOOKUP(I200,Lists!$C:$C,Lists!$J:$J))</f>
        <v/>
      </c>
      <c r="P200" s="27" t="str">
        <f>IF(I200="","",_xlfn.XLOOKUP(I200,Lists!$C:$C,Lists!$E:$E))</f>
        <v/>
      </c>
      <c r="Q200" s="28" t="str">
        <f t="shared" si="9"/>
        <v/>
      </c>
      <c r="R200" s="26" t="str">
        <f t="shared" ca="1" si="10"/>
        <v/>
      </c>
      <c r="S200" s="27" t="str">
        <f>IF(I200="","",_xlfn.XLOOKUP(I200,Lists!$C:$C,Lists!$I:$I))</f>
        <v/>
      </c>
    </row>
    <row r="201" spans="3:19" x14ac:dyDescent="0.2">
      <c r="C201" s="26">
        <f>_xlfn.XLOOKUP(B201,Lists!B:B,Lists!A:A,"")</f>
        <v>0</v>
      </c>
      <c r="G201" s="26" t="str">
        <f t="shared" si="6"/>
        <v/>
      </c>
      <c r="H201" s="31" t="str">
        <f t="shared" si="7"/>
        <v/>
      </c>
      <c r="J201" s="27" t="str">
        <f>IF(I201="","",_xlfn.XLOOKUP(I201,Lists!$C:$C,Lists!$D:$D))</f>
        <v/>
      </c>
      <c r="N201" s="26" t="str">
        <f t="shared" si="8"/>
        <v/>
      </c>
      <c r="O201" s="27" t="str">
        <f>IF(I201="","",_xlfn.XLOOKUP(I201,Lists!$C:$C,Lists!$J:$J))</f>
        <v/>
      </c>
      <c r="P201" s="27" t="str">
        <f>IF(I201="","",_xlfn.XLOOKUP(I201,Lists!$C:$C,Lists!$E:$E))</f>
        <v/>
      </c>
      <c r="Q201" s="28" t="str">
        <f t="shared" si="9"/>
        <v/>
      </c>
      <c r="R201" s="26" t="str">
        <f t="shared" ca="1" si="10"/>
        <v/>
      </c>
      <c r="S201" s="27" t="str">
        <f>IF(I201="","",_xlfn.XLOOKUP(I201,Lists!$C:$C,Lists!$I:$I))</f>
        <v/>
      </c>
    </row>
    <row r="202" spans="3:19" x14ac:dyDescent="0.2">
      <c r="C202" s="26">
        <f>_xlfn.XLOOKUP(B202,Lists!B:B,Lists!A:A,"")</f>
        <v>0</v>
      </c>
      <c r="G202" s="26" t="str">
        <f t="shared" si="6"/>
        <v/>
      </c>
      <c r="H202" s="31" t="str">
        <f t="shared" si="7"/>
        <v/>
      </c>
      <c r="J202" s="27" t="str">
        <f>IF(I202="","",_xlfn.XLOOKUP(I202,Lists!$C:$C,Lists!$D:$D))</f>
        <v/>
      </c>
      <c r="N202" s="26" t="str">
        <f t="shared" si="8"/>
        <v/>
      </c>
      <c r="O202" s="27" t="str">
        <f>IF(I202="","",_xlfn.XLOOKUP(I202,Lists!$C:$C,Lists!$J:$J))</f>
        <v/>
      </c>
      <c r="P202" s="27" t="str">
        <f>IF(I202="","",_xlfn.XLOOKUP(I202,Lists!$C:$C,Lists!$E:$E))</f>
        <v/>
      </c>
      <c r="Q202" s="28" t="str">
        <f t="shared" si="9"/>
        <v/>
      </c>
      <c r="R202" s="26" t="str">
        <f t="shared" ca="1" si="10"/>
        <v/>
      </c>
      <c r="S202" s="27" t="str">
        <f>IF(I202="","",_xlfn.XLOOKUP(I202,Lists!$C:$C,Lists!$I:$I))</f>
        <v/>
      </c>
    </row>
    <row r="203" spans="3:19" x14ac:dyDescent="0.2">
      <c r="C203" s="26">
        <f>_xlfn.XLOOKUP(B203,Lists!B:B,Lists!A:A,"")</f>
        <v>0</v>
      </c>
      <c r="G203" s="26" t="str">
        <f t="shared" si="6"/>
        <v/>
      </c>
      <c r="H203" s="31" t="str">
        <f t="shared" si="7"/>
        <v/>
      </c>
      <c r="J203" s="27" t="str">
        <f>IF(I203="","",_xlfn.XLOOKUP(I203,Lists!$C:$C,Lists!$D:$D))</f>
        <v/>
      </c>
      <c r="N203" s="26" t="str">
        <f t="shared" si="8"/>
        <v/>
      </c>
      <c r="O203" s="27" t="str">
        <f>IF(I203="","",_xlfn.XLOOKUP(I203,Lists!$C:$C,Lists!$J:$J))</f>
        <v/>
      </c>
      <c r="P203" s="27" t="str">
        <f>IF(I203="","",_xlfn.XLOOKUP(I203,Lists!$C:$C,Lists!$E:$E))</f>
        <v/>
      </c>
      <c r="Q203" s="28" t="str">
        <f t="shared" si="9"/>
        <v/>
      </c>
      <c r="R203" s="26" t="str">
        <f t="shared" ca="1" si="10"/>
        <v/>
      </c>
      <c r="S203" s="27" t="str">
        <f>IF(I203="","",_xlfn.XLOOKUP(I203,Lists!$C:$C,Lists!$I:$I))</f>
        <v/>
      </c>
    </row>
    <row r="204" spans="3:19" x14ac:dyDescent="0.2">
      <c r="C204" s="26">
        <f>_xlfn.XLOOKUP(B204,Lists!B:B,Lists!A:A,"")</f>
        <v>0</v>
      </c>
      <c r="G204" s="26" t="str">
        <f t="shared" si="6"/>
        <v/>
      </c>
      <c r="H204" s="31" t="str">
        <f t="shared" si="7"/>
        <v/>
      </c>
      <c r="J204" s="27" t="str">
        <f>IF(I204="","",_xlfn.XLOOKUP(I204,Lists!$C:$C,Lists!$D:$D))</f>
        <v/>
      </c>
      <c r="N204" s="26" t="str">
        <f t="shared" si="8"/>
        <v/>
      </c>
      <c r="O204" s="27" t="str">
        <f>IF(I204="","",_xlfn.XLOOKUP(I204,Lists!$C:$C,Lists!$J:$J))</f>
        <v/>
      </c>
      <c r="P204" s="27" t="str">
        <f>IF(I204="","",_xlfn.XLOOKUP(I204,Lists!$C:$C,Lists!$E:$E))</f>
        <v/>
      </c>
      <c r="Q204" s="28" t="str">
        <f t="shared" si="9"/>
        <v/>
      </c>
      <c r="R204" s="26" t="str">
        <f t="shared" ca="1" si="10"/>
        <v/>
      </c>
      <c r="S204" s="27" t="str">
        <f>IF(I204="","",_xlfn.XLOOKUP(I204,Lists!$C:$C,Lists!$I:$I))</f>
        <v/>
      </c>
    </row>
    <row r="205" spans="3:19" x14ac:dyDescent="0.2">
      <c r="C205" s="26">
        <f>_xlfn.XLOOKUP(B205,Lists!B:B,Lists!A:A,"")</f>
        <v>0</v>
      </c>
      <c r="G205" s="26" t="str">
        <f t="shared" si="6"/>
        <v/>
      </c>
      <c r="H205" s="31" t="str">
        <f t="shared" si="7"/>
        <v/>
      </c>
      <c r="J205" s="27" t="str">
        <f>IF(I205="","",_xlfn.XLOOKUP(I205,Lists!$C:$C,Lists!$D:$D))</f>
        <v/>
      </c>
      <c r="N205" s="26" t="str">
        <f t="shared" si="8"/>
        <v/>
      </c>
      <c r="O205" s="27" t="str">
        <f>IF(I205="","",_xlfn.XLOOKUP(I205,Lists!$C:$C,Lists!$J:$J))</f>
        <v/>
      </c>
      <c r="P205" s="27" t="str">
        <f>IF(I205="","",_xlfn.XLOOKUP(I205,Lists!$C:$C,Lists!$E:$E))</f>
        <v/>
      </c>
      <c r="Q205" s="28" t="str">
        <f t="shared" si="9"/>
        <v/>
      </c>
      <c r="R205" s="26" t="str">
        <f t="shared" ca="1" si="10"/>
        <v/>
      </c>
      <c r="S205" s="27" t="str">
        <f>IF(I205="","",_xlfn.XLOOKUP(I205,Lists!$C:$C,Lists!$I:$I))</f>
        <v/>
      </c>
    </row>
    <row r="206" spans="3:19" x14ac:dyDescent="0.2">
      <c r="C206" s="26">
        <f>_xlfn.XLOOKUP(B206,Lists!B:B,Lists!A:A,"")</f>
        <v>0</v>
      </c>
      <c r="G206" s="26" t="str">
        <f t="shared" si="6"/>
        <v/>
      </c>
      <c r="H206" s="31" t="str">
        <f t="shared" si="7"/>
        <v/>
      </c>
      <c r="J206" s="27" t="str">
        <f>IF(I206="","",_xlfn.XLOOKUP(I206,Lists!$C:$C,Lists!$D:$D))</f>
        <v/>
      </c>
      <c r="N206" s="26" t="str">
        <f t="shared" si="8"/>
        <v/>
      </c>
      <c r="O206" s="27" t="str">
        <f>IF(I206="","",_xlfn.XLOOKUP(I206,Lists!$C:$C,Lists!$J:$J))</f>
        <v/>
      </c>
      <c r="P206" s="27" t="str">
        <f>IF(I206="","",_xlfn.XLOOKUP(I206,Lists!$C:$C,Lists!$E:$E))</f>
        <v/>
      </c>
      <c r="Q206" s="28" t="str">
        <f t="shared" si="9"/>
        <v/>
      </c>
      <c r="R206" s="26" t="str">
        <f t="shared" ca="1" si="10"/>
        <v/>
      </c>
      <c r="S206" s="27" t="str">
        <f>IF(I206="","",_xlfn.XLOOKUP(I206,Lists!$C:$C,Lists!$I:$I))</f>
        <v/>
      </c>
    </row>
    <row r="207" spans="3:19" x14ac:dyDescent="0.2">
      <c r="C207" s="26">
        <f>_xlfn.XLOOKUP(B207,Lists!B:B,Lists!A:A,"")</f>
        <v>0</v>
      </c>
      <c r="G207" s="26" t="str">
        <f t="shared" si="6"/>
        <v/>
      </c>
      <c r="H207" s="31" t="str">
        <f t="shared" si="7"/>
        <v/>
      </c>
      <c r="J207" s="27" t="str">
        <f>IF(I207="","",_xlfn.XLOOKUP(I207,Lists!$C:$C,Lists!$D:$D))</f>
        <v/>
      </c>
      <c r="N207" s="26" t="str">
        <f t="shared" si="8"/>
        <v/>
      </c>
      <c r="O207" s="27" t="str">
        <f>IF(I207="","",_xlfn.XLOOKUP(I207,Lists!$C:$C,Lists!$J:$J))</f>
        <v/>
      </c>
      <c r="P207" s="27" t="str">
        <f>IF(I207="","",_xlfn.XLOOKUP(I207,Lists!$C:$C,Lists!$E:$E))</f>
        <v/>
      </c>
      <c r="Q207" s="28" t="str">
        <f t="shared" si="9"/>
        <v/>
      </c>
      <c r="R207" s="26" t="str">
        <f t="shared" ca="1" si="10"/>
        <v/>
      </c>
      <c r="S207" s="27" t="str">
        <f>IF(I207="","",_xlfn.XLOOKUP(I207,Lists!$C:$C,Lists!$I:$I))</f>
        <v/>
      </c>
    </row>
    <row r="208" spans="3:19" x14ac:dyDescent="0.2">
      <c r="C208" s="26">
        <f>_xlfn.XLOOKUP(B208,Lists!B:B,Lists!A:A,"")</f>
        <v>0</v>
      </c>
      <c r="G208" s="26" t="str">
        <f t="shared" si="6"/>
        <v/>
      </c>
      <c r="H208" s="31" t="str">
        <f t="shared" si="7"/>
        <v/>
      </c>
      <c r="J208" s="27" t="str">
        <f>IF(I208="","",_xlfn.XLOOKUP(I208,Lists!$C:$C,Lists!$D:$D))</f>
        <v/>
      </c>
      <c r="N208" s="26" t="str">
        <f t="shared" si="8"/>
        <v/>
      </c>
      <c r="O208" s="27" t="str">
        <f>IF(I208="","",_xlfn.XLOOKUP(I208,Lists!$C:$C,Lists!$J:$J))</f>
        <v/>
      </c>
      <c r="P208" s="27" t="str">
        <f>IF(I208="","",_xlfn.XLOOKUP(I208,Lists!$C:$C,Lists!$E:$E))</f>
        <v/>
      </c>
      <c r="Q208" s="28" t="str">
        <f t="shared" si="9"/>
        <v/>
      </c>
      <c r="R208" s="26" t="str">
        <f t="shared" ca="1" si="10"/>
        <v/>
      </c>
      <c r="S208" s="27" t="str">
        <f>IF(I208="","",_xlfn.XLOOKUP(I208,Lists!$C:$C,Lists!$I:$I))</f>
        <v/>
      </c>
    </row>
    <row r="209" spans="3:19" x14ac:dyDescent="0.2">
      <c r="C209" s="26">
        <f>_xlfn.XLOOKUP(B209,Lists!B:B,Lists!A:A,"")</f>
        <v>0</v>
      </c>
      <c r="G209" s="26" t="str">
        <f t="shared" si="6"/>
        <v/>
      </c>
      <c r="H209" s="31" t="str">
        <f t="shared" si="7"/>
        <v/>
      </c>
      <c r="J209" s="27" t="str">
        <f>IF(I209="","",_xlfn.XLOOKUP(I209,Lists!$C:$C,Lists!$D:$D))</f>
        <v/>
      </c>
      <c r="N209" s="26" t="str">
        <f t="shared" si="8"/>
        <v/>
      </c>
      <c r="O209" s="27" t="str">
        <f>IF(I209="","",_xlfn.XLOOKUP(I209,Lists!$C:$C,Lists!$J:$J))</f>
        <v/>
      </c>
      <c r="P209" s="27" t="str">
        <f>IF(I209="","",_xlfn.XLOOKUP(I209,Lists!$C:$C,Lists!$E:$E))</f>
        <v/>
      </c>
      <c r="Q209" s="28" t="str">
        <f t="shared" si="9"/>
        <v/>
      </c>
      <c r="R209" s="26" t="str">
        <f t="shared" ca="1" si="10"/>
        <v/>
      </c>
      <c r="S209" s="27" t="str">
        <f>IF(I209="","",_xlfn.XLOOKUP(I209,Lists!$C:$C,Lists!$I:$I))</f>
        <v/>
      </c>
    </row>
    <row r="210" spans="3:19" x14ac:dyDescent="0.2">
      <c r="C210" s="26">
        <f>_xlfn.XLOOKUP(B210,Lists!B:B,Lists!A:A,"")</f>
        <v>0</v>
      </c>
      <c r="G210" s="26" t="str">
        <f t="shared" si="6"/>
        <v/>
      </c>
      <c r="H210" s="31" t="str">
        <f t="shared" si="7"/>
        <v/>
      </c>
      <c r="J210" s="27" t="str">
        <f>IF(I210="","",_xlfn.XLOOKUP(I210,Lists!$C:$C,Lists!$D:$D))</f>
        <v/>
      </c>
      <c r="N210" s="26" t="str">
        <f t="shared" si="8"/>
        <v/>
      </c>
      <c r="O210" s="27" t="str">
        <f>IF(I210="","",_xlfn.XLOOKUP(I210,Lists!$C:$C,Lists!$J:$J))</f>
        <v/>
      </c>
      <c r="P210" s="27" t="str">
        <f>IF(I210="","",_xlfn.XLOOKUP(I210,Lists!$C:$C,Lists!$E:$E))</f>
        <v/>
      </c>
      <c r="Q210" s="28" t="str">
        <f t="shared" si="9"/>
        <v/>
      </c>
      <c r="R210" s="26" t="str">
        <f t="shared" ca="1" si="10"/>
        <v/>
      </c>
      <c r="S210" s="27" t="str">
        <f>IF(I210="","",_xlfn.XLOOKUP(I210,Lists!$C:$C,Lists!$I:$I))</f>
        <v/>
      </c>
    </row>
    <row r="211" spans="3:19" x14ac:dyDescent="0.2">
      <c r="C211" s="26">
        <f>_xlfn.XLOOKUP(B211,Lists!B:B,Lists!A:A,"")</f>
        <v>0</v>
      </c>
      <c r="G211" s="26" t="str">
        <f t="shared" si="6"/>
        <v/>
      </c>
      <c r="H211" s="31" t="str">
        <f t="shared" si="7"/>
        <v/>
      </c>
      <c r="J211" s="27" t="str">
        <f>IF(I211="","",_xlfn.XLOOKUP(I211,Lists!$C:$C,Lists!$D:$D))</f>
        <v/>
      </c>
      <c r="N211" s="26" t="str">
        <f t="shared" si="8"/>
        <v/>
      </c>
      <c r="O211" s="27" t="str">
        <f>IF(I211="","",_xlfn.XLOOKUP(I211,Lists!$C:$C,Lists!$J:$J))</f>
        <v/>
      </c>
      <c r="P211" s="27" t="str">
        <f>IF(I211="","",_xlfn.XLOOKUP(I211,Lists!$C:$C,Lists!$E:$E))</f>
        <v/>
      </c>
      <c r="Q211" s="28" t="str">
        <f t="shared" si="9"/>
        <v/>
      </c>
      <c r="R211" s="26" t="str">
        <f t="shared" ca="1" si="10"/>
        <v/>
      </c>
      <c r="S211" s="27" t="str">
        <f>IF(I211="","",_xlfn.XLOOKUP(I211,Lists!$C:$C,Lists!$I:$I))</f>
        <v/>
      </c>
    </row>
    <row r="212" spans="3:19" x14ac:dyDescent="0.2">
      <c r="C212" s="26">
        <f>_xlfn.XLOOKUP(B212,Lists!B:B,Lists!A:A,"")</f>
        <v>0</v>
      </c>
      <c r="G212" s="26" t="str">
        <f t="shared" si="6"/>
        <v/>
      </c>
      <c r="H212" s="31" t="str">
        <f t="shared" si="7"/>
        <v/>
      </c>
      <c r="J212" s="27" t="str">
        <f>IF(I212="","",_xlfn.XLOOKUP(I212,Lists!$C:$C,Lists!$D:$D))</f>
        <v/>
      </c>
      <c r="N212" s="26" t="str">
        <f t="shared" si="8"/>
        <v/>
      </c>
      <c r="O212" s="27" t="str">
        <f>IF(I212="","",_xlfn.XLOOKUP(I212,Lists!$C:$C,Lists!$J:$J))</f>
        <v/>
      </c>
      <c r="P212" s="27" t="str">
        <f>IF(I212="","",_xlfn.XLOOKUP(I212,Lists!$C:$C,Lists!$E:$E))</f>
        <v/>
      </c>
      <c r="Q212" s="28" t="str">
        <f t="shared" si="9"/>
        <v/>
      </c>
      <c r="R212" s="26" t="str">
        <f t="shared" ca="1" si="10"/>
        <v/>
      </c>
      <c r="S212" s="27" t="str">
        <f>IF(I212="","",_xlfn.XLOOKUP(I212,Lists!$C:$C,Lists!$I:$I))</f>
        <v/>
      </c>
    </row>
    <row r="213" spans="3:19" x14ac:dyDescent="0.2">
      <c r="C213" s="26">
        <f>_xlfn.XLOOKUP(B213,Lists!B:B,Lists!A:A,"")</f>
        <v>0</v>
      </c>
      <c r="G213" s="26" t="str">
        <f t="shared" si="6"/>
        <v/>
      </c>
      <c r="H213" s="31" t="str">
        <f t="shared" si="7"/>
        <v/>
      </c>
      <c r="J213" s="27" t="str">
        <f>IF(I213="","",_xlfn.XLOOKUP(I213,Lists!$C:$C,Lists!$D:$D))</f>
        <v/>
      </c>
      <c r="N213" s="26" t="str">
        <f t="shared" si="8"/>
        <v/>
      </c>
      <c r="O213" s="27" t="str">
        <f>IF(I213="","",_xlfn.XLOOKUP(I213,Lists!$C:$C,Lists!$J:$J))</f>
        <v/>
      </c>
      <c r="P213" s="27" t="str">
        <f>IF(I213="","",_xlfn.XLOOKUP(I213,Lists!$C:$C,Lists!$E:$E))</f>
        <v/>
      </c>
      <c r="Q213" s="28" t="str">
        <f t="shared" si="9"/>
        <v/>
      </c>
      <c r="R213" s="26" t="str">
        <f t="shared" ca="1" si="10"/>
        <v/>
      </c>
      <c r="S213" s="27" t="str">
        <f>IF(I213="","",_xlfn.XLOOKUP(I213,Lists!$C:$C,Lists!$I:$I))</f>
        <v/>
      </c>
    </row>
    <row r="214" spans="3:19" x14ac:dyDescent="0.2">
      <c r="C214" s="26">
        <f>_xlfn.XLOOKUP(B214,Lists!B:B,Lists!A:A,"")</f>
        <v>0</v>
      </c>
      <c r="G214" s="26" t="str">
        <f t="shared" si="6"/>
        <v/>
      </c>
      <c r="H214" s="31" t="str">
        <f t="shared" si="7"/>
        <v/>
      </c>
      <c r="J214" s="27" t="str">
        <f>IF(I214="","",_xlfn.XLOOKUP(I214,Lists!$C:$C,Lists!$D:$D))</f>
        <v/>
      </c>
      <c r="N214" s="26" t="str">
        <f t="shared" si="8"/>
        <v/>
      </c>
      <c r="O214" s="27" t="str">
        <f>IF(I214="","",_xlfn.XLOOKUP(I214,Lists!$C:$C,Lists!$J:$J))</f>
        <v/>
      </c>
      <c r="P214" s="27" t="str">
        <f>IF(I214="","",_xlfn.XLOOKUP(I214,Lists!$C:$C,Lists!$E:$E))</f>
        <v/>
      </c>
      <c r="Q214" s="28" t="str">
        <f t="shared" si="9"/>
        <v/>
      </c>
      <c r="R214" s="26" t="str">
        <f t="shared" ca="1" si="10"/>
        <v/>
      </c>
      <c r="S214" s="27" t="str">
        <f>IF(I214="","",_xlfn.XLOOKUP(I214,Lists!$C:$C,Lists!$I:$I))</f>
        <v/>
      </c>
    </row>
    <row r="215" spans="3:19" x14ac:dyDescent="0.2">
      <c r="C215" s="26">
        <f>_xlfn.XLOOKUP(B215,Lists!B:B,Lists!A:A,"")</f>
        <v>0</v>
      </c>
      <c r="G215" s="26" t="str">
        <f t="shared" si="6"/>
        <v/>
      </c>
      <c r="H215" s="31" t="str">
        <f t="shared" si="7"/>
        <v/>
      </c>
      <c r="J215" s="27" t="str">
        <f>IF(I215="","",_xlfn.XLOOKUP(I215,Lists!$C:$C,Lists!$D:$D))</f>
        <v/>
      </c>
      <c r="N215" s="26" t="str">
        <f t="shared" si="8"/>
        <v/>
      </c>
      <c r="O215" s="27" t="str">
        <f>IF(I215="","",_xlfn.XLOOKUP(I215,Lists!$C:$C,Lists!$J:$J))</f>
        <v/>
      </c>
      <c r="P215" s="27" t="str">
        <f>IF(I215="","",_xlfn.XLOOKUP(I215,Lists!$C:$C,Lists!$E:$E))</f>
        <v/>
      </c>
      <c r="Q215" s="28" t="str">
        <f t="shared" si="9"/>
        <v/>
      </c>
      <c r="R215" s="26" t="str">
        <f t="shared" ca="1" si="10"/>
        <v/>
      </c>
      <c r="S215" s="27" t="str">
        <f>IF(I215="","",_xlfn.XLOOKUP(I215,Lists!$C:$C,Lists!$I:$I))</f>
        <v/>
      </c>
    </row>
    <row r="216" spans="3:19" x14ac:dyDescent="0.2">
      <c r="C216" s="26">
        <f>_xlfn.XLOOKUP(B216,Lists!B:B,Lists!A:A,"")</f>
        <v>0</v>
      </c>
      <c r="G216" s="26" t="str">
        <f t="shared" si="6"/>
        <v/>
      </c>
      <c r="H216" s="31" t="str">
        <f t="shared" si="7"/>
        <v/>
      </c>
      <c r="J216" s="27" t="str">
        <f>IF(I216="","",_xlfn.XLOOKUP(I216,Lists!$C:$C,Lists!$D:$D))</f>
        <v/>
      </c>
      <c r="N216" s="26" t="str">
        <f t="shared" si="8"/>
        <v/>
      </c>
      <c r="O216" s="27" t="str">
        <f>IF(I216="","",_xlfn.XLOOKUP(I216,Lists!$C:$C,Lists!$J:$J))</f>
        <v/>
      </c>
      <c r="P216" s="27" t="str">
        <f>IF(I216="","",_xlfn.XLOOKUP(I216,Lists!$C:$C,Lists!$E:$E))</f>
        <v/>
      </c>
      <c r="Q216" s="28" t="str">
        <f t="shared" si="9"/>
        <v/>
      </c>
      <c r="R216" s="26" t="str">
        <f t="shared" ca="1" si="10"/>
        <v/>
      </c>
      <c r="S216" s="27" t="str">
        <f>IF(I216="","",_xlfn.XLOOKUP(I216,Lists!$C:$C,Lists!$I:$I))</f>
        <v/>
      </c>
    </row>
    <row r="217" spans="3:19" x14ac:dyDescent="0.2">
      <c r="C217" s="26">
        <f>_xlfn.XLOOKUP(B217,Lists!B:B,Lists!A:A,"")</f>
        <v>0</v>
      </c>
      <c r="G217" s="26" t="str">
        <f t="shared" si="6"/>
        <v/>
      </c>
      <c r="H217" s="31" t="str">
        <f t="shared" si="7"/>
        <v/>
      </c>
      <c r="J217" s="27" t="str">
        <f>IF(I217="","",_xlfn.XLOOKUP(I217,Lists!$C:$C,Lists!$D:$D))</f>
        <v/>
      </c>
      <c r="N217" s="26" t="str">
        <f t="shared" si="8"/>
        <v/>
      </c>
      <c r="O217" s="27" t="str">
        <f>IF(I217="","",_xlfn.XLOOKUP(I217,Lists!$C:$C,Lists!$J:$J))</f>
        <v/>
      </c>
      <c r="P217" s="27" t="str">
        <f>IF(I217="","",_xlfn.XLOOKUP(I217,Lists!$C:$C,Lists!$E:$E))</f>
        <v/>
      </c>
      <c r="Q217" s="28" t="str">
        <f t="shared" si="9"/>
        <v/>
      </c>
      <c r="R217" s="26" t="str">
        <f t="shared" ca="1" si="10"/>
        <v/>
      </c>
      <c r="S217" s="27" t="str">
        <f>IF(I217="","",_xlfn.XLOOKUP(I217,Lists!$C:$C,Lists!$I:$I))</f>
        <v/>
      </c>
    </row>
    <row r="218" spans="3:19" x14ac:dyDescent="0.2">
      <c r="C218" s="26">
        <f>_xlfn.XLOOKUP(B218,Lists!B:B,Lists!A:A,"")</f>
        <v>0</v>
      </c>
      <c r="G218" s="26" t="str">
        <f t="shared" si="6"/>
        <v/>
      </c>
      <c r="H218" s="31" t="str">
        <f t="shared" si="7"/>
        <v/>
      </c>
      <c r="J218" s="27" t="str">
        <f>IF(I218="","",_xlfn.XLOOKUP(I218,Lists!$C:$C,Lists!$D:$D))</f>
        <v/>
      </c>
      <c r="N218" s="26" t="str">
        <f t="shared" si="8"/>
        <v/>
      </c>
      <c r="O218" s="27" t="str">
        <f>IF(I218="","",_xlfn.XLOOKUP(I218,Lists!$C:$C,Lists!$J:$J))</f>
        <v/>
      </c>
      <c r="P218" s="27" t="str">
        <f>IF(I218="","",_xlfn.XLOOKUP(I218,Lists!$C:$C,Lists!$E:$E))</f>
        <v/>
      </c>
      <c r="Q218" s="28" t="str">
        <f t="shared" si="9"/>
        <v/>
      </c>
      <c r="R218" s="26" t="str">
        <f t="shared" ca="1" si="10"/>
        <v/>
      </c>
      <c r="S218" s="27" t="str">
        <f>IF(I218="","",_xlfn.XLOOKUP(I218,Lists!$C:$C,Lists!$I:$I))</f>
        <v/>
      </c>
    </row>
    <row r="219" spans="3:19" x14ac:dyDescent="0.2">
      <c r="C219" s="26">
        <f>_xlfn.XLOOKUP(B219,Lists!B:B,Lists!A:A,"")</f>
        <v>0</v>
      </c>
      <c r="G219" s="26" t="str">
        <f t="shared" ref="G219:G282" si="11">IF(OR(E219="",F219=""),"",F219-E219+1)</f>
        <v/>
      </c>
      <c r="H219" s="31" t="str">
        <f t="shared" ref="H219:H282" si="12">IF(D219="","",IF(OR(D219="A",D219="B"),G219/80,IF(D219="A&amp;B",G219/160,"")))</f>
        <v/>
      </c>
      <c r="J219" s="27" t="str">
        <f>IF(I219="","",_xlfn.XLOOKUP(I219,Lists!$C:$C,Lists!$D:$D))</f>
        <v/>
      </c>
      <c r="N219" s="26" t="str">
        <f t="shared" ref="N219:N282" si="13">IF(OR(M219="",L219=""),"",(M219*L219)/100000)</f>
        <v/>
      </c>
      <c r="O219" s="27" t="str">
        <f>IF(I219="","",_xlfn.XLOOKUP(I219,Lists!$C:$C,Lists!$J:$J))</f>
        <v/>
      </c>
      <c r="P219" s="27" t="str">
        <f>IF(I219="","",_xlfn.XLOOKUP(I219,Lists!$C:$C,Lists!$E:$E))</f>
        <v/>
      </c>
      <c r="Q219" s="28" t="str">
        <f t="shared" ref="Q219:Q282" si="14">IF(OR(A219="",P219=""),"",A219+P219+1)</f>
        <v/>
      </c>
      <c r="R219" s="26" t="str">
        <f t="shared" ref="R219:R282" ca="1" si="15">IF(Q219="","",IF(Q219&lt;=TODAY(),"Allow","Not Allow"))</f>
        <v/>
      </c>
      <c r="S219" s="27" t="str">
        <f>IF(I219="","",_xlfn.XLOOKUP(I219,Lists!$C:$C,Lists!$I:$I))</f>
        <v/>
      </c>
    </row>
    <row r="220" spans="3:19" x14ac:dyDescent="0.2">
      <c r="C220" s="26">
        <f>_xlfn.XLOOKUP(B220,Lists!B:B,Lists!A:A,"")</f>
        <v>0</v>
      </c>
      <c r="G220" s="26" t="str">
        <f t="shared" si="11"/>
        <v/>
      </c>
      <c r="H220" s="31" t="str">
        <f t="shared" si="12"/>
        <v/>
      </c>
      <c r="J220" s="27" t="str">
        <f>IF(I220="","",_xlfn.XLOOKUP(I220,Lists!$C:$C,Lists!$D:$D))</f>
        <v/>
      </c>
      <c r="N220" s="26" t="str">
        <f t="shared" si="13"/>
        <v/>
      </c>
      <c r="O220" s="27" t="str">
        <f>IF(I220="","",_xlfn.XLOOKUP(I220,Lists!$C:$C,Lists!$J:$J))</f>
        <v/>
      </c>
      <c r="P220" s="27" t="str">
        <f>IF(I220="","",_xlfn.XLOOKUP(I220,Lists!$C:$C,Lists!$E:$E))</f>
        <v/>
      </c>
      <c r="Q220" s="28" t="str">
        <f t="shared" si="14"/>
        <v/>
      </c>
      <c r="R220" s="26" t="str">
        <f t="shared" ca="1" si="15"/>
        <v/>
      </c>
      <c r="S220" s="27" t="str">
        <f>IF(I220="","",_xlfn.XLOOKUP(I220,Lists!$C:$C,Lists!$I:$I))</f>
        <v/>
      </c>
    </row>
    <row r="221" spans="3:19" x14ac:dyDescent="0.2">
      <c r="C221" s="26">
        <f>_xlfn.XLOOKUP(B221,Lists!B:B,Lists!A:A,"")</f>
        <v>0</v>
      </c>
      <c r="G221" s="26" t="str">
        <f t="shared" si="11"/>
        <v/>
      </c>
      <c r="H221" s="31" t="str">
        <f t="shared" si="12"/>
        <v/>
      </c>
      <c r="J221" s="27" t="str">
        <f>IF(I221="","",_xlfn.XLOOKUP(I221,Lists!$C:$C,Lists!$D:$D))</f>
        <v/>
      </c>
      <c r="N221" s="26" t="str">
        <f t="shared" si="13"/>
        <v/>
      </c>
      <c r="O221" s="27" t="str">
        <f>IF(I221="","",_xlfn.XLOOKUP(I221,Lists!$C:$C,Lists!$J:$J))</f>
        <v/>
      </c>
      <c r="P221" s="27" t="str">
        <f>IF(I221="","",_xlfn.XLOOKUP(I221,Lists!$C:$C,Lists!$E:$E))</f>
        <v/>
      </c>
      <c r="Q221" s="28" t="str">
        <f t="shared" si="14"/>
        <v/>
      </c>
      <c r="R221" s="26" t="str">
        <f t="shared" ca="1" si="15"/>
        <v/>
      </c>
      <c r="S221" s="27" t="str">
        <f>IF(I221="","",_xlfn.XLOOKUP(I221,Lists!$C:$C,Lists!$I:$I))</f>
        <v/>
      </c>
    </row>
    <row r="222" spans="3:19" x14ac:dyDescent="0.2">
      <c r="C222" s="26">
        <f>_xlfn.XLOOKUP(B222,Lists!B:B,Lists!A:A,"")</f>
        <v>0</v>
      </c>
      <c r="G222" s="26" t="str">
        <f t="shared" si="11"/>
        <v/>
      </c>
      <c r="H222" s="31" t="str">
        <f t="shared" si="12"/>
        <v/>
      </c>
      <c r="J222" s="27" t="str">
        <f>IF(I222="","",_xlfn.XLOOKUP(I222,Lists!$C:$C,Lists!$D:$D))</f>
        <v/>
      </c>
      <c r="N222" s="26" t="str">
        <f t="shared" si="13"/>
        <v/>
      </c>
      <c r="O222" s="27" t="str">
        <f>IF(I222="","",_xlfn.XLOOKUP(I222,Lists!$C:$C,Lists!$J:$J))</f>
        <v/>
      </c>
      <c r="P222" s="27" t="str">
        <f>IF(I222="","",_xlfn.XLOOKUP(I222,Lists!$C:$C,Lists!$E:$E))</f>
        <v/>
      </c>
      <c r="Q222" s="28" t="str">
        <f t="shared" si="14"/>
        <v/>
      </c>
      <c r="R222" s="26" t="str">
        <f t="shared" ca="1" si="15"/>
        <v/>
      </c>
      <c r="S222" s="27" t="str">
        <f>IF(I222="","",_xlfn.XLOOKUP(I222,Lists!$C:$C,Lists!$I:$I))</f>
        <v/>
      </c>
    </row>
    <row r="223" spans="3:19" x14ac:dyDescent="0.2">
      <c r="C223" s="26">
        <f>_xlfn.XLOOKUP(B223,Lists!B:B,Lists!A:A,"")</f>
        <v>0</v>
      </c>
      <c r="G223" s="26" t="str">
        <f t="shared" si="11"/>
        <v/>
      </c>
      <c r="H223" s="31" t="str">
        <f t="shared" si="12"/>
        <v/>
      </c>
      <c r="J223" s="27" t="str">
        <f>IF(I223="","",_xlfn.XLOOKUP(I223,Lists!$C:$C,Lists!$D:$D))</f>
        <v/>
      </c>
      <c r="N223" s="26" t="str">
        <f t="shared" si="13"/>
        <v/>
      </c>
      <c r="O223" s="27" t="str">
        <f>IF(I223="","",_xlfn.XLOOKUP(I223,Lists!$C:$C,Lists!$J:$J))</f>
        <v/>
      </c>
      <c r="P223" s="27" t="str">
        <f>IF(I223="","",_xlfn.XLOOKUP(I223,Lists!$C:$C,Lists!$E:$E))</f>
        <v/>
      </c>
      <c r="Q223" s="28" t="str">
        <f t="shared" si="14"/>
        <v/>
      </c>
      <c r="R223" s="26" t="str">
        <f t="shared" ca="1" si="15"/>
        <v/>
      </c>
      <c r="S223" s="27" t="str">
        <f>IF(I223="","",_xlfn.XLOOKUP(I223,Lists!$C:$C,Lists!$I:$I))</f>
        <v/>
      </c>
    </row>
    <row r="224" spans="3:19" x14ac:dyDescent="0.2">
      <c r="C224" s="26">
        <f>_xlfn.XLOOKUP(B224,Lists!B:B,Lists!A:A,"")</f>
        <v>0</v>
      </c>
      <c r="G224" s="26" t="str">
        <f t="shared" si="11"/>
        <v/>
      </c>
      <c r="H224" s="31" t="str">
        <f t="shared" si="12"/>
        <v/>
      </c>
      <c r="J224" s="27" t="str">
        <f>IF(I224="","",_xlfn.XLOOKUP(I224,Lists!$C:$C,Lists!$D:$D))</f>
        <v/>
      </c>
      <c r="N224" s="26" t="str">
        <f t="shared" si="13"/>
        <v/>
      </c>
      <c r="O224" s="27" t="str">
        <f>IF(I224="","",_xlfn.XLOOKUP(I224,Lists!$C:$C,Lists!$J:$J))</f>
        <v/>
      </c>
      <c r="P224" s="27" t="str">
        <f>IF(I224="","",_xlfn.XLOOKUP(I224,Lists!$C:$C,Lists!$E:$E))</f>
        <v/>
      </c>
      <c r="Q224" s="28" t="str">
        <f t="shared" si="14"/>
        <v/>
      </c>
      <c r="R224" s="26" t="str">
        <f t="shared" ca="1" si="15"/>
        <v/>
      </c>
      <c r="S224" s="27" t="str">
        <f>IF(I224="","",_xlfn.XLOOKUP(I224,Lists!$C:$C,Lists!$I:$I))</f>
        <v/>
      </c>
    </row>
    <row r="225" spans="3:19" x14ac:dyDescent="0.2">
      <c r="C225" s="26">
        <f>_xlfn.XLOOKUP(B225,Lists!B:B,Lists!A:A,"")</f>
        <v>0</v>
      </c>
      <c r="G225" s="26" t="str">
        <f t="shared" si="11"/>
        <v/>
      </c>
      <c r="H225" s="31" t="str">
        <f t="shared" si="12"/>
        <v/>
      </c>
      <c r="J225" s="27" t="str">
        <f>IF(I225="","",_xlfn.XLOOKUP(I225,Lists!$C:$C,Lists!$D:$D))</f>
        <v/>
      </c>
      <c r="N225" s="26" t="str">
        <f t="shared" si="13"/>
        <v/>
      </c>
      <c r="O225" s="27" t="str">
        <f>IF(I225="","",_xlfn.XLOOKUP(I225,Lists!$C:$C,Lists!$J:$J))</f>
        <v/>
      </c>
      <c r="P225" s="27" t="str">
        <f>IF(I225="","",_xlfn.XLOOKUP(I225,Lists!$C:$C,Lists!$E:$E))</f>
        <v/>
      </c>
      <c r="Q225" s="28" t="str">
        <f t="shared" si="14"/>
        <v/>
      </c>
      <c r="R225" s="26" t="str">
        <f t="shared" ca="1" si="15"/>
        <v/>
      </c>
      <c r="S225" s="27" t="str">
        <f>IF(I225="","",_xlfn.XLOOKUP(I225,Lists!$C:$C,Lists!$I:$I))</f>
        <v/>
      </c>
    </row>
    <row r="226" spans="3:19" x14ac:dyDescent="0.2">
      <c r="C226" s="26">
        <f>_xlfn.XLOOKUP(B226,Lists!B:B,Lists!A:A,"")</f>
        <v>0</v>
      </c>
      <c r="G226" s="26" t="str">
        <f t="shared" si="11"/>
        <v/>
      </c>
      <c r="H226" s="31" t="str">
        <f t="shared" si="12"/>
        <v/>
      </c>
      <c r="J226" s="27" t="str">
        <f>IF(I226="","",_xlfn.XLOOKUP(I226,Lists!$C:$C,Lists!$D:$D))</f>
        <v/>
      </c>
      <c r="N226" s="26" t="str">
        <f t="shared" si="13"/>
        <v/>
      </c>
      <c r="O226" s="27" t="str">
        <f>IF(I226="","",_xlfn.XLOOKUP(I226,Lists!$C:$C,Lists!$J:$J))</f>
        <v/>
      </c>
      <c r="P226" s="27" t="str">
        <f>IF(I226="","",_xlfn.XLOOKUP(I226,Lists!$C:$C,Lists!$E:$E))</f>
        <v/>
      </c>
      <c r="Q226" s="28" t="str">
        <f t="shared" si="14"/>
        <v/>
      </c>
      <c r="R226" s="26" t="str">
        <f t="shared" ca="1" si="15"/>
        <v/>
      </c>
      <c r="S226" s="27" t="str">
        <f>IF(I226="","",_xlfn.XLOOKUP(I226,Lists!$C:$C,Lists!$I:$I))</f>
        <v/>
      </c>
    </row>
    <row r="227" spans="3:19" x14ac:dyDescent="0.2">
      <c r="C227" s="26">
        <f>_xlfn.XLOOKUP(B227,Lists!B:B,Lists!A:A,"")</f>
        <v>0</v>
      </c>
      <c r="G227" s="26" t="str">
        <f t="shared" si="11"/>
        <v/>
      </c>
      <c r="H227" s="31" t="str">
        <f t="shared" si="12"/>
        <v/>
      </c>
      <c r="J227" s="27" t="str">
        <f>IF(I227="","",_xlfn.XLOOKUP(I227,Lists!$C:$C,Lists!$D:$D))</f>
        <v/>
      </c>
      <c r="N227" s="26" t="str">
        <f t="shared" si="13"/>
        <v/>
      </c>
      <c r="O227" s="27" t="str">
        <f>IF(I227="","",_xlfn.XLOOKUP(I227,Lists!$C:$C,Lists!$J:$J))</f>
        <v/>
      </c>
      <c r="P227" s="27" t="str">
        <f>IF(I227="","",_xlfn.XLOOKUP(I227,Lists!$C:$C,Lists!$E:$E))</f>
        <v/>
      </c>
      <c r="Q227" s="28" t="str">
        <f t="shared" si="14"/>
        <v/>
      </c>
      <c r="R227" s="26" t="str">
        <f t="shared" ca="1" si="15"/>
        <v/>
      </c>
      <c r="S227" s="27" t="str">
        <f>IF(I227="","",_xlfn.XLOOKUP(I227,Lists!$C:$C,Lists!$I:$I))</f>
        <v/>
      </c>
    </row>
    <row r="228" spans="3:19" x14ac:dyDescent="0.2">
      <c r="C228" s="26">
        <f>_xlfn.XLOOKUP(B228,Lists!B:B,Lists!A:A,"")</f>
        <v>0</v>
      </c>
      <c r="G228" s="26" t="str">
        <f t="shared" si="11"/>
        <v/>
      </c>
      <c r="H228" s="31" t="str">
        <f t="shared" si="12"/>
        <v/>
      </c>
      <c r="J228" s="27" t="str">
        <f>IF(I228="","",_xlfn.XLOOKUP(I228,Lists!$C:$C,Lists!$D:$D))</f>
        <v/>
      </c>
      <c r="N228" s="26" t="str">
        <f t="shared" si="13"/>
        <v/>
      </c>
      <c r="O228" s="27" t="str">
        <f>IF(I228="","",_xlfn.XLOOKUP(I228,Lists!$C:$C,Lists!$J:$J))</f>
        <v/>
      </c>
      <c r="P228" s="27" t="str">
        <f>IF(I228="","",_xlfn.XLOOKUP(I228,Lists!$C:$C,Lists!$E:$E))</f>
        <v/>
      </c>
      <c r="Q228" s="28" t="str">
        <f t="shared" si="14"/>
        <v/>
      </c>
      <c r="R228" s="26" t="str">
        <f t="shared" ca="1" si="15"/>
        <v/>
      </c>
      <c r="S228" s="27" t="str">
        <f>IF(I228="","",_xlfn.XLOOKUP(I228,Lists!$C:$C,Lists!$I:$I))</f>
        <v/>
      </c>
    </row>
    <row r="229" spans="3:19" x14ac:dyDescent="0.2">
      <c r="C229" s="26">
        <f>_xlfn.XLOOKUP(B229,Lists!B:B,Lists!A:A,"")</f>
        <v>0</v>
      </c>
      <c r="G229" s="26" t="str">
        <f t="shared" si="11"/>
        <v/>
      </c>
      <c r="H229" s="31" t="str">
        <f t="shared" si="12"/>
        <v/>
      </c>
      <c r="J229" s="27" t="str">
        <f>IF(I229="","",_xlfn.XLOOKUP(I229,Lists!$C:$C,Lists!$D:$D))</f>
        <v/>
      </c>
      <c r="N229" s="26" t="str">
        <f t="shared" si="13"/>
        <v/>
      </c>
      <c r="O229" s="27" t="str">
        <f>IF(I229="","",_xlfn.XLOOKUP(I229,Lists!$C:$C,Lists!$J:$J))</f>
        <v/>
      </c>
      <c r="P229" s="27" t="str">
        <f>IF(I229="","",_xlfn.XLOOKUP(I229,Lists!$C:$C,Lists!$E:$E))</f>
        <v/>
      </c>
      <c r="Q229" s="28" t="str">
        <f t="shared" si="14"/>
        <v/>
      </c>
      <c r="R229" s="26" t="str">
        <f t="shared" ca="1" si="15"/>
        <v/>
      </c>
      <c r="S229" s="27" t="str">
        <f>IF(I229="","",_xlfn.XLOOKUP(I229,Lists!$C:$C,Lists!$I:$I))</f>
        <v/>
      </c>
    </row>
    <row r="230" spans="3:19" x14ac:dyDescent="0.2">
      <c r="C230" s="26">
        <f>_xlfn.XLOOKUP(B230,Lists!B:B,Lists!A:A,"")</f>
        <v>0</v>
      </c>
      <c r="G230" s="26" t="str">
        <f t="shared" si="11"/>
        <v/>
      </c>
      <c r="H230" s="31" t="str">
        <f t="shared" si="12"/>
        <v/>
      </c>
      <c r="J230" s="27" t="str">
        <f>IF(I230="","",_xlfn.XLOOKUP(I230,Lists!$C:$C,Lists!$D:$D))</f>
        <v/>
      </c>
      <c r="N230" s="26" t="str">
        <f t="shared" si="13"/>
        <v/>
      </c>
      <c r="O230" s="27" t="str">
        <f>IF(I230="","",_xlfn.XLOOKUP(I230,Lists!$C:$C,Lists!$J:$J))</f>
        <v/>
      </c>
      <c r="P230" s="27" t="str">
        <f>IF(I230="","",_xlfn.XLOOKUP(I230,Lists!$C:$C,Lists!$E:$E))</f>
        <v/>
      </c>
      <c r="Q230" s="28" t="str">
        <f t="shared" si="14"/>
        <v/>
      </c>
      <c r="R230" s="26" t="str">
        <f t="shared" ca="1" si="15"/>
        <v/>
      </c>
      <c r="S230" s="27" t="str">
        <f>IF(I230="","",_xlfn.XLOOKUP(I230,Lists!$C:$C,Lists!$I:$I))</f>
        <v/>
      </c>
    </row>
    <row r="231" spans="3:19" x14ac:dyDescent="0.2">
      <c r="C231" s="26">
        <f>_xlfn.XLOOKUP(B231,Lists!B:B,Lists!A:A,"")</f>
        <v>0</v>
      </c>
      <c r="G231" s="26" t="str">
        <f t="shared" si="11"/>
        <v/>
      </c>
      <c r="H231" s="31" t="str">
        <f t="shared" si="12"/>
        <v/>
      </c>
      <c r="J231" s="27" t="str">
        <f>IF(I231="","",_xlfn.XLOOKUP(I231,Lists!$C:$C,Lists!$D:$D))</f>
        <v/>
      </c>
      <c r="N231" s="26" t="str">
        <f t="shared" si="13"/>
        <v/>
      </c>
      <c r="O231" s="27" t="str">
        <f>IF(I231="","",_xlfn.XLOOKUP(I231,Lists!$C:$C,Lists!$J:$J))</f>
        <v/>
      </c>
      <c r="P231" s="27" t="str">
        <f>IF(I231="","",_xlfn.XLOOKUP(I231,Lists!$C:$C,Lists!$E:$E))</f>
        <v/>
      </c>
      <c r="Q231" s="28" t="str">
        <f t="shared" si="14"/>
        <v/>
      </c>
      <c r="R231" s="26" t="str">
        <f t="shared" ca="1" si="15"/>
        <v/>
      </c>
      <c r="S231" s="27" t="str">
        <f>IF(I231="","",_xlfn.XLOOKUP(I231,Lists!$C:$C,Lists!$I:$I))</f>
        <v/>
      </c>
    </row>
    <row r="232" spans="3:19" x14ac:dyDescent="0.2">
      <c r="C232" s="26">
        <f>_xlfn.XLOOKUP(B232,Lists!B:B,Lists!A:A,"")</f>
        <v>0</v>
      </c>
      <c r="G232" s="26" t="str">
        <f t="shared" si="11"/>
        <v/>
      </c>
      <c r="H232" s="31" t="str">
        <f t="shared" si="12"/>
        <v/>
      </c>
      <c r="J232" s="27" t="str">
        <f>IF(I232="","",_xlfn.XLOOKUP(I232,Lists!$C:$C,Lists!$D:$D))</f>
        <v/>
      </c>
      <c r="N232" s="26" t="str">
        <f t="shared" si="13"/>
        <v/>
      </c>
      <c r="O232" s="27" t="str">
        <f>IF(I232="","",_xlfn.XLOOKUP(I232,Lists!$C:$C,Lists!$J:$J))</f>
        <v/>
      </c>
      <c r="P232" s="27" t="str">
        <f>IF(I232="","",_xlfn.XLOOKUP(I232,Lists!$C:$C,Lists!$E:$E))</f>
        <v/>
      </c>
      <c r="Q232" s="28" t="str">
        <f t="shared" si="14"/>
        <v/>
      </c>
      <c r="R232" s="26" t="str">
        <f t="shared" ca="1" si="15"/>
        <v/>
      </c>
      <c r="S232" s="27" t="str">
        <f>IF(I232="","",_xlfn.XLOOKUP(I232,Lists!$C:$C,Lists!$I:$I))</f>
        <v/>
      </c>
    </row>
    <row r="233" spans="3:19" x14ac:dyDescent="0.2">
      <c r="C233" s="26">
        <f>_xlfn.XLOOKUP(B233,Lists!B:B,Lists!A:A,"")</f>
        <v>0</v>
      </c>
      <c r="G233" s="26" t="str">
        <f t="shared" si="11"/>
        <v/>
      </c>
      <c r="H233" s="31" t="str">
        <f t="shared" si="12"/>
        <v/>
      </c>
      <c r="J233" s="27" t="str">
        <f>IF(I233="","",_xlfn.XLOOKUP(I233,Lists!$C:$C,Lists!$D:$D))</f>
        <v/>
      </c>
      <c r="N233" s="26" t="str">
        <f t="shared" si="13"/>
        <v/>
      </c>
      <c r="O233" s="27" t="str">
        <f>IF(I233="","",_xlfn.XLOOKUP(I233,Lists!$C:$C,Lists!$J:$J))</f>
        <v/>
      </c>
      <c r="P233" s="27" t="str">
        <f>IF(I233="","",_xlfn.XLOOKUP(I233,Lists!$C:$C,Lists!$E:$E))</f>
        <v/>
      </c>
      <c r="Q233" s="28" t="str">
        <f t="shared" si="14"/>
        <v/>
      </c>
      <c r="R233" s="26" t="str">
        <f t="shared" ca="1" si="15"/>
        <v/>
      </c>
      <c r="S233" s="27" t="str">
        <f>IF(I233="","",_xlfn.XLOOKUP(I233,Lists!$C:$C,Lists!$I:$I))</f>
        <v/>
      </c>
    </row>
    <row r="234" spans="3:19" x14ac:dyDescent="0.2">
      <c r="C234" s="26">
        <f>_xlfn.XLOOKUP(B234,Lists!B:B,Lists!A:A,"")</f>
        <v>0</v>
      </c>
      <c r="G234" s="26" t="str">
        <f t="shared" si="11"/>
        <v/>
      </c>
      <c r="H234" s="31" t="str">
        <f t="shared" si="12"/>
        <v/>
      </c>
      <c r="J234" s="27" t="str">
        <f>IF(I234="","",_xlfn.XLOOKUP(I234,Lists!$C:$C,Lists!$D:$D))</f>
        <v/>
      </c>
      <c r="N234" s="26" t="str">
        <f t="shared" si="13"/>
        <v/>
      </c>
      <c r="O234" s="27" t="str">
        <f>IF(I234="","",_xlfn.XLOOKUP(I234,Lists!$C:$C,Lists!$J:$J))</f>
        <v/>
      </c>
      <c r="P234" s="27" t="str">
        <f>IF(I234="","",_xlfn.XLOOKUP(I234,Lists!$C:$C,Lists!$E:$E))</f>
        <v/>
      </c>
      <c r="Q234" s="28" t="str">
        <f t="shared" si="14"/>
        <v/>
      </c>
      <c r="R234" s="26" t="str">
        <f t="shared" ca="1" si="15"/>
        <v/>
      </c>
      <c r="S234" s="27" t="str">
        <f>IF(I234="","",_xlfn.XLOOKUP(I234,Lists!$C:$C,Lists!$I:$I))</f>
        <v/>
      </c>
    </row>
    <row r="235" spans="3:19" x14ac:dyDescent="0.2">
      <c r="C235" s="26">
        <f>_xlfn.XLOOKUP(B235,Lists!B:B,Lists!A:A,"")</f>
        <v>0</v>
      </c>
      <c r="G235" s="26" t="str">
        <f t="shared" si="11"/>
        <v/>
      </c>
      <c r="H235" s="31" t="str">
        <f t="shared" si="12"/>
        <v/>
      </c>
      <c r="J235" s="27" t="str">
        <f>IF(I235="","",_xlfn.XLOOKUP(I235,Lists!$C:$C,Lists!$D:$D))</f>
        <v/>
      </c>
      <c r="N235" s="26" t="str">
        <f t="shared" si="13"/>
        <v/>
      </c>
      <c r="O235" s="27" t="str">
        <f>IF(I235="","",_xlfn.XLOOKUP(I235,Lists!$C:$C,Lists!$J:$J))</f>
        <v/>
      </c>
      <c r="P235" s="27" t="str">
        <f>IF(I235="","",_xlfn.XLOOKUP(I235,Lists!$C:$C,Lists!$E:$E))</f>
        <v/>
      </c>
      <c r="Q235" s="28" t="str">
        <f t="shared" si="14"/>
        <v/>
      </c>
      <c r="R235" s="26" t="str">
        <f t="shared" ca="1" si="15"/>
        <v/>
      </c>
      <c r="S235" s="27" t="str">
        <f>IF(I235="","",_xlfn.XLOOKUP(I235,Lists!$C:$C,Lists!$I:$I))</f>
        <v/>
      </c>
    </row>
    <row r="236" spans="3:19" x14ac:dyDescent="0.2">
      <c r="C236" s="26">
        <f>_xlfn.XLOOKUP(B236,Lists!B:B,Lists!A:A,"")</f>
        <v>0</v>
      </c>
      <c r="G236" s="26" t="str">
        <f t="shared" si="11"/>
        <v/>
      </c>
      <c r="H236" s="31" t="str">
        <f t="shared" si="12"/>
        <v/>
      </c>
      <c r="J236" s="27" t="str">
        <f>IF(I236="","",_xlfn.XLOOKUP(I236,Lists!$C:$C,Lists!$D:$D))</f>
        <v/>
      </c>
      <c r="N236" s="26" t="str">
        <f t="shared" si="13"/>
        <v/>
      </c>
      <c r="O236" s="27" t="str">
        <f>IF(I236="","",_xlfn.XLOOKUP(I236,Lists!$C:$C,Lists!$J:$J))</f>
        <v/>
      </c>
      <c r="P236" s="27" t="str">
        <f>IF(I236="","",_xlfn.XLOOKUP(I236,Lists!$C:$C,Lists!$E:$E))</f>
        <v/>
      </c>
      <c r="Q236" s="28" t="str">
        <f t="shared" si="14"/>
        <v/>
      </c>
      <c r="R236" s="26" t="str">
        <f t="shared" ca="1" si="15"/>
        <v/>
      </c>
      <c r="S236" s="27" t="str">
        <f>IF(I236="","",_xlfn.XLOOKUP(I236,Lists!$C:$C,Lists!$I:$I))</f>
        <v/>
      </c>
    </row>
    <row r="237" spans="3:19" x14ac:dyDescent="0.2">
      <c r="C237" s="26">
        <f>_xlfn.XLOOKUP(B237,Lists!B:B,Lists!A:A,"")</f>
        <v>0</v>
      </c>
      <c r="G237" s="26" t="str">
        <f t="shared" si="11"/>
        <v/>
      </c>
      <c r="H237" s="31" t="str">
        <f t="shared" si="12"/>
        <v/>
      </c>
      <c r="J237" s="27" t="str">
        <f>IF(I237="","",_xlfn.XLOOKUP(I237,Lists!$C:$C,Lists!$D:$D))</f>
        <v/>
      </c>
      <c r="N237" s="26" t="str">
        <f t="shared" si="13"/>
        <v/>
      </c>
      <c r="O237" s="27" t="str">
        <f>IF(I237="","",_xlfn.XLOOKUP(I237,Lists!$C:$C,Lists!$J:$J))</f>
        <v/>
      </c>
      <c r="P237" s="27" t="str">
        <f>IF(I237="","",_xlfn.XLOOKUP(I237,Lists!$C:$C,Lists!$E:$E))</f>
        <v/>
      </c>
      <c r="Q237" s="28" t="str">
        <f t="shared" si="14"/>
        <v/>
      </c>
      <c r="R237" s="26" t="str">
        <f t="shared" ca="1" si="15"/>
        <v/>
      </c>
      <c r="S237" s="27" t="str">
        <f>IF(I237="","",_xlfn.XLOOKUP(I237,Lists!$C:$C,Lists!$I:$I))</f>
        <v/>
      </c>
    </row>
    <row r="238" spans="3:19" x14ac:dyDescent="0.2">
      <c r="C238" s="26">
        <f>_xlfn.XLOOKUP(B238,Lists!B:B,Lists!A:A,"")</f>
        <v>0</v>
      </c>
      <c r="G238" s="26" t="str">
        <f t="shared" si="11"/>
        <v/>
      </c>
      <c r="H238" s="31" t="str">
        <f t="shared" si="12"/>
        <v/>
      </c>
      <c r="J238" s="27" t="str">
        <f>IF(I238="","",_xlfn.XLOOKUP(I238,Lists!$C:$C,Lists!$D:$D))</f>
        <v/>
      </c>
      <c r="N238" s="26" t="str">
        <f t="shared" si="13"/>
        <v/>
      </c>
      <c r="O238" s="27" t="str">
        <f>IF(I238="","",_xlfn.XLOOKUP(I238,Lists!$C:$C,Lists!$J:$J))</f>
        <v/>
      </c>
      <c r="P238" s="27" t="str">
        <f>IF(I238="","",_xlfn.XLOOKUP(I238,Lists!$C:$C,Lists!$E:$E))</f>
        <v/>
      </c>
      <c r="Q238" s="28" t="str">
        <f t="shared" si="14"/>
        <v/>
      </c>
      <c r="R238" s="26" t="str">
        <f t="shared" ca="1" si="15"/>
        <v/>
      </c>
      <c r="S238" s="27" t="str">
        <f>IF(I238="","",_xlfn.XLOOKUP(I238,Lists!$C:$C,Lists!$I:$I))</f>
        <v/>
      </c>
    </row>
    <row r="239" spans="3:19" x14ac:dyDescent="0.2">
      <c r="C239" s="26">
        <f>_xlfn.XLOOKUP(B239,Lists!B:B,Lists!A:A,"")</f>
        <v>0</v>
      </c>
      <c r="G239" s="26" t="str">
        <f t="shared" si="11"/>
        <v/>
      </c>
      <c r="H239" s="31" t="str">
        <f t="shared" si="12"/>
        <v/>
      </c>
      <c r="J239" s="27" t="str">
        <f>IF(I239="","",_xlfn.XLOOKUP(I239,Lists!$C:$C,Lists!$D:$D))</f>
        <v/>
      </c>
      <c r="N239" s="26" t="str">
        <f t="shared" si="13"/>
        <v/>
      </c>
      <c r="O239" s="27" t="str">
        <f>IF(I239="","",_xlfn.XLOOKUP(I239,Lists!$C:$C,Lists!$J:$J))</f>
        <v/>
      </c>
      <c r="P239" s="27" t="str">
        <f>IF(I239="","",_xlfn.XLOOKUP(I239,Lists!$C:$C,Lists!$E:$E))</f>
        <v/>
      </c>
      <c r="Q239" s="28" t="str">
        <f t="shared" si="14"/>
        <v/>
      </c>
      <c r="R239" s="26" t="str">
        <f t="shared" ca="1" si="15"/>
        <v/>
      </c>
      <c r="S239" s="27" t="str">
        <f>IF(I239="","",_xlfn.XLOOKUP(I239,Lists!$C:$C,Lists!$I:$I))</f>
        <v/>
      </c>
    </row>
    <row r="240" spans="3:19" x14ac:dyDescent="0.2">
      <c r="C240" s="26">
        <f>_xlfn.XLOOKUP(B240,Lists!B:B,Lists!A:A,"")</f>
        <v>0</v>
      </c>
      <c r="G240" s="26" t="str">
        <f t="shared" si="11"/>
        <v/>
      </c>
      <c r="H240" s="31" t="str">
        <f t="shared" si="12"/>
        <v/>
      </c>
      <c r="J240" s="27" t="str">
        <f>IF(I240="","",_xlfn.XLOOKUP(I240,Lists!$C:$C,Lists!$D:$D))</f>
        <v/>
      </c>
      <c r="N240" s="26" t="str">
        <f t="shared" si="13"/>
        <v/>
      </c>
      <c r="O240" s="27" t="str">
        <f>IF(I240="","",_xlfn.XLOOKUP(I240,Lists!$C:$C,Lists!$J:$J))</f>
        <v/>
      </c>
      <c r="P240" s="27" t="str">
        <f>IF(I240="","",_xlfn.XLOOKUP(I240,Lists!$C:$C,Lists!$E:$E))</f>
        <v/>
      </c>
      <c r="Q240" s="28" t="str">
        <f t="shared" si="14"/>
        <v/>
      </c>
      <c r="R240" s="26" t="str">
        <f t="shared" ca="1" si="15"/>
        <v/>
      </c>
      <c r="S240" s="27" t="str">
        <f>IF(I240="","",_xlfn.XLOOKUP(I240,Lists!$C:$C,Lists!$I:$I))</f>
        <v/>
      </c>
    </row>
    <row r="241" spans="3:19" x14ac:dyDescent="0.2">
      <c r="C241" s="26">
        <f>_xlfn.XLOOKUP(B241,Lists!B:B,Lists!A:A,"")</f>
        <v>0</v>
      </c>
      <c r="G241" s="26" t="str">
        <f t="shared" si="11"/>
        <v/>
      </c>
      <c r="H241" s="31" t="str">
        <f t="shared" si="12"/>
        <v/>
      </c>
      <c r="J241" s="27" t="str">
        <f>IF(I241="","",_xlfn.XLOOKUP(I241,Lists!$C:$C,Lists!$D:$D))</f>
        <v/>
      </c>
      <c r="N241" s="26" t="str">
        <f t="shared" si="13"/>
        <v/>
      </c>
      <c r="O241" s="27" t="str">
        <f>IF(I241="","",_xlfn.XLOOKUP(I241,Lists!$C:$C,Lists!$J:$J))</f>
        <v/>
      </c>
      <c r="P241" s="27" t="str">
        <f>IF(I241="","",_xlfn.XLOOKUP(I241,Lists!$C:$C,Lists!$E:$E))</f>
        <v/>
      </c>
      <c r="Q241" s="28" t="str">
        <f t="shared" si="14"/>
        <v/>
      </c>
      <c r="R241" s="26" t="str">
        <f t="shared" ca="1" si="15"/>
        <v/>
      </c>
      <c r="S241" s="27" t="str">
        <f>IF(I241="","",_xlfn.XLOOKUP(I241,Lists!$C:$C,Lists!$I:$I))</f>
        <v/>
      </c>
    </row>
    <row r="242" spans="3:19" x14ac:dyDescent="0.2">
      <c r="C242" s="26">
        <f>_xlfn.XLOOKUP(B242,Lists!B:B,Lists!A:A,"")</f>
        <v>0</v>
      </c>
      <c r="G242" s="26" t="str">
        <f t="shared" si="11"/>
        <v/>
      </c>
      <c r="H242" s="31" t="str">
        <f t="shared" si="12"/>
        <v/>
      </c>
      <c r="J242" s="27" t="str">
        <f>IF(I242="","",_xlfn.XLOOKUP(I242,Lists!$C:$C,Lists!$D:$D))</f>
        <v/>
      </c>
      <c r="N242" s="26" t="str">
        <f t="shared" si="13"/>
        <v/>
      </c>
      <c r="O242" s="27" t="str">
        <f>IF(I242="","",_xlfn.XLOOKUP(I242,Lists!$C:$C,Lists!$J:$J))</f>
        <v/>
      </c>
      <c r="P242" s="27" t="str">
        <f>IF(I242="","",_xlfn.XLOOKUP(I242,Lists!$C:$C,Lists!$E:$E))</f>
        <v/>
      </c>
      <c r="Q242" s="28" t="str">
        <f t="shared" si="14"/>
        <v/>
      </c>
      <c r="R242" s="26" t="str">
        <f t="shared" ca="1" si="15"/>
        <v/>
      </c>
      <c r="S242" s="27" t="str">
        <f>IF(I242="","",_xlfn.XLOOKUP(I242,Lists!$C:$C,Lists!$I:$I))</f>
        <v/>
      </c>
    </row>
    <row r="243" spans="3:19" x14ac:dyDescent="0.2">
      <c r="C243" s="26">
        <f>_xlfn.XLOOKUP(B243,Lists!B:B,Lists!A:A,"")</f>
        <v>0</v>
      </c>
      <c r="G243" s="26" t="str">
        <f t="shared" si="11"/>
        <v/>
      </c>
      <c r="H243" s="31" t="str">
        <f t="shared" si="12"/>
        <v/>
      </c>
      <c r="J243" s="27" t="str">
        <f>IF(I243="","",_xlfn.XLOOKUP(I243,Lists!$C:$C,Lists!$D:$D))</f>
        <v/>
      </c>
      <c r="N243" s="26" t="str">
        <f t="shared" si="13"/>
        <v/>
      </c>
      <c r="O243" s="27" t="str">
        <f>IF(I243="","",_xlfn.XLOOKUP(I243,Lists!$C:$C,Lists!$J:$J))</f>
        <v/>
      </c>
      <c r="P243" s="27" t="str">
        <f>IF(I243="","",_xlfn.XLOOKUP(I243,Lists!$C:$C,Lists!$E:$E))</f>
        <v/>
      </c>
      <c r="Q243" s="28" t="str">
        <f t="shared" si="14"/>
        <v/>
      </c>
      <c r="R243" s="26" t="str">
        <f t="shared" ca="1" si="15"/>
        <v/>
      </c>
      <c r="S243" s="27" t="str">
        <f>IF(I243="","",_xlfn.XLOOKUP(I243,Lists!$C:$C,Lists!$I:$I))</f>
        <v/>
      </c>
    </row>
    <row r="244" spans="3:19" x14ac:dyDescent="0.2">
      <c r="C244" s="26">
        <f>_xlfn.XLOOKUP(B244,Lists!B:B,Lists!A:A,"")</f>
        <v>0</v>
      </c>
      <c r="G244" s="26" t="str">
        <f t="shared" si="11"/>
        <v/>
      </c>
      <c r="H244" s="31" t="str">
        <f t="shared" si="12"/>
        <v/>
      </c>
      <c r="J244" s="27" t="str">
        <f>IF(I244="","",_xlfn.XLOOKUP(I244,Lists!$C:$C,Lists!$D:$D))</f>
        <v/>
      </c>
      <c r="N244" s="26" t="str">
        <f t="shared" si="13"/>
        <v/>
      </c>
      <c r="O244" s="27" t="str">
        <f>IF(I244="","",_xlfn.XLOOKUP(I244,Lists!$C:$C,Lists!$J:$J))</f>
        <v/>
      </c>
      <c r="P244" s="27" t="str">
        <f>IF(I244="","",_xlfn.XLOOKUP(I244,Lists!$C:$C,Lists!$E:$E))</f>
        <v/>
      </c>
      <c r="Q244" s="28" t="str">
        <f t="shared" si="14"/>
        <v/>
      </c>
      <c r="R244" s="26" t="str">
        <f t="shared" ca="1" si="15"/>
        <v/>
      </c>
      <c r="S244" s="27" t="str">
        <f>IF(I244="","",_xlfn.XLOOKUP(I244,Lists!$C:$C,Lists!$I:$I))</f>
        <v/>
      </c>
    </row>
    <row r="245" spans="3:19" x14ac:dyDescent="0.2">
      <c r="C245" s="26">
        <f>_xlfn.XLOOKUP(B245,Lists!B:B,Lists!A:A,"")</f>
        <v>0</v>
      </c>
      <c r="G245" s="26" t="str">
        <f t="shared" si="11"/>
        <v/>
      </c>
      <c r="H245" s="31" t="str">
        <f t="shared" si="12"/>
        <v/>
      </c>
      <c r="J245" s="27" t="str">
        <f>IF(I245="","",_xlfn.XLOOKUP(I245,Lists!$C:$C,Lists!$D:$D))</f>
        <v/>
      </c>
      <c r="N245" s="26" t="str">
        <f t="shared" si="13"/>
        <v/>
      </c>
      <c r="O245" s="27" t="str">
        <f>IF(I245="","",_xlfn.XLOOKUP(I245,Lists!$C:$C,Lists!$J:$J))</f>
        <v/>
      </c>
      <c r="P245" s="27" t="str">
        <f>IF(I245="","",_xlfn.XLOOKUP(I245,Lists!$C:$C,Lists!$E:$E))</f>
        <v/>
      </c>
      <c r="Q245" s="28" t="str">
        <f t="shared" si="14"/>
        <v/>
      </c>
      <c r="R245" s="26" t="str">
        <f t="shared" ca="1" si="15"/>
        <v/>
      </c>
      <c r="S245" s="27" t="str">
        <f>IF(I245="","",_xlfn.XLOOKUP(I245,Lists!$C:$C,Lists!$I:$I))</f>
        <v/>
      </c>
    </row>
    <row r="246" spans="3:19" x14ac:dyDescent="0.2">
      <c r="C246" s="26">
        <f>_xlfn.XLOOKUP(B246,Lists!B:B,Lists!A:A,"")</f>
        <v>0</v>
      </c>
      <c r="G246" s="26" t="str">
        <f t="shared" si="11"/>
        <v/>
      </c>
      <c r="H246" s="31" t="str">
        <f t="shared" si="12"/>
        <v/>
      </c>
      <c r="J246" s="27" t="str">
        <f>IF(I246="","",_xlfn.XLOOKUP(I246,Lists!$C:$C,Lists!$D:$D))</f>
        <v/>
      </c>
      <c r="N246" s="26" t="str">
        <f t="shared" si="13"/>
        <v/>
      </c>
      <c r="O246" s="27" t="str">
        <f>IF(I246="","",_xlfn.XLOOKUP(I246,Lists!$C:$C,Lists!$J:$J))</f>
        <v/>
      </c>
      <c r="P246" s="27" t="str">
        <f>IF(I246="","",_xlfn.XLOOKUP(I246,Lists!$C:$C,Lists!$E:$E))</f>
        <v/>
      </c>
      <c r="Q246" s="28" t="str">
        <f t="shared" si="14"/>
        <v/>
      </c>
      <c r="R246" s="26" t="str">
        <f t="shared" ca="1" si="15"/>
        <v/>
      </c>
      <c r="S246" s="27" t="str">
        <f>IF(I246="","",_xlfn.XLOOKUP(I246,Lists!$C:$C,Lists!$I:$I))</f>
        <v/>
      </c>
    </row>
    <row r="247" spans="3:19" x14ac:dyDescent="0.2">
      <c r="C247" s="26">
        <f>_xlfn.XLOOKUP(B247,Lists!B:B,Lists!A:A,"")</f>
        <v>0</v>
      </c>
      <c r="G247" s="26" t="str">
        <f t="shared" si="11"/>
        <v/>
      </c>
      <c r="H247" s="31" t="str">
        <f t="shared" si="12"/>
        <v/>
      </c>
      <c r="J247" s="27" t="str">
        <f>IF(I247="","",_xlfn.XLOOKUP(I247,Lists!$C:$C,Lists!$D:$D))</f>
        <v/>
      </c>
      <c r="N247" s="26" t="str">
        <f t="shared" si="13"/>
        <v/>
      </c>
      <c r="O247" s="27" t="str">
        <f>IF(I247="","",_xlfn.XLOOKUP(I247,Lists!$C:$C,Lists!$J:$J))</f>
        <v/>
      </c>
      <c r="P247" s="27" t="str">
        <f>IF(I247="","",_xlfn.XLOOKUP(I247,Lists!$C:$C,Lists!$E:$E))</f>
        <v/>
      </c>
      <c r="Q247" s="28" t="str">
        <f t="shared" si="14"/>
        <v/>
      </c>
      <c r="R247" s="26" t="str">
        <f t="shared" ca="1" si="15"/>
        <v/>
      </c>
      <c r="S247" s="27" t="str">
        <f>IF(I247="","",_xlfn.XLOOKUP(I247,Lists!$C:$C,Lists!$I:$I))</f>
        <v/>
      </c>
    </row>
    <row r="248" spans="3:19" x14ac:dyDescent="0.2">
      <c r="C248" s="26">
        <f>_xlfn.XLOOKUP(B248,Lists!B:B,Lists!A:A,"")</f>
        <v>0</v>
      </c>
      <c r="G248" s="26" t="str">
        <f t="shared" si="11"/>
        <v/>
      </c>
      <c r="H248" s="31" t="str">
        <f t="shared" si="12"/>
        <v/>
      </c>
      <c r="J248" s="27" t="str">
        <f>IF(I248="","",_xlfn.XLOOKUP(I248,Lists!$C:$C,Lists!$D:$D))</f>
        <v/>
      </c>
      <c r="N248" s="26" t="str">
        <f t="shared" si="13"/>
        <v/>
      </c>
      <c r="O248" s="27" t="str">
        <f>IF(I248="","",_xlfn.XLOOKUP(I248,Lists!$C:$C,Lists!$J:$J))</f>
        <v/>
      </c>
      <c r="P248" s="27" t="str">
        <f>IF(I248="","",_xlfn.XLOOKUP(I248,Lists!$C:$C,Lists!$E:$E))</f>
        <v/>
      </c>
      <c r="Q248" s="28" t="str">
        <f t="shared" si="14"/>
        <v/>
      </c>
      <c r="R248" s="26" t="str">
        <f t="shared" ca="1" si="15"/>
        <v/>
      </c>
      <c r="S248" s="27" t="str">
        <f>IF(I248="","",_xlfn.XLOOKUP(I248,Lists!$C:$C,Lists!$I:$I))</f>
        <v/>
      </c>
    </row>
    <row r="249" spans="3:19" x14ac:dyDescent="0.2">
      <c r="C249" s="26">
        <f>_xlfn.XLOOKUP(B249,Lists!B:B,Lists!A:A,"")</f>
        <v>0</v>
      </c>
      <c r="G249" s="26" t="str">
        <f t="shared" si="11"/>
        <v/>
      </c>
      <c r="H249" s="31" t="str">
        <f t="shared" si="12"/>
        <v/>
      </c>
      <c r="J249" s="27" t="str">
        <f>IF(I249="","",_xlfn.XLOOKUP(I249,Lists!$C:$C,Lists!$D:$D))</f>
        <v/>
      </c>
      <c r="N249" s="26" t="str">
        <f t="shared" si="13"/>
        <v/>
      </c>
      <c r="O249" s="27" t="str">
        <f>IF(I249="","",_xlfn.XLOOKUP(I249,Lists!$C:$C,Lists!$J:$J))</f>
        <v/>
      </c>
      <c r="P249" s="27" t="str">
        <f>IF(I249="","",_xlfn.XLOOKUP(I249,Lists!$C:$C,Lists!$E:$E))</f>
        <v/>
      </c>
      <c r="Q249" s="28" t="str">
        <f t="shared" si="14"/>
        <v/>
      </c>
      <c r="R249" s="26" t="str">
        <f t="shared" ca="1" si="15"/>
        <v/>
      </c>
      <c r="S249" s="27" t="str">
        <f>IF(I249="","",_xlfn.XLOOKUP(I249,Lists!$C:$C,Lists!$I:$I))</f>
        <v/>
      </c>
    </row>
    <row r="250" spans="3:19" x14ac:dyDescent="0.2">
      <c r="C250" s="26">
        <f>_xlfn.XLOOKUP(B250,Lists!B:B,Lists!A:A,"")</f>
        <v>0</v>
      </c>
      <c r="G250" s="26" t="str">
        <f t="shared" si="11"/>
        <v/>
      </c>
      <c r="H250" s="31" t="str">
        <f t="shared" si="12"/>
        <v/>
      </c>
      <c r="J250" s="27" t="str">
        <f>IF(I250="","",_xlfn.XLOOKUP(I250,Lists!$C:$C,Lists!$D:$D))</f>
        <v/>
      </c>
      <c r="N250" s="26" t="str">
        <f t="shared" si="13"/>
        <v/>
      </c>
      <c r="O250" s="27" t="str">
        <f>IF(I250="","",_xlfn.XLOOKUP(I250,Lists!$C:$C,Lists!$J:$J))</f>
        <v/>
      </c>
      <c r="P250" s="27" t="str">
        <f>IF(I250="","",_xlfn.XLOOKUP(I250,Lists!$C:$C,Lists!$E:$E))</f>
        <v/>
      </c>
      <c r="Q250" s="28" t="str">
        <f t="shared" si="14"/>
        <v/>
      </c>
      <c r="R250" s="26" t="str">
        <f t="shared" ca="1" si="15"/>
        <v/>
      </c>
      <c r="S250" s="27" t="str">
        <f>IF(I250="","",_xlfn.XLOOKUP(I250,Lists!$C:$C,Lists!$I:$I))</f>
        <v/>
      </c>
    </row>
    <row r="251" spans="3:19" x14ac:dyDescent="0.2">
      <c r="C251" s="26">
        <f>_xlfn.XLOOKUP(B251,Lists!B:B,Lists!A:A,"")</f>
        <v>0</v>
      </c>
      <c r="G251" s="26" t="str">
        <f t="shared" si="11"/>
        <v/>
      </c>
      <c r="H251" s="31" t="str">
        <f t="shared" si="12"/>
        <v/>
      </c>
      <c r="J251" s="27" t="str">
        <f>IF(I251="","",_xlfn.XLOOKUP(I251,Lists!$C:$C,Lists!$D:$D))</f>
        <v/>
      </c>
      <c r="N251" s="26" t="str">
        <f t="shared" si="13"/>
        <v/>
      </c>
      <c r="O251" s="27" t="str">
        <f>IF(I251="","",_xlfn.XLOOKUP(I251,Lists!$C:$C,Lists!$J:$J))</f>
        <v/>
      </c>
      <c r="P251" s="27" t="str">
        <f>IF(I251="","",_xlfn.XLOOKUP(I251,Lists!$C:$C,Lists!$E:$E))</f>
        <v/>
      </c>
      <c r="Q251" s="28" t="str">
        <f t="shared" si="14"/>
        <v/>
      </c>
      <c r="R251" s="26" t="str">
        <f t="shared" ca="1" si="15"/>
        <v/>
      </c>
      <c r="S251" s="27" t="str">
        <f>IF(I251="","",_xlfn.XLOOKUP(I251,Lists!$C:$C,Lists!$I:$I))</f>
        <v/>
      </c>
    </row>
    <row r="252" spans="3:19" x14ac:dyDescent="0.2">
      <c r="C252" s="26">
        <f>_xlfn.XLOOKUP(B252,Lists!B:B,Lists!A:A,"")</f>
        <v>0</v>
      </c>
      <c r="G252" s="26" t="str">
        <f t="shared" si="11"/>
        <v/>
      </c>
      <c r="H252" s="31" t="str">
        <f t="shared" si="12"/>
        <v/>
      </c>
      <c r="J252" s="27" t="str">
        <f>IF(I252="","",_xlfn.XLOOKUP(I252,Lists!$C:$C,Lists!$D:$D))</f>
        <v/>
      </c>
      <c r="N252" s="26" t="str">
        <f t="shared" si="13"/>
        <v/>
      </c>
      <c r="O252" s="27" t="str">
        <f>IF(I252="","",_xlfn.XLOOKUP(I252,Lists!$C:$C,Lists!$J:$J))</f>
        <v/>
      </c>
      <c r="P252" s="27" t="str">
        <f>IF(I252="","",_xlfn.XLOOKUP(I252,Lists!$C:$C,Lists!$E:$E))</f>
        <v/>
      </c>
      <c r="Q252" s="28" t="str">
        <f t="shared" si="14"/>
        <v/>
      </c>
      <c r="R252" s="26" t="str">
        <f t="shared" ca="1" si="15"/>
        <v/>
      </c>
      <c r="S252" s="27" t="str">
        <f>IF(I252="","",_xlfn.XLOOKUP(I252,Lists!$C:$C,Lists!$I:$I))</f>
        <v/>
      </c>
    </row>
    <row r="253" spans="3:19" x14ac:dyDescent="0.2">
      <c r="C253" s="26">
        <f>_xlfn.XLOOKUP(B253,Lists!B:B,Lists!A:A,"")</f>
        <v>0</v>
      </c>
      <c r="G253" s="26" t="str">
        <f t="shared" si="11"/>
        <v/>
      </c>
      <c r="H253" s="31" t="str">
        <f t="shared" si="12"/>
        <v/>
      </c>
      <c r="J253" s="27" t="str">
        <f>IF(I253="","",_xlfn.XLOOKUP(I253,Lists!$C:$C,Lists!$D:$D))</f>
        <v/>
      </c>
      <c r="N253" s="26" t="str">
        <f t="shared" si="13"/>
        <v/>
      </c>
      <c r="O253" s="27" t="str">
        <f>IF(I253="","",_xlfn.XLOOKUP(I253,Lists!$C:$C,Lists!$J:$J))</f>
        <v/>
      </c>
      <c r="P253" s="27" t="str">
        <f>IF(I253="","",_xlfn.XLOOKUP(I253,Lists!$C:$C,Lists!$E:$E))</f>
        <v/>
      </c>
      <c r="Q253" s="28" t="str">
        <f t="shared" si="14"/>
        <v/>
      </c>
      <c r="R253" s="26" t="str">
        <f t="shared" ca="1" si="15"/>
        <v/>
      </c>
      <c r="S253" s="27" t="str">
        <f>IF(I253="","",_xlfn.XLOOKUP(I253,Lists!$C:$C,Lists!$I:$I))</f>
        <v/>
      </c>
    </row>
    <row r="254" spans="3:19" x14ac:dyDescent="0.2">
      <c r="C254" s="26">
        <f>_xlfn.XLOOKUP(B254,Lists!B:B,Lists!A:A,"")</f>
        <v>0</v>
      </c>
      <c r="G254" s="26" t="str">
        <f t="shared" si="11"/>
        <v/>
      </c>
      <c r="H254" s="31" t="str">
        <f t="shared" si="12"/>
        <v/>
      </c>
      <c r="J254" s="27" t="str">
        <f>IF(I254="","",_xlfn.XLOOKUP(I254,Lists!$C:$C,Lists!$D:$D))</f>
        <v/>
      </c>
      <c r="N254" s="26" t="str">
        <f t="shared" si="13"/>
        <v/>
      </c>
      <c r="O254" s="27" t="str">
        <f>IF(I254="","",_xlfn.XLOOKUP(I254,Lists!$C:$C,Lists!$J:$J))</f>
        <v/>
      </c>
      <c r="P254" s="27" t="str">
        <f>IF(I254="","",_xlfn.XLOOKUP(I254,Lists!$C:$C,Lists!$E:$E))</f>
        <v/>
      </c>
      <c r="Q254" s="28" t="str">
        <f t="shared" si="14"/>
        <v/>
      </c>
      <c r="R254" s="26" t="str">
        <f t="shared" ca="1" si="15"/>
        <v/>
      </c>
      <c r="S254" s="27" t="str">
        <f>IF(I254="","",_xlfn.XLOOKUP(I254,Lists!$C:$C,Lists!$I:$I))</f>
        <v/>
      </c>
    </row>
    <row r="255" spans="3:19" x14ac:dyDescent="0.2">
      <c r="C255" s="26">
        <f>_xlfn.XLOOKUP(B255,Lists!B:B,Lists!A:A,"")</f>
        <v>0</v>
      </c>
      <c r="G255" s="26" t="str">
        <f t="shared" si="11"/>
        <v/>
      </c>
      <c r="H255" s="31" t="str">
        <f t="shared" si="12"/>
        <v/>
      </c>
      <c r="J255" s="27" t="str">
        <f>IF(I255="","",_xlfn.XLOOKUP(I255,Lists!$C:$C,Lists!$D:$D))</f>
        <v/>
      </c>
      <c r="N255" s="26" t="str">
        <f t="shared" si="13"/>
        <v/>
      </c>
      <c r="O255" s="27" t="str">
        <f>IF(I255="","",_xlfn.XLOOKUP(I255,Lists!$C:$C,Lists!$J:$J))</f>
        <v/>
      </c>
      <c r="P255" s="27" t="str">
        <f>IF(I255="","",_xlfn.XLOOKUP(I255,Lists!$C:$C,Lists!$E:$E))</f>
        <v/>
      </c>
      <c r="Q255" s="28" t="str">
        <f t="shared" si="14"/>
        <v/>
      </c>
      <c r="R255" s="26" t="str">
        <f t="shared" ca="1" si="15"/>
        <v/>
      </c>
      <c r="S255" s="27" t="str">
        <f>IF(I255="","",_xlfn.XLOOKUP(I255,Lists!$C:$C,Lists!$I:$I))</f>
        <v/>
      </c>
    </row>
    <row r="256" spans="3:19" x14ac:dyDescent="0.2">
      <c r="C256" s="26">
        <f>_xlfn.XLOOKUP(B256,Lists!B:B,Lists!A:A,"")</f>
        <v>0</v>
      </c>
      <c r="G256" s="26" t="str">
        <f t="shared" si="11"/>
        <v/>
      </c>
      <c r="H256" s="31" t="str">
        <f t="shared" si="12"/>
        <v/>
      </c>
      <c r="J256" s="27" t="str">
        <f>IF(I256="","",_xlfn.XLOOKUP(I256,Lists!$C:$C,Lists!$D:$D))</f>
        <v/>
      </c>
      <c r="N256" s="26" t="str">
        <f t="shared" si="13"/>
        <v/>
      </c>
      <c r="O256" s="27" t="str">
        <f>IF(I256="","",_xlfn.XLOOKUP(I256,Lists!$C:$C,Lists!$J:$J))</f>
        <v/>
      </c>
      <c r="P256" s="27" t="str">
        <f>IF(I256="","",_xlfn.XLOOKUP(I256,Lists!$C:$C,Lists!$E:$E))</f>
        <v/>
      </c>
      <c r="Q256" s="28" t="str">
        <f t="shared" si="14"/>
        <v/>
      </c>
      <c r="R256" s="26" t="str">
        <f t="shared" ca="1" si="15"/>
        <v/>
      </c>
      <c r="S256" s="27" t="str">
        <f>IF(I256="","",_xlfn.XLOOKUP(I256,Lists!$C:$C,Lists!$I:$I))</f>
        <v/>
      </c>
    </row>
    <row r="257" spans="3:19" x14ac:dyDescent="0.2">
      <c r="C257" s="26">
        <f>_xlfn.XLOOKUP(B257,Lists!B:B,Lists!A:A,"")</f>
        <v>0</v>
      </c>
      <c r="G257" s="26" t="str">
        <f t="shared" si="11"/>
        <v/>
      </c>
      <c r="H257" s="31" t="str">
        <f t="shared" si="12"/>
        <v/>
      </c>
      <c r="J257" s="27" t="str">
        <f>IF(I257="","",_xlfn.XLOOKUP(I257,Lists!$C:$C,Lists!$D:$D))</f>
        <v/>
      </c>
      <c r="N257" s="26" t="str">
        <f t="shared" si="13"/>
        <v/>
      </c>
      <c r="O257" s="27" t="str">
        <f>IF(I257="","",_xlfn.XLOOKUP(I257,Lists!$C:$C,Lists!$J:$J))</f>
        <v/>
      </c>
      <c r="P257" s="27" t="str">
        <f>IF(I257="","",_xlfn.XLOOKUP(I257,Lists!$C:$C,Lists!$E:$E))</f>
        <v/>
      </c>
      <c r="Q257" s="28" t="str">
        <f t="shared" si="14"/>
        <v/>
      </c>
      <c r="R257" s="26" t="str">
        <f t="shared" ca="1" si="15"/>
        <v/>
      </c>
      <c r="S257" s="27" t="str">
        <f>IF(I257="","",_xlfn.XLOOKUP(I257,Lists!$C:$C,Lists!$I:$I))</f>
        <v/>
      </c>
    </row>
    <row r="258" spans="3:19" x14ac:dyDescent="0.2">
      <c r="C258" s="26">
        <f>_xlfn.XLOOKUP(B258,Lists!B:B,Lists!A:A,"")</f>
        <v>0</v>
      </c>
      <c r="G258" s="26" t="str">
        <f t="shared" si="11"/>
        <v/>
      </c>
      <c r="H258" s="31" t="str">
        <f t="shared" si="12"/>
        <v/>
      </c>
      <c r="J258" s="27" t="str">
        <f>IF(I258="","",_xlfn.XLOOKUP(I258,Lists!$C:$C,Lists!$D:$D))</f>
        <v/>
      </c>
      <c r="N258" s="26" t="str">
        <f t="shared" si="13"/>
        <v/>
      </c>
      <c r="O258" s="27" t="str">
        <f>IF(I258="","",_xlfn.XLOOKUP(I258,Lists!$C:$C,Lists!$J:$J))</f>
        <v/>
      </c>
      <c r="P258" s="27" t="str">
        <f>IF(I258="","",_xlfn.XLOOKUP(I258,Lists!$C:$C,Lists!$E:$E))</f>
        <v/>
      </c>
      <c r="Q258" s="28" t="str">
        <f t="shared" si="14"/>
        <v/>
      </c>
      <c r="R258" s="26" t="str">
        <f t="shared" ca="1" si="15"/>
        <v/>
      </c>
      <c r="S258" s="27" t="str">
        <f>IF(I258="","",_xlfn.XLOOKUP(I258,Lists!$C:$C,Lists!$I:$I))</f>
        <v/>
      </c>
    </row>
    <row r="259" spans="3:19" x14ac:dyDescent="0.2">
      <c r="C259" s="26">
        <f>_xlfn.XLOOKUP(B259,Lists!B:B,Lists!A:A,"")</f>
        <v>0</v>
      </c>
      <c r="G259" s="26" t="str">
        <f t="shared" si="11"/>
        <v/>
      </c>
      <c r="H259" s="31" t="str">
        <f t="shared" si="12"/>
        <v/>
      </c>
      <c r="J259" s="27" t="str">
        <f>IF(I259="","",_xlfn.XLOOKUP(I259,Lists!$C:$C,Lists!$D:$D))</f>
        <v/>
      </c>
      <c r="N259" s="26" t="str">
        <f t="shared" si="13"/>
        <v/>
      </c>
      <c r="O259" s="27" t="str">
        <f>IF(I259="","",_xlfn.XLOOKUP(I259,Lists!$C:$C,Lists!$J:$J))</f>
        <v/>
      </c>
      <c r="P259" s="27" t="str">
        <f>IF(I259="","",_xlfn.XLOOKUP(I259,Lists!$C:$C,Lists!$E:$E))</f>
        <v/>
      </c>
      <c r="Q259" s="28" t="str">
        <f t="shared" si="14"/>
        <v/>
      </c>
      <c r="R259" s="26" t="str">
        <f t="shared" ca="1" si="15"/>
        <v/>
      </c>
      <c r="S259" s="27" t="str">
        <f>IF(I259="","",_xlfn.XLOOKUP(I259,Lists!$C:$C,Lists!$I:$I))</f>
        <v/>
      </c>
    </row>
    <row r="260" spans="3:19" x14ac:dyDescent="0.2">
      <c r="C260" s="26">
        <f>_xlfn.XLOOKUP(B260,Lists!B:B,Lists!A:A,"")</f>
        <v>0</v>
      </c>
      <c r="G260" s="26" t="str">
        <f t="shared" si="11"/>
        <v/>
      </c>
      <c r="H260" s="31" t="str">
        <f t="shared" si="12"/>
        <v/>
      </c>
      <c r="J260" s="27" t="str">
        <f>IF(I260="","",_xlfn.XLOOKUP(I260,Lists!$C:$C,Lists!$D:$D))</f>
        <v/>
      </c>
      <c r="N260" s="26" t="str">
        <f t="shared" si="13"/>
        <v/>
      </c>
      <c r="O260" s="27" t="str">
        <f>IF(I260="","",_xlfn.XLOOKUP(I260,Lists!$C:$C,Lists!$J:$J))</f>
        <v/>
      </c>
      <c r="P260" s="27" t="str">
        <f>IF(I260="","",_xlfn.XLOOKUP(I260,Lists!$C:$C,Lists!$E:$E))</f>
        <v/>
      </c>
      <c r="Q260" s="28" t="str">
        <f t="shared" si="14"/>
        <v/>
      </c>
      <c r="R260" s="26" t="str">
        <f t="shared" ca="1" si="15"/>
        <v/>
      </c>
      <c r="S260" s="27" t="str">
        <f>IF(I260="","",_xlfn.XLOOKUP(I260,Lists!$C:$C,Lists!$I:$I))</f>
        <v/>
      </c>
    </row>
    <row r="261" spans="3:19" x14ac:dyDescent="0.2">
      <c r="C261" s="26">
        <f>_xlfn.XLOOKUP(B261,Lists!B:B,Lists!A:A,"")</f>
        <v>0</v>
      </c>
      <c r="G261" s="26" t="str">
        <f t="shared" si="11"/>
        <v/>
      </c>
      <c r="H261" s="31" t="str">
        <f t="shared" si="12"/>
        <v/>
      </c>
      <c r="J261" s="27" t="str">
        <f>IF(I261="","",_xlfn.XLOOKUP(I261,Lists!$C:$C,Lists!$D:$D))</f>
        <v/>
      </c>
      <c r="N261" s="26" t="str">
        <f t="shared" si="13"/>
        <v/>
      </c>
      <c r="O261" s="27" t="str">
        <f>IF(I261="","",_xlfn.XLOOKUP(I261,Lists!$C:$C,Lists!$J:$J))</f>
        <v/>
      </c>
      <c r="P261" s="27" t="str">
        <f>IF(I261="","",_xlfn.XLOOKUP(I261,Lists!$C:$C,Lists!$E:$E))</f>
        <v/>
      </c>
      <c r="Q261" s="28" t="str">
        <f t="shared" si="14"/>
        <v/>
      </c>
      <c r="R261" s="26" t="str">
        <f t="shared" ca="1" si="15"/>
        <v/>
      </c>
      <c r="S261" s="27" t="str">
        <f>IF(I261="","",_xlfn.XLOOKUP(I261,Lists!$C:$C,Lists!$I:$I))</f>
        <v/>
      </c>
    </row>
    <row r="262" spans="3:19" x14ac:dyDescent="0.2">
      <c r="C262" s="26">
        <f>_xlfn.XLOOKUP(B262,Lists!B:B,Lists!A:A,"")</f>
        <v>0</v>
      </c>
      <c r="G262" s="26" t="str">
        <f t="shared" si="11"/>
        <v/>
      </c>
      <c r="H262" s="31" t="str">
        <f t="shared" si="12"/>
        <v/>
      </c>
      <c r="J262" s="27" t="str">
        <f>IF(I262="","",_xlfn.XLOOKUP(I262,Lists!$C:$C,Lists!$D:$D))</f>
        <v/>
      </c>
      <c r="N262" s="26" t="str">
        <f t="shared" si="13"/>
        <v/>
      </c>
      <c r="O262" s="27" t="str">
        <f>IF(I262="","",_xlfn.XLOOKUP(I262,Lists!$C:$C,Lists!$J:$J))</f>
        <v/>
      </c>
      <c r="P262" s="27" t="str">
        <f>IF(I262="","",_xlfn.XLOOKUP(I262,Lists!$C:$C,Lists!$E:$E))</f>
        <v/>
      </c>
      <c r="Q262" s="28" t="str">
        <f t="shared" si="14"/>
        <v/>
      </c>
      <c r="R262" s="26" t="str">
        <f t="shared" ca="1" si="15"/>
        <v/>
      </c>
      <c r="S262" s="27" t="str">
        <f>IF(I262="","",_xlfn.XLOOKUP(I262,Lists!$C:$C,Lists!$I:$I))</f>
        <v/>
      </c>
    </row>
    <row r="263" spans="3:19" x14ac:dyDescent="0.2">
      <c r="C263" s="26">
        <f>_xlfn.XLOOKUP(B263,Lists!B:B,Lists!A:A,"")</f>
        <v>0</v>
      </c>
      <c r="G263" s="26" t="str">
        <f t="shared" si="11"/>
        <v/>
      </c>
      <c r="H263" s="31" t="str">
        <f t="shared" si="12"/>
        <v/>
      </c>
      <c r="J263" s="27" t="str">
        <f>IF(I263="","",_xlfn.XLOOKUP(I263,Lists!$C:$C,Lists!$D:$D))</f>
        <v/>
      </c>
      <c r="N263" s="26" t="str">
        <f t="shared" si="13"/>
        <v/>
      </c>
      <c r="O263" s="27" t="str">
        <f>IF(I263="","",_xlfn.XLOOKUP(I263,Lists!$C:$C,Lists!$J:$J))</f>
        <v/>
      </c>
      <c r="P263" s="27" t="str">
        <f>IF(I263="","",_xlfn.XLOOKUP(I263,Lists!$C:$C,Lists!$E:$E))</f>
        <v/>
      </c>
      <c r="Q263" s="28" t="str">
        <f t="shared" si="14"/>
        <v/>
      </c>
      <c r="R263" s="26" t="str">
        <f t="shared" ca="1" si="15"/>
        <v/>
      </c>
      <c r="S263" s="27" t="str">
        <f>IF(I263="","",_xlfn.XLOOKUP(I263,Lists!$C:$C,Lists!$I:$I))</f>
        <v/>
      </c>
    </row>
    <row r="264" spans="3:19" x14ac:dyDescent="0.2">
      <c r="C264" s="26">
        <f>_xlfn.XLOOKUP(B264,Lists!B:B,Lists!A:A,"")</f>
        <v>0</v>
      </c>
      <c r="G264" s="26" t="str">
        <f t="shared" si="11"/>
        <v/>
      </c>
      <c r="H264" s="31" t="str">
        <f t="shared" si="12"/>
        <v/>
      </c>
      <c r="J264" s="27" t="str">
        <f>IF(I264="","",_xlfn.XLOOKUP(I264,Lists!$C:$C,Lists!$D:$D))</f>
        <v/>
      </c>
      <c r="N264" s="26" t="str">
        <f t="shared" si="13"/>
        <v/>
      </c>
      <c r="O264" s="27" t="str">
        <f>IF(I264="","",_xlfn.XLOOKUP(I264,Lists!$C:$C,Lists!$J:$J))</f>
        <v/>
      </c>
      <c r="P264" s="27" t="str">
        <f>IF(I264="","",_xlfn.XLOOKUP(I264,Lists!$C:$C,Lists!$E:$E))</f>
        <v/>
      </c>
      <c r="Q264" s="28" t="str">
        <f t="shared" si="14"/>
        <v/>
      </c>
      <c r="R264" s="26" t="str">
        <f t="shared" ca="1" si="15"/>
        <v/>
      </c>
      <c r="S264" s="27" t="str">
        <f>IF(I264="","",_xlfn.XLOOKUP(I264,Lists!$C:$C,Lists!$I:$I))</f>
        <v/>
      </c>
    </row>
    <row r="265" spans="3:19" x14ac:dyDescent="0.2">
      <c r="C265" s="26">
        <f>_xlfn.XLOOKUP(B265,Lists!B:B,Lists!A:A,"")</f>
        <v>0</v>
      </c>
      <c r="G265" s="26" t="str">
        <f t="shared" si="11"/>
        <v/>
      </c>
      <c r="H265" s="31" t="str">
        <f t="shared" si="12"/>
        <v/>
      </c>
      <c r="J265" s="27" t="str">
        <f>IF(I265="","",_xlfn.XLOOKUP(I265,Lists!$C:$C,Lists!$D:$D))</f>
        <v/>
      </c>
      <c r="N265" s="26" t="str">
        <f t="shared" si="13"/>
        <v/>
      </c>
      <c r="O265" s="27" t="str">
        <f>IF(I265="","",_xlfn.XLOOKUP(I265,Lists!$C:$C,Lists!$J:$J))</f>
        <v/>
      </c>
      <c r="P265" s="27" t="str">
        <f>IF(I265="","",_xlfn.XLOOKUP(I265,Lists!$C:$C,Lists!$E:$E))</f>
        <v/>
      </c>
      <c r="Q265" s="28" t="str">
        <f t="shared" si="14"/>
        <v/>
      </c>
      <c r="R265" s="26" t="str">
        <f t="shared" ca="1" si="15"/>
        <v/>
      </c>
      <c r="S265" s="27" t="str">
        <f>IF(I265="","",_xlfn.XLOOKUP(I265,Lists!$C:$C,Lists!$I:$I))</f>
        <v/>
      </c>
    </row>
    <row r="266" spans="3:19" x14ac:dyDescent="0.2">
      <c r="C266" s="26">
        <f>_xlfn.XLOOKUP(B266,Lists!B:B,Lists!A:A,"")</f>
        <v>0</v>
      </c>
      <c r="G266" s="26" t="str">
        <f t="shared" si="11"/>
        <v/>
      </c>
      <c r="H266" s="31" t="str">
        <f t="shared" si="12"/>
        <v/>
      </c>
      <c r="J266" s="27" t="str">
        <f>IF(I266="","",_xlfn.XLOOKUP(I266,Lists!$C:$C,Lists!$D:$D))</f>
        <v/>
      </c>
      <c r="N266" s="26" t="str">
        <f t="shared" si="13"/>
        <v/>
      </c>
      <c r="O266" s="27" t="str">
        <f>IF(I266="","",_xlfn.XLOOKUP(I266,Lists!$C:$C,Lists!$J:$J))</f>
        <v/>
      </c>
      <c r="P266" s="27" t="str">
        <f>IF(I266="","",_xlfn.XLOOKUP(I266,Lists!$C:$C,Lists!$E:$E))</f>
        <v/>
      </c>
      <c r="Q266" s="28" t="str">
        <f t="shared" si="14"/>
        <v/>
      </c>
      <c r="R266" s="26" t="str">
        <f t="shared" ca="1" si="15"/>
        <v/>
      </c>
      <c r="S266" s="27" t="str">
        <f>IF(I266="","",_xlfn.XLOOKUP(I266,Lists!$C:$C,Lists!$I:$I))</f>
        <v/>
      </c>
    </row>
    <row r="267" spans="3:19" x14ac:dyDescent="0.2">
      <c r="C267" s="26">
        <f>_xlfn.XLOOKUP(B267,Lists!B:B,Lists!A:A,"")</f>
        <v>0</v>
      </c>
      <c r="G267" s="26" t="str">
        <f t="shared" si="11"/>
        <v/>
      </c>
      <c r="H267" s="31" t="str">
        <f t="shared" si="12"/>
        <v/>
      </c>
      <c r="J267" s="27" t="str">
        <f>IF(I267="","",_xlfn.XLOOKUP(I267,Lists!$C:$C,Lists!$D:$D))</f>
        <v/>
      </c>
      <c r="N267" s="26" t="str">
        <f t="shared" si="13"/>
        <v/>
      </c>
      <c r="O267" s="27" t="str">
        <f>IF(I267="","",_xlfn.XLOOKUP(I267,Lists!$C:$C,Lists!$J:$J))</f>
        <v/>
      </c>
      <c r="P267" s="27" t="str">
        <f>IF(I267="","",_xlfn.XLOOKUP(I267,Lists!$C:$C,Lists!$E:$E))</f>
        <v/>
      </c>
      <c r="Q267" s="28" t="str">
        <f t="shared" si="14"/>
        <v/>
      </c>
      <c r="R267" s="26" t="str">
        <f t="shared" ca="1" si="15"/>
        <v/>
      </c>
      <c r="S267" s="27" t="str">
        <f>IF(I267="","",_xlfn.XLOOKUP(I267,Lists!$C:$C,Lists!$I:$I))</f>
        <v/>
      </c>
    </row>
    <row r="268" spans="3:19" x14ac:dyDescent="0.2">
      <c r="C268" s="26">
        <f>_xlfn.XLOOKUP(B268,Lists!B:B,Lists!A:A,"")</f>
        <v>0</v>
      </c>
      <c r="G268" s="26" t="str">
        <f t="shared" si="11"/>
        <v/>
      </c>
      <c r="H268" s="31" t="str">
        <f t="shared" si="12"/>
        <v/>
      </c>
      <c r="J268" s="27" t="str">
        <f>IF(I268="","",_xlfn.XLOOKUP(I268,Lists!$C:$C,Lists!$D:$D))</f>
        <v/>
      </c>
      <c r="N268" s="26" t="str">
        <f t="shared" si="13"/>
        <v/>
      </c>
      <c r="O268" s="27" t="str">
        <f>IF(I268="","",_xlfn.XLOOKUP(I268,Lists!$C:$C,Lists!$J:$J))</f>
        <v/>
      </c>
      <c r="P268" s="27" t="str">
        <f>IF(I268="","",_xlfn.XLOOKUP(I268,Lists!$C:$C,Lists!$E:$E))</f>
        <v/>
      </c>
      <c r="Q268" s="28" t="str">
        <f t="shared" si="14"/>
        <v/>
      </c>
      <c r="R268" s="26" t="str">
        <f t="shared" ca="1" si="15"/>
        <v/>
      </c>
      <c r="S268" s="27" t="str">
        <f>IF(I268="","",_xlfn.XLOOKUP(I268,Lists!$C:$C,Lists!$I:$I))</f>
        <v/>
      </c>
    </row>
    <row r="269" spans="3:19" x14ac:dyDescent="0.2">
      <c r="C269" s="26">
        <f>_xlfn.XLOOKUP(B269,Lists!B:B,Lists!A:A,"")</f>
        <v>0</v>
      </c>
      <c r="G269" s="26" t="str">
        <f t="shared" si="11"/>
        <v/>
      </c>
      <c r="H269" s="31" t="str">
        <f t="shared" si="12"/>
        <v/>
      </c>
      <c r="J269" s="27" t="str">
        <f>IF(I269="","",_xlfn.XLOOKUP(I269,Lists!$C:$C,Lists!$D:$D))</f>
        <v/>
      </c>
      <c r="N269" s="26" t="str">
        <f t="shared" si="13"/>
        <v/>
      </c>
      <c r="O269" s="27" t="str">
        <f>IF(I269="","",_xlfn.XLOOKUP(I269,Lists!$C:$C,Lists!$J:$J))</f>
        <v/>
      </c>
      <c r="P269" s="27" t="str">
        <f>IF(I269="","",_xlfn.XLOOKUP(I269,Lists!$C:$C,Lists!$E:$E))</f>
        <v/>
      </c>
      <c r="Q269" s="28" t="str">
        <f t="shared" si="14"/>
        <v/>
      </c>
      <c r="R269" s="26" t="str">
        <f t="shared" ca="1" si="15"/>
        <v/>
      </c>
      <c r="S269" s="27" t="str">
        <f>IF(I269="","",_xlfn.XLOOKUP(I269,Lists!$C:$C,Lists!$I:$I))</f>
        <v/>
      </c>
    </row>
    <row r="270" spans="3:19" x14ac:dyDescent="0.2">
      <c r="C270" s="26">
        <f>_xlfn.XLOOKUP(B270,Lists!B:B,Lists!A:A,"")</f>
        <v>0</v>
      </c>
      <c r="G270" s="26" t="str">
        <f t="shared" si="11"/>
        <v/>
      </c>
      <c r="H270" s="31" t="str">
        <f t="shared" si="12"/>
        <v/>
      </c>
      <c r="J270" s="27" t="str">
        <f>IF(I270="","",_xlfn.XLOOKUP(I270,Lists!$C:$C,Lists!$D:$D))</f>
        <v/>
      </c>
      <c r="N270" s="26" t="str">
        <f t="shared" si="13"/>
        <v/>
      </c>
      <c r="O270" s="27" t="str">
        <f>IF(I270="","",_xlfn.XLOOKUP(I270,Lists!$C:$C,Lists!$J:$J))</f>
        <v/>
      </c>
      <c r="P270" s="27" t="str">
        <f>IF(I270="","",_xlfn.XLOOKUP(I270,Lists!$C:$C,Lists!$E:$E))</f>
        <v/>
      </c>
      <c r="Q270" s="28" t="str">
        <f t="shared" si="14"/>
        <v/>
      </c>
      <c r="R270" s="26" t="str">
        <f t="shared" ca="1" si="15"/>
        <v/>
      </c>
      <c r="S270" s="27" t="str">
        <f>IF(I270="","",_xlfn.XLOOKUP(I270,Lists!$C:$C,Lists!$I:$I))</f>
        <v/>
      </c>
    </row>
    <row r="271" spans="3:19" x14ac:dyDescent="0.2">
      <c r="C271" s="26">
        <f>_xlfn.XLOOKUP(B271,Lists!B:B,Lists!A:A,"")</f>
        <v>0</v>
      </c>
      <c r="G271" s="26" t="str">
        <f t="shared" si="11"/>
        <v/>
      </c>
      <c r="H271" s="31" t="str">
        <f t="shared" si="12"/>
        <v/>
      </c>
      <c r="J271" s="27" t="str">
        <f>IF(I271="","",_xlfn.XLOOKUP(I271,Lists!$C:$C,Lists!$D:$D))</f>
        <v/>
      </c>
      <c r="N271" s="26" t="str">
        <f t="shared" si="13"/>
        <v/>
      </c>
      <c r="O271" s="27" t="str">
        <f>IF(I271="","",_xlfn.XLOOKUP(I271,Lists!$C:$C,Lists!$J:$J))</f>
        <v/>
      </c>
      <c r="P271" s="27" t="str">
        <f>IF(I271="","",_xlfn.XLOOKUP(I271,Lists!$C:$C,Lists!$E:$E))</f>
        <v/>
      </c>
      <c r="Q271" s="28" t="str">
        <f t="shared" si="14"/>
        <v/>
      </c>
      <c r="R271" s="26" t="str">
        <f t="shared" ca="1" si="15"/>
        <v/>
      </c>
      <c r="S271" s="27" t="str">
        <f>IF(I271="","",_xlfn.XLOOKUP(I271,Lists!$C:$C,Lists!$I:$I))</f>
        <v/>
      </c>
    </row>
    <row r="272" spans="3:19" x14ac:dyDescent="0.2">
      <c r="C272" s="26">
        <f>_xlfn.XLOOKUP(B272,Lists!B:B,Lists!A:A,"")</f>
        <v>0</v>
      </c>
      <c r="G272" s="26" t="str">
        <f t="shared" si="11"/>
        <v/>
      </c>
      <c r="H272" s="31" t="str">
        <f t="shared" si="12"/>
        <v/>
      </c>
      <c r="J272" s="27" t="str">
        <f>IF(I272="","",_xlfn.XLOOKUP(I272,Lists!$C:$C,Lists!$D:$D))</f>
        <v/>
      </c>
      <c r="N272" s="26" t="str">
        <f t="shared" si="13"/>
        <v/>
      </c>
      <c r="O272" s="27" t="str">
        <f>IF(I272="","",_xlfn.XLOOKUP(I272,Lists!$C:$C,Lists!$J:$J))</f>
        <v/>
      </c>
      <c r="P272" s="27" t="str">
        <f>IF(I272="","",_xlfn.XLOOKUP(I272,Lists!$C:$C,Lists!$E:$E))</f>
        <v/>
      </c>
      <c r="Q272" s="28" t="str">
        <f t="shared" si="14"/>
        <v/>
      </c>
      <c r="R272" s="26" t="str">
        <f t="shared" ca="1" si="15"/>
        <v/>
      </c>
      <c r="S272" s="27" t="str">
        <f>IF(I272="","",_xlfn.XLOOKUP(I272,Lists!$C:$C,Lists!$I:$I))</f>
        <v/>
      </c>
    </row>
    <row r="273" spans="3:19" x14ac:dyDescent="0.2">
      <c r="C273" s="26">
        <f>_xlfn.XLOOKUP(B273,Lists!B:B,Lists!A:A,"")</f>
        <v>0</v>
      </c>
      <c r="G273" s="26" t="str">
        <f t="shared" si="11"/>
        <v/>
      </c>
      <c r="H273" s="31" t="str">
        <f t="shared" si="12"/>
        <v/>
      </c>
      <c r="J273" s="27" t="str">
        <f>IF(I273="","",_xlfn.XLOOKUP(I273,Lists!$C:$C,Lists!$D:$D))</f>
        <v/>
      </c>
      <c r="N273" s="26" t="str">
        <f t="shared" si="13"/>
        <v/>
      </c>
      <c r="O273" s="27" t="str">
        <f>IF(I273="","",_xlfn.XLOOKUP(I273,Lists!$C:$C,Lists!$J:$J))</f>
        <v/>
      </c>
      <c r="P273" s="27" t="str">
        <f>IF(I273="","",_xlfn.XLOOKUP(I273,Lists!$C:$C,Lists!$E:$E))</f>
        <v/>
      </c>
      <c r="Q273" s="28" t="str">
        <f t="shared" si="14"/>
        <v/>
      </c>
      <c r="R273" s="26" t="str">
        <f t="shared" ca="1" si="15"/>
        <v/>
      </c>
      <c r="S273" s="27" t="str">
        <f>IF(I273="","",_xlfn.XLOOKUP(I273,Lists!$C:$C,Lists!$I:$I))</f>
        <v/>
      </c>
    </row>
    <row r="274" spans="3:19" x14ac:dyDescent="0.2">
      <c r="C274" s="26">
        <f>_xlfn.XLOOKUP(B274,Lists!B:B,Lists!A:A,"")</f>
        <v>0</v>
      </c>
      <c r="G274" s="26" t="str">
        <f t="shared" si="11"/>
        <v/>
      </c>
      <c r="H274" s="31" t="str">
        <f t="shared" si="12"/>
        <v/>
      </c>
      <c r="J274" s="27" t="str">
        <f>IF(I274="","",_xlfn.XLOOKUP(I274,Lists!$C:$C,Lists!$D:$D))</f>
        <v/>
      </c>
      <c r="N274" s="26" t="str">
        <f t="shared" si="13"/>
        <v/>
      </c>
      <c r="O274" s="27" t="str">
        <f>IF(I274="","",_xlfn.XLOOKUP(I274,Lists!$C:$C,Lists!$J:$J))</f>
        <v/>
      </c>
      <c r="P274" s="27" t="str">
        <f>IF(I274="","",_xlfn.XLOOKUP(I274,Lists!$C:$C,Lists!$E:$E))</f>
        <v/>
      </c>
      <c r="Q274" s="28" t="str">
        <f t="shared" si="14"/>
        <v/>
      </c>
      <c r="R274" s="26" t="str">
        <f t="shared" ca="1" si="15"/>
        <v/>
      </c>
      <c r="S274" s="27" t="str">
        <f>IF(I274="","",_xlfn.XLOOKUP(I274,Lists!$C:$C,Lists!$I:$I))</f>
        <v/>
      </c>
    </row>
    <row r="275" spans="3:19" x14ac:dyDescent="0.2">
      <c r="C275" s="26">
        <f>_xlfn.XLOOKUP(B275,Lists!B:B,Lists!A:A,"")</f>
        <v>0</v>
      </c>
      <c r="G275" s="26" t="str">
        <f t="shared" si="11"/>
        <v/>
      </c>
      <c r="H275" s="31" t="str">
        <f t="shared" si="12"/>
        <v/>
      </c>
      <c r="J275" s="27" t="str">
        <f>IF(I275="","",_xlfn.XLOOKUP(I275,Lists!$C:$C,Lists!$D:$D))</f>
        <v/>
      </c>
      <c r="N275" s="26" t="str">
        <f t="shared" si="13"/>
        <v/>
      </c>
      <c r="O275" s="27" t="str">
        <f>IF(I275="","",_xlfn.XLOOKUP(I275,Lists!$C:$C,Lists!$J:$J))</f>
        <v/>
      </c>
      <c r="P275" s="27" t="str">
        <f>IF(I275="","",_xlfn.XLOOKUP(I275,Lists!$C:$C,Lists!$E:$E))</f>
        <v/>
      </c>
      <c r="Q275" s="28" t="str">
        <f t="shared" si="14"/>
        <v/>
      </c>
      <c r="R275" s="26" t="str">
        <f t="shared" ca="1" si="15"/>
        <v/>
      </c>
      <c r="S275" s="27" t="str">
        <f>IF(I275="","",_xlfn.XLOOKUP(I275,Lists!$C:$C,Lists!$I:$I))</f>
        <v/>
      </c>
    </row>
    <row r="276" spans="3:19" x14ac:dyDescent="0.2">
      <c r="C276" s="26">
        <f>_xlfn.XLOOKUP(B276,Lists!B:B,Lists!A:A,"")</f>
        <v>0</v>
      </c>
      <c r="G276" s="26" t="str">
        <f t="shared" si="11"/>
        <v/>
      </c>
      <c r="H276" s="31" t="str">
        <f t="shared" si="12"/>
        <v/>
      </c>
      <c r="J276" s="27" t="str">
        <f>IF(I276="","",_xlfn.XLOOKUP(I276,Lists!$C:$C,Lists!$D:$D))</f>
        <v/>
      </c>
      <c r="N276" s="26" t="str">
        <f t="shared" si="13"/>
        <v/>
      </c>
      <c r="O276" s="27" t="str">
        <f>IF(I276="","",_xlfn.XLOOKUP(I276,Lists!$C:$C,Lists!$J:$J))</f>
        <v/>
      </c>
      <c r="P276" s="27" t="str">
        <f>IF(I276="","",_xlfn.XLOOKUP(I276,Lists!$C:$C,Lists!$E:$E))</f>
        <v/>
      </c>
      <c r="Q276" s="28" t="str">
        <f t="shared" si="14"/>
        <v/>
      </c>
      <c r="R276" s="26" t="str">
        <f t="shared" ca="1" si="15"/>
        <v/>
      </c>
      <c r="S276" s="27" t="str">
        <f>IF(I276="","",_xlfn.XLOOKUP(I276,Lists!$C:$C,Lists!$I:$I))</f>
        <v/>
      </c>
    </row>
    <row r="277" spans="3:19" x14ac:dyDescent="0.2">
      <c r="C277" s="26">
        <f>_xlfn.XLOOKUP(B277,Lists!B:B,Lists!A:A,"")</f>
        <v>0</v>
      </c>
      <c r="G277" s="26" t="str">
        <f t="shared" si="11"/>
        <v/>
      </c>
      <c r="H277" s="31" t="str">
        <f t="shared" si="12"/>
        <v/>
      </c>
      <c r="J277" s="27" t="str">
        <f>IF(I277="","",_xlfn.XLOOKUP(I277,Lists!$C:$C,Lists!$D:$D))</f>
        <v/>
      </c>
      <c r="N277" s="26" t="str">
        <f t="shared" si="13"/>
        <v/>
      </c>
      <c r="O277" s="27" t="str">
        <f>IF(I277="","",_xlfn.XLOOKUP(I277,Lists!$C:$C,Lists!$J:$J))</f>
        <v/>
      </c>
      <c r="P277" s="27" t="str">
        <f>IF(I277="","",_xlfn.XLOOKUP(I277,Lists!$C:$C,Lists!$E:$E))</f>
        <v/>
      </c>
      <c r="Q277" s="28" t="str">
        <f t="shared" si="14"/>
        <v/>
      </c>
      <c r="R277" s="26" t="str">
        <f t="shared" ca="1" si="15"/>
        <v/>
      </c>
      <c r="S277" s="27" t="str">
        <f>IF(I277="","",_xlfn.XLOOKUP(I277,Lists!$C:$C,Lists!$I:$I))</f>
        <v/>
      </c>
    </row>
    <row r="278" spans="3:19" x14ac:dyDescent="0.2">
      <c r="C278" s="26">
        <f>_xlfn.XLOOKUP(B278,Lists!B:B,Lists!A:A,"")</f>
        <v>0</v>
      </c>
      <c r="G278" s="26" t="str">
        <f t="shared" si="11"/>
        <v/>
      </c>
      <c r="H278" s="31" t="str">
        <f t="shared" si="12"/>
        <v/>
      </c>
      <c r="J278" s="27" t="str">
        <f>IF(I278="","",_xlfn.XLOOKUP(I278,Lists!$C:$C,Lists!$D:$D))</f>
        <v/>
      </c>
      <c r="N278" s="26" t="str">
        <f t="shared" si="13"/>
        <v/>
      </c>
      <c r="O278" s="27" t="str">
        <f>IF(I278="","",_xlfn.XLOOKUP(I278,Lists!$C:$C,Lists!$J:$J))</f>
        <v/>
      </c>
      <c r="P278" s="27" t="str">
        <f>IF(I278="","",_xlfn.XLOOKUP(I278,Lists!$C:$C,Lists!$E:$E))</f>
        <v/>
      </c>
      <c r="Q278" s="28" t="str">
        <f t="shared" si="14"/>
        <v/>
      </c>
      <c r="R278" s="26" t="str">
        <f t="shared" ca="1" si="15"/>
        <v/>
      </c>
      <c r="S278" s="27" t="str">
        <f>IF(I278="","",_xlfn.XLOOKUP(I278,Lists!$C:$C,Lists!$I:$I))</f>
        <v/>
      </c>
    </row>
    <row r="279" spans="3:19" x14ac:dyDescent="0.2">
      <c r="C279" s="26">
        <f>_xlfn.XLOOKUP(B279,Lists!B:B,Lists!A:A,"")</f>
        <v>0</v>
      </c>
      <c r="G279" s="26" t="str">
        <f t="shared" si="11"/>
        <v/>
      </c>
      <c r="H279" s="31" t="str">
        <f t="shared" si="12"/>
        <v/>
      </c>
      <c r="J279" s="27" t="str">
        <f>IF(I279="","",_xlfn.XLOOKUP(I279,Lists!$C:$C,Lists!$D:$D))</f>
        <v/>
      </c>
      <c r="N279" s="26" t="str">
        <f t="shared" si="13"/>
        <v/>
      </c>
      <c r="O279" s="27" t="str">
        <f>IF(I279="","",_xlfn.XLOOKUP(I279,Lists!$C:$C,Lists!$J:$J))</f>
        <v/>
      </c>
      <c r="P279" s="27" t="str">
        <f>IF(I279="","",_xlfn.XLOOKUP(I279,Lists!$C:$C,Lists!$E:$E))</f>
        <v/>
      </c>
      <c r="Q279" s="28" t="str">
        <f t="shared" si="14"/>
        <v/>
      </c>
      <c r="R279" s="26" t="str">
        <f t="shared" ca="1" si="15"/>
        <v/>
      </c>
      <c r="S279" s="27" t="str">
        <f>IF(I279="","",_xlfn.XLOOKUP(I279,Lists!$C:$C,Lists!$I:$I))</f>
        <v/>
      </c>
    </row>
    <row r="280" spans="3:19" x14ac:dyDescent="0.2">
      <c r="C280" s="26">
        <f>_xlfn.XLOOKUP(B280,Lists!B:B,Lists!A:A,"")</f>
        <v>0</v>
      </c>
      <c r="G280" s="26" t="str">
        <f t="shared" si="11"/>
        <v/>
      </c>
      <c r="H280" s="31" t="str">
        <f t="shared" si="12"/>
        <v/>
      </c>
      <c r="J280" s="27" t="str">
        <f>IF(I280="","",_xlfn.XLOOKUP(I280,Lists!$C:$C,Lists!$D:$D))</f>
        <v/>
      </c>
      <c r="N280" s="26" t="str">
        <f t="shared" si="13"/>
        <v/>
      </c>
      <c r="O280" s="27" t="str">
        <f>IF(I280="","",_xlfn.XLOOKUP(I280,Lists!$C:$C,Lists!$J:$J))</f>
        <v/>
      </c>
      <c r="P280" s="27" t="str">
        <f>IF(I280="","",_xlfn.XLOOKUP(I280,Lists!$C:$C,Lists!$E:$E))</f>
        <v/>
      </c>
      <c r="Q280" s="28" t="str">
        <f t="shared" si="14"/>
        <v/>
      </c>
      <c r="R280" s="26" t="str">
        <f t="shared" ca="1" si="15"/>
        <v/>
      </c>
      <c r="S280" s="27" t="str">
        <f>IF(I280="","",_xlfn.XLOOKUP(I280,Lists!$C:$C,Lists!$I:$I))</f>
        <v/>
      </c>
    </row>
    <row r="281" spans="3:19" x14ac:dyDescent="0.2">
      <c r="C281" s="26">
        <f>_xlfn.XLOOKUP(B281,Lists!B:B,Lists!A:A,"")</f>
        <v>0</v>
      </c>
      <c r="G281" s="26" t="str">
        <f t="shared" si="11"/>
        <v/>
      </c>
      <c r="H281" s="31" t="str">
        <f t="shared" si="12"/>
        <v/>
      </c>
      <c r="J281" s="27" t="str">
        <f>IF(I281="","",_xlfn.XLOOKUP(I281,Lists!$C:$C,Lists!$D:$D))</f>
        <v/>
      </c>
      <c r="N281" s="26" t="str">
        <f t="shared" si="13"/>
        <v/>
      </c>
      <c r="O281" s="27" t="str">
        <f>IF(I281="","",_xlfn.XLOOKUP(I281,Lists!$C:$C,Lists!$J:$J))</f>
        <v/>
      </c>
      <c r="P281" s="27" t="str">
        <f>IF(I281="","",_xlfn.XLOOKUP(I281,Lists!$C:$C,Lists!$E:$E))</f>
        <v/>
      </c>
      <c r="Q281" s="28" t="str">
        <f t="shared" si="14"/>
        <v/>
      </c>
      <c r="R281" s="26" t="str">
        <f t="shared" ca="1" si="15"/>
        <v/>
      </c>
      <c r="S281" s="27" t="str">
        <f>IF(I281="","",_xlfn.XLOOKUP(I281,Lists!$C:$C,Lists!$I:$I))</f>
        <v/>
      </c>
    </row>
    <row r="282" spans="3:19" x14ac:dyDescent="0.2">
      <c r="C282" s="26">
        <f>_xlfn.XLOOKUP(B282,Lists!B:B,Lists!A:A,"")</f>
        <v>0</v>
      </c>
      <c r="G282" s="26" t="str">
        <f t="shared" si="11"/>
        <v/>
      </c>
      <c r="H282" s="31" t="str">
        <f t="shared" si="12"/>
        <v/>
      </c>
      <c r="J282" s="27" t="str">
        <f>IF(I282="","",_xlfn.XLOOKUP(I282,Lists!$C:$C,Lists!$D:$D))</f>
        <v/>
      </c>
      <c r="N282" s="26" t="str">
        <f t="shared" si="13"/>
        <v/>
      </c>
      <c r="O282" s="27" t="str">
        <f>IF(I282="","",_xlfn.XLOOKUP(I282,Lists!$C:$C,Lists!$J:$J))</f>
        <v/>
      </c>
      <c r="P282" s="27" t="str">
        <f>IF(I282="","",_xlfn.XLOOKUP(I282,Lists!$C:$C,Lists!$E:$E))</f>
        <v/>
      </c>
      <c r="Q282" s="28" t="str">
        <f t="shared" si="14"/>
        <v/>
      </c>
      <c r="R282" s="26" t="str">
        <f t="shared" ca="1" si="15"/>
        <v/>
      </c>
      <c r="S282" s="27" t="str">
        <f>IF(I282="","",_xlfn.XLOOKUP(I282,Lists!$C:$C,Lists!$I:$I))</f>
        <v/>
      </c>
    </row>
    <row r="283" spans="3:19" x14ac:dyDescent="0.2">
      <c r="C283" s="26">
        <f>_xlfn.XLOOKUP(B283,Lists!B:B,Lists!A:A,"")</f>
        <v>0</v>
      </c>
      <c r="G283" s="26" t="str">
        <f t="shared" ref="G283:G346" si="16">IF(OR(E283="",F283=""),"",F283-E283+1)</f>
        <v/>
      </c>
      <c r="H283" s="31" t="str">
        <f t="shared" ref="H283:H346" si="17">IF(D283="","",IF(OR(D283="A",D283="B"),G283/80,IF(D283="A&amp;B",G283/160,"")))</f>
        <v/>
      </c>
      <c r="J283" s="27" t="str">
        <f>IF(I283="","",_xlfn.XLOOKUP(I283,Lists!$C:$C,Lists!$D:$D))</f>
        <v/>
      </c>
      <c r="N283" s="26" t="str">
        <f t="shared" ref="N283:N346" si="18">IF(OR(M283="",L283=""),"",(M283*L283)/100000)</f>
        <v/>
      </c>
      <c r="O283" s="27" t="str">
        <f>IF(I283="","",_xlfn.XLOOKUP(I283,Lists!$C:$C,Lists!$J:$J))</f>
        <v/>
      </c>
      <c r="P283" s="27" t="str">
        <f>IF(I283="","",_xlfn.XLOOKUP(I283,Lists!$C:$C,Lists!$E:$E))</f>
        <v/>
      </c>
      <c r="Q283" s="28" t="str">
        <f t="shared" ref="Q283:Q346" si="19">IF(OR(A283="",P283=""),"",A283+P283+1)</f>
        <v/>
      </c>
      <c r="R283" s="26" t="str">
        <f t="shared" ref="R283:R346" ca="1" si="20">IF(Q283="","",IF(Q283&lt;=TODAY(),"Allow","Not Allow"))</f>
        <v/>
      </c>
      <c r="S283" s="27" t="str">
        <f>IF(I283="","",_xlfn.XLOOKUP(I283,Lists!$C:$C,Lists!$I:$I))</f>
        <v/>
      </c>
    </row>
    <row r="284" spans="3:19" x14ac:dyDescent="0.2">
      <c r="C284" s="26">
        <f>_xlfn.XLOOKUP(B284,Lists!B:B,Lists!A:A,"")</f>
        <v>0</v>
      </c>
      <c r="G284" s="26" t="str">
        <f t="shared" si="16"/>
        <v/>
      </c>
      <c r="H284" s="31" t="str">
        <f t="shared" si="17"/>
        <v/>
      </c>
      <c r="J284" s="27" t="str">
        <f>IF(I284="","",_xlfn.XLOOKUP(I284,Lists!$C:$C,Lists!$D:$D))</f>
        <v/>
      </c>
      <c r="N284" s="26" t="str">
        <f t="shared" si="18"/>
        <v/>
      </c>
      <c r="O284" s="27" t="str">
        <f>IF(I284="","",_xlfn.XLOOKUP(I284,Lists!$C:$C,Lists!$J:$J))</f>
        <v/>
      </c>
      <c r="P284" s="27" t="str">
        <f>IF(I284="","",_xlfn.XLOOKUP(I284,Lists!$C:$C,Lists!$E:$E))</f>
        <v/>
      </c>
      <c r="Q284" s="28" t="str">
        <f t="shared" si="19"/>
        <v/>
      </c>
      <c r="R284" s="26" t="str">
        <f t="shared" ca="1" si="20"/>
        <v/>
      </c>
      <c r="S284" s="27" t="str">
        <f>IF(I284="","",_xlfn.XLOOKUP(I284,Lists!$C:$C,Lists!$I:$I))</f>
        <v/>
      </c>
    </row>
    <row r="285" spans="3:19" x14ac:dyDescent="0.2">
      <c r="C285" s="26">
        <f>_xlfn.XLOOKUP(B285,Lists!B:B,Lists!A:A,"")</f>
        <v>0</v>
      </c>
      <c r="G285" s="26" t="str">
        <f t="shared" si="16"/>
        <v/>
      </c>
      <c r="H285" s="31" t="str">
        <f t="shared" si="17"/>
        <v/>
      </c>
      <c r="J285" s="27" t="str">
        <f>IF(I285="","",_xlfn.XLOOKUP(I285,Lists!$C:$C,Lists!$D:$D))</f>
        <v/>
      </c>
      <c r="N285" s="26" t="str">
        <f t="shared" si="18"/>
        <v/>
      </c>
      <c r="O285" s="27" t="str">
        <f>IF(I285="","",_xlfn.XLOOKUP(I285,Lists!$C:$C,Lists!$J:$J))</f>
        <v/>
      </c>
      <c r="P285" s="27" t="str">
        <f>IF(I285="","",_xlfn.XLOOKUP(I285,Lists!$C:$C,Lists!$E:$E))</f>
        <v/>
      </c>
      <c r="Q285" s="28" t="str">
        <f t="shared" si="19"/>
        <v/>
      </c>
      <c r="R285" s="26" t="str">
        <f t="shared" ca="1" si="20"/>
        <v/>
      </c>
      <c r="S285" s="27" t="str">
        <f>IF(I285="","",_xlfn.XLOOKUP(I285,Lists!$C:$C,Lists!$I:$I))</f>
        <v/>
      </c>
    </row>
    <row r="286" spans="3:19" x14ac:dyDescent="0.2">
      <c r="C286" s="26">
        <f>_xlfn.XLOOKUP(B286,Lists!B:B,Lists!A:A,"")</f>
        <v>0</v>
      </c>
      <c r="G286" s="26" t="str">
        <f t="shared" si="16"/>
        <v/>
      </c>
      <c r="H286" s="31" t="str">
        <f t="shared" si="17"/>
        <v/>
      </c>
      <c r="J286" s="27" t="str">
        <f>IF(I286="","",_xlfn.XLOOKUP(I286,Lists!$C:$C,Lists!$D:$D))</f>
        <v/>
      </c>
      <c r="N286" s="26" t="str">
        <f t="shared" si="18"/>
        <v/>
      </c>
      <c r="O286" s="27" t="str">
        <f>IF(I286="","",_xlfn.XLOOKUP(I286,Lists!$C:$C,Lists!$J:$J))</f>
        <v/>
      </c>
      <c r="P286" s="27" t="str">
        <f>IF(I286="","",_xlfn.XLOOKUP(I286,Lists!$C:$C,Lists!$E:$E))</f>
        <v/>
      </c>
      <c r="Q286" s="28" t="str">
        <f t="shared" si="19"/>
        <v/>
      </c>
      <c r="R286" s="26" t="str">
        <f t="shared" ca="1" si="20"/>
        <v/>
      </c>
      <c r="S286" s="27" t="str">
        <f>IF(I286="","",_xlfn.XLOOKUP(I286,Lists!$C:$C,Lists!$I:$I))</f>
        <v/>
      </c>
    </row>
    <row r="287" spans="3:19" x14ac:dyDescent="0.2">
      <c r="C287" s="26">
        <f>_xlfn.XLOOKUP(B287,Lists!B:B,Lists!A:A,"")</f>
        <v>0</v>
      </c>
      <c r="G287" s="26" t="str">
        <f t="shared" si="16"/>
        <v/>
      </c>
      <c r="H287" s="31" t="str">
        <f t="shared" si="17"/>
        <v/>
      </c>
      <c r="J287" s="27" t="str">
        <f>IF(I287="","",_xlfn.XLOOKUP(I287,Lists!$C:$C,Lists!$D:$D))</f>
        <v/>
      </c>
      <c r="N287" s="26" t="str">
        <f t="shared" si="18"/>
        <v/>
      </c>
      <c r="O287" s="27" t="str">
        <f>IF(I287="","",_xlfn.XLOOKUP(I287,Lists!$C:$C,Lists!$J:$J))</f>
        <v/>
      </c>
      <c r="P287" s="27" t="str">
        <f>IF(I287="","",_xlfn.XLOOKUP(I287,Lists!$C:$C,Lists!$E:$E))</f>
        <v/>
      </c>
      <c r="Q287" s="28" t="str">
        <f t="shared" si="19"/>
        <v/>
      </c>
      <c r="R287" s="26" t="str">
        <f t="shared" ca="1" si="20"/>
        <v/>
      </c>
      <c r="S287" s="27" t="str">
        <f>IF(I287="","",_xlfn.XLOOKUP(I287,Lists!$C:$C,Lists!$I:$I))</f>
        <v/>
      </c>
    </row>
    <row r="288" spans="3:19" x14ac:dyDescent="0.2">
      <c r="C288" s="26">
        <f>_xlfn.XLOOKUP(B288,Lists!B:B,Lists!A:A,"")</f>
        <v>0</v>
      </c>
      <c r="G288" s="26" t="str">
        <f t="shared" si="16"/>
        <v/>
      </c>
      <c r="H288" s="31" t="str">
        <f t="shared" si="17"/>
        <v/>
      </c>
      <c r="J288" s="27" t="str">
        <f>IF(I288="","",_xlfn.XLOOKUP(I288,Lists!$C:$C,Lists!$D:$D))</f>
        <v/>
      </c>
      <c r="N288" s="26" t="str">
        <f t="shared" si="18"/>
        <v/>
      </c>
      <c r="O288" s="27" t="str">
        <f>IF(I288="","",_xlfn.XLOOKUP(I288,Lists!$C:$C,Lists!$J:$J))</f>
        <v/>
      </c>
      <c r="P288" s="27" t="str">
        <f>IF(I288="","",_xlfn.XLOOKUP(I288,Lists!$C:$C,Lists!$E:$E))</f>
        <v/>
      </c>
      <c r="Q288" s="28" t="str">
        <f t="shared" si="19"/>
        <v/>
      </c>
      <c r="R288" s="26" t="str">
        <f t="shared" ca="1" si="20"/>
        <v/>
      </c>
      <c r="S288" s="27" t="str">
        <f>IF(I288="","",_xlfn.XLOOKUP(I288,Lists!$C:$C,Lists!$I:$I))</f>
        <v/>
      </c>
    </row>
    <row r="289" spans="3:19" x14ac:dyDescent="0.2">
      <c r="C289" s="26">
        <f>_xlfn.XLOOKUP(B289,Lists!B:B,Lists!A:A,"")</f>
        <v>0</v>
      </c>
      <c r="G289" s="26" t="str">
        <f t="shared" si="16"/>
        <v/>
      </c>
      <c r="H289" s="31" t="str">
        <f t="shared" si="17"/>
        <v/>
      </c>
      <c r="J289" s="27" t="str">
        <f>IF(I289="","",_xlfn.XLOOKUP(I289,Lists!$C:$C,Lists!$D:$D))</f>
        <v/>
      </c>
      <c r="N289" s="26" t="str">
        <f t="shared" si="18"/>
        <v/>
      </c>
      <c r="O289" s="27" t="str">
        <f>IF(I289="","",_xlfn.XLOOKUP(I289,Lists!$C:$C,Lists!$J:$J))</f>
        <v/>
      </c>
      <c r="P289" s="27" t="str">
        <f>IF(I289="","",_xlfn.XLOOKUP(I289,Lists!$C:$C,Lists!$E:$E))</f>
        <v/>
      </c>
      <c r="Q289" s="28" t="str">
        <f t="shared" si="19"/>
        <v/>
      </c>
      <c r="R289" s="26" t="str">
        <f t="shared" ca="1" si="20"/>
        <v/>
      </c>
      <c r="S289" s="27" t="str">
        <f>IF(I289="","",_xlfn.XLOOKUP(I289,Lists!$C:$C,Lists!$I:$I))</f>
        <v/>
      </c>
    </row>
    <row r="290" spans="3:19" x14ac:dyDescent="0.2">
      <c r="C290" s="26">
        <f>_xlfn.XLOOKUP(B290,Lists!B:B,Lists!A:A,"")</f>
        <v>0</v>
      </c>
      <c r="G290" s="26" t="str">
        <f t="shared" si="16"/>
        <v/>
      </c>
      <c r="H290" s="31" t="str">
        <f t="shared" si="17"/>
        <v/>
      </c>
      <c r="J290" s="27" t="str">
        <f>IF(I290="","",_xlfn.XLOOKUP(I290,Lists!$C:$C,Lists!$D:$D))</f>
        <v/>
      </c>
      <c r="N290" s="26" t="str">
        <f t="shared" si="18"/>
        <v/>
      </c>
      <c r="O290" s="27" t="str">
        <f>IF(I290="","",_xlfn.XLOOKUP(I290,Lists!$C:$C,Lists!$J:$J))</f>
        <v/>
      </c>
      <c r="P290" s="27" t="str">
        <f>IF(I290="","",_xlfn.XLOOKUP(I290,Lists!$C:$C,Lists!$E:$E))</f>
        <v/>
      </c>
      <c r="Q290" s="28" t="str">
        <f t="shared" si="19"/>
        <v/>
      </c>
      <c r="R290" s="26" t="str">
        <f t="shared" ca="1" si="20"/>
        <v/>
      </c>
      <c r="S290" s="27" t="str">
        <f>IF(I290="","",_xlfn.XLOOKUP(I290,Lists!$C:$C,Lists!$I:$I))</f>
        <v/>
      </c>
    </row>
    <row r="291" spans="3:19" x14ac:dyDescent="0.2">
      <c r="C291" s="26">
        <f>_xlfn.XLOOKUP(B291,Lists!B:B,Lists!A:A,"")</f>
        <v>0</v>
      </c>
      <c r="G291" s="26" t="str">
        <f t="shared" si="16"/>
        <v/>
      </c>
      <c r="H291" s="31" t="str">
        <f t="shared" si="17"/>
        <v/>
      </c>
      <c r="J291" s="27" t="str">
        <f>IF(I291="","",_xlfn.XLOOKUP(I291,Lists!$C:$C,Lists!$D:$D))</f>
        <v/>
      </c>
      <c r="N291" s="26" t="str">
        <f t="shared" si="18"/>
        <v/>
      </c>
      <c r="O291" s="27" t="str">
        <f>IF(I291="","",_xlfn.XLOOKUP(I291,Lists!$C:$C,Lists!$J:$J))</f>
        <v/>
      </c>
      <c r="P291" s="27" t="str">
        <f>IF(I291="","",_xlfn.XLOOKUP(I291,Lists!$C:$C,Lists!$E:$E))</f>
        <v/>
      </c>
      <c r="Q291" s="28" t="str">
        <f t="shared" si="19"/>
        <v/>
      </c>
      <c r="R291" s="26" t="str">
        <f t="shared" ca="1" si="20"/>
        <v/>
      </c>
      <c r="S291" s="27" t="str">
        <f>IF(I291="","",_xlfn.XLOOKUP(I291,Lists!$C:$C,Lists!$I:$I))</f>
        <v/>
      </c>
    </row>
    <row r="292" spans="3:19" x14ac:dyDescent="0.2">
      <c r="C292" s="26">
        <f>_xlfn.XLOOKUP(B292,Lists!B:B,Lists!A:A,"")</f>
        <v>0</v>
      </c>
      <c r="G292" s="26" t="str">
        <f t="shared" si="16"/>
        <v/>
      </c>
      <c r="H292" s="31" t="str">
        <f t="shared" si="17"/>
        <v/>
      </c>
      <c r="J292" s="27" t="str">
        <f>IF(I292="","",_xlfn.XLOOKUP(I292,Lists!$C:$C,Lists!$D:$D))</f>
        <v/>
      </c>
      <c r="N292" s="26" t="str">
        <f t="shared" si="18"/>
        <v/>
      </c>
      <c r="O292" s="27" t="str">
        <f>IF(I292="","",_xlfn.XLOOKUP(I292,Lists!$C:$C,Lists!$J:$J))</f>
        <v/>
      </c>
      <c r="P292" s="27" t="str">
        <f>IF(I292="","",_xlfn.XLOOKUP(I292,Lists!$C:$C,Lists!$E:$E))</f>
        <v/>
      </c>
      <c r="Q292" s="28" t="str">
        <f t="shared" si="19"/>
        <v/>
      </c>
      <c r="R292" s="26" t="str">
        <f t="shared" ca="1" si="20"/>
        <v/>
      </c>
      <c r="S292" s="27" t="str">
        <f>IF(I292="","",_xlfn.XLOOKUP(I292,Lists!$C:$C,Lists!$I:$I))</f>
        <v/>
      </c>
    </row>
    <row r="293" spans="3:19" x14ac:dyDescent="0.2">
      <c r="C293" s="26">
        <f>_xlfn.XLOOKUP(B293,Lists!B:B,Lists!A:A,"")</f>
        <v>0</v>
      </c>
      <c r="G293" s="26" t="str">
        <f t="shared" si="16"/>
        <v/>
      </c>
      <c r="H293" s="31" t="str">
        <f t="shared" si="17"/>
        <v/>
      </c>
      <c r="J293" s="27" t="str">
        <f>IF(I293="","",_xlfn.XLOOKUP(I293,Lists!$C:$C,Lists!$D:$D))</f>
        <v/>
      </c>
      <c r="N293" s="26" t="str">
        <f t="shared" si="18"/>
        <v/>
      </c>
      <c r="O293" s="27" t="str">
        <f>IF(I293="","",_xlfn.XLOOKUP(I293,Lists!$C:$C,Lists!$J:$J))</f>
        <v/>
      </c>
      <c r="P293" s="27" t="str">
        <f>IF(I293="","",_xlfn.XLOOKUP(I293,Lists!$C:$C,Lists!$E:$E))</f>
        <v/>
      </c>
      <c r="Q293" s="28" t="str">
        <f t="shared" si="19"/>
        <v/>
      </c>
      <c r="R293" s="26" t="str">
        <f t="shared" ca="1" si="20"/>
        <v/>
      </c>
      <c r="S293" s="27" t="str">
        <f>IF(I293="","",_xlfn.XLOOKUP(I293,Lists!$C:$C,Lists!$I:$I))</f>
        <v/>
      </c>
    </row>
    <row r="294" spans="3:19" x14ac:dyDescent="0.2">
      <c r="C294" s="26">
        <f>_xlfn.XLOOKUP(B294,Lists!B:B,Lists!A:A,"")</f>
        <v>0</v>
      </c>
      <c r="G294" s="26" t="str">
        <f t="shared" si="16"/>
        <v/>
      </c>
      <c r="H294" s="31" t="str">
        <f t="shared" si="17"/>
        <v/>
      </c>
      <c r="J294" s="27" t="str">
        <f>IF(I294="","",_xlfn.XLOOKUP(I294,Lists!$C:$C,Lists!$D:$D))</f>
        <v/>
      </c>
      <c r="N294" s="26" t="str">
        <f t="shared" si="18"/>
        <v/>
      </c>
      <c r="O294" s="27" t="str">
        <f>IF(I294="","",_xlfn.XLOOKUP(I294,Lists!$C:$C,Lists!$J:$J))</f>
        <v/>
      </c>
      <c r="P294" s="27" t="str">
        <f>IF(I294="","",_xlfn.XLOOKUP(I294,Lists!$C:$C,Lists!$E:$E))</f>
        <v/>
      </c>
      <c r="Q294" s="28" t="str">
        <f t="shared" si="19"/>
        <v/>
      </c>
      <c r="R294" s="26" t="str">
        <f t="shared" ca="1" si="20"/>
        <v/>
      </c>
      <c r="S294" s="27" t="str">
        <f>IF(I294="","",_xlfn.XLOOKUP(I294,Lists!$C:$C,Lists!$I:$I))</f>
        <v/>
      </c>
    </row>
    <row r="295" spans="3:19" x14ac:dyDescent="0.2">
      <c r="C295" s="26">
        <f>_xlfn.XLOOKUP(B295,Lists!B:B,Lists!A:A,"")</f>
        <v>0</v>
      </c>
      <c r="G295" s="26" t="str">
        <f t="shared" si="16"/>
        <v/>
      </c>
      <c r="H295" s="31" t="str">
        <f t="shared" si="17"/>
        <v/>
      </c>
      <c r="J295" s="27" t="str">
        <f>IF(I295="","",_xlfn.XLOOKUP(I295,Lists!$C:$C,Lists!$D:$D))</f>
        <v/>
      </c>
      <c r="N295" s="26" t="str">
        <f t="shared" si="18"/>
        <v/>
      </c>
      <c r="O295" s="27" t="str">
        <f>IF(I295="","",_xlfn.XLOOKUP(I295,Lists!$C:$C,Lists!$J:$J))</f>
        <v/>
      </c>
      <c r="P295" s="27" t="str">
        <f>IF(I295="","",_xlfn.XLOOKUP(I295,Lists!$C:$C,Lists!$E:$E))</f>
        <v/>
      </c>
      <c r="Q295" s="28" t="str">
        <f t="shared" si="19"/>
        <v/>
      </c>
      <c r="R295" s="26" t="str">
        <f t="shared" ca="1" si="20"/>
        <v/>
      </c>
      <c r="S295" s="27" t="str">
        <f>IF(I295="","",_xlfn.XLOOKUP(I295,Lists!$C:$C,Lists!$I:$I))</f>
        <v/>
      </c>
    </row>
    <row r="296" spans="3:19" x14ac:dyDescent="0.2">
      <c r="C296" s="26">
        <f>_xlfn.XLOOKUP(B296,Lists!B:B,Lists!A:A,"")</f>
        <v>0</v>
      </c>
      <c r="G296" s="26" t="str">
        <f t="shared" si="16"/>
        <v/>
      </c>
      <c r="H296" s="31" t="str">
        <f t="shared" si="17"/>
        <v/>
      </c>
      <c r="J296" s="27" t="str">
        <f>IF(I296="","",_xlfn.XLOOKUP(I296,Lists!$C:$C,Lists!$D:$D))</f>
        <v/>
      </c>
      <c r="N296" s="26" t="str">
        <f t="shared" si="18"/>
        <v/>
      </c>
      <c r="O296" s="27" t="str">
        <f>IF(I296="","",_xlfn.XLOOKUP(I296,Lists!$C:$C,Lists!$J:$J))</f>
        <v/>
      </c>
      <c r="P296" s="27" t="str">
        <f>IF(I296="","",_xlfn.XLOOKUP(I296,Lists!$C:$C,Lists!$E:$E))</f>
        <v/>
      </c>
      <c r="Q296" s="28" t="str">
        <f t="shared" si="19"/>
        <v/>
      </c>
      <c r="R296" s="26" t="str">
        <f t="shared" ca="1" si="20"/>
        <v/>
      </c>
      <c r="S296" s="27" t="str">
        <f>IF(I296="","",_xlfn.XLOOKUP(I296,Lists!$C:$C,Lists!$I:$I))</f>
        <v/>
      </c>
    </row>
    <row r="297" spans="3:19" x14ac:dyDescent="0.2">
      <c r="C297" s="26">
        <f>_xlfn.XLOOKUP(B297,Lists!B:B,Lists!A:A,"")</f>
        <v>0</v>
      </c>
      <c r="G297" s="26" t="str">
        <f t="shared" si="16"/>
        <v/>
      </c>
      <c r="H297" s="31" t="str">
        <f t="shared" si="17"/>
        <v/>
      </c>
      <c r="J297" s="27" t="str">
        <f>IF(I297="","",_xlfn.XLOOKUP(I297,Lists!$C:$C,Lists!$D:$D))</f>
        <v/>
      </c>
      <c r="N297" s="26" t="str">
        <f t="shared" si="18"/>
        <v/>
      </c>
      <c r="O297" s="27" t="str">
        <f>IF(I297="","",_xlfn.XLOOKUP(I297,Lists!$C:$C,Lists!$J:$J))</f>
        <v/>
      </c>
      <c r="P297" s="27" t="str">
        <f>IF(I297="","",_xlfn.XLOOKUP(I297,Lists!$C:$C,Lists!$E:$E))</f>
        <v/>
      </c>
      <c r="Q297" s="28" t="str">
        <f t="shared" si="19"/>
        <v/>
      </c>
      <c r="R297" s="26" t="str">
        <f t="shared" ca="1" si="20"/>
        <v/>
      </c>
      <c r="S297" s="27" t="str">
        <f>IF(I297="","",_xlfn.XLOOKUP(I297,Lists!$C:$C,Lists!$I:$I))</f>
        <v/>
      </c>
    </row>
    <row r="298" spans="3:19" x14ac:dyDescent="0.2">
      <c r="C298" s="26">
        <f>_xlfn.XLOOKUP(B298,Lists!B:B,Lists!A:A,"")</f>
        <v>0</v>
      </c>
      <c r="G298" s="26" t="str">
        <f t="shared" si="16"/>
        <v/>
      </c>
      <c r="H298" s="31" t="str">
        <f t="shared" si="17"/>
        <v/>
      </c>
      <c r="J298" s="27" t="str">
        <f>IF(I298="","",_xlfn.XLOOKUP(I298,Lists!$C:$C,Lists!$D:$D))</f>
        <v/>
      </c>
      <c r="N298" s="26" t="str">
        <f t="shared" si="18"/>
        <v/>
      </c>
      <c r="O298" s="27" t="str">
        <f>IF(I298="","",_xlfn.XLOOKUP(I298,Lists!$C:$C,Lists!$J:$J))</f>
        <v/>
      </c>
      <c r="P298" s="27" t="str">
        <f>IF(I298="","",_xlfn.XLOOKUP(I298,Lists!$C:$C,Lists!$E:$E))</f>
        <v/>
      </c>
      <c r="Q298" s="28" t="str">
        <f t="shared" si="19"/>
        <v/>
      </c>
      <c r="R298" s="26" t="str">
        <f t="shared" ca="1" si="20"/>
        <v/>
      </c>
      <c r="S298" s="27" t="str">
        <f>IF(I298="","",_xlfn.XLOOKUP(I298,Lists!$C:$C,Lists!$I:$I))</f>
        <v/>
      </c>
    </row>
    <row r="299" spans="3:19" x14ac:dyDescent="0.2">
      <c r="C299" s="26">
        <f>_xlfn.XLOOKUP(B299,Lists!B:B,Lists!A:A,"")</f>
        <v>0</v>
      </c>
      <c r="G299" s="26" t="str">
        <f t="shared" si="16"/>
        <v/>
      </c>
      <c r="H299" s="31" t="str">
        <f t="shared" si="17"/>
        <v/>
      </c>
      <c r="J299" s="27" t="str">
        <f>IF(I299="","",_xlfn.XLOOKUP(I299,Lists!$C:$C,Lists!$D:$D))</f>
        <v/>
      </c>
      <c r="N299" s="26" t="str">
        <f t="shared" si="18"/>
        <v/>
      </c>
      <c r="O299" s="27" t="str">
        <f>IF(I299="","",_xlfn.XLOOKUP(I299,Lists!$C:$C,Lists!$J:$J))</f>
        <v/>
      </c>
      <c r="P299" s="27" t="str">
        <f>IF(I299="","",_xlfn.XLOOKUP(I299,Lists!$C:$C,Lists!$E:$E))</f>
        <v/>
      </c>
      <c r="Q299" s="28" t="str">
        <f t="shared" si="19"/>
        <v/>
      </c>
      <c r="R299" s="26" t="str">
        <f t="shared" ca="1" si="20"/>
        <v/>
      </c>
      <c r="S299" s="27" t="str">
        <f>IF(I299="","",_xlfn.XLOOKUP(I299,Lists!$C:$C,Lists!$I:$I))</f>
        <v/>
      </c>
    </row>
    <row r="300" spans="3:19" x14ac:dyDescent="0.2">
      <c r="C300" s="26">
        <f>_xlfn.XLOOKUP(B300,Lists!B:B,Lists!A:A,"")</f>
        <v>0</v>
      </c>
      <c r="G300" s="26" t="str">
        <f t="shared" si="16"/>
        <v/>
      </c>
      <c r="H300" s="31" t="str">
        <f t="shared" si="17"/>
        <v/>
      </c>
      <c r="J300" s="27" t="str">
        <f>IF(I300="","",_xlfn.XLOOKUP(I300,Lists!$C:$C,Lists!$D:$D))</f>
        <v/>
      </c>
      <c r="N300" s="26" t="str">
        <f t="shared" si="18"/>
        <v/>
      </c>
      <c r="O300" s="27" t="str">
        <f>IF(I300="","",_xlfn.XLOOKUP(I300,Lists!$C:$C,Lists!$J:$J))</f>
        <v/>
      </c>
      <c r="P300" s="27" t="str">
        <f>IF(I300="","",_xlfn.XLOOKUP(I300,Lists!$C:$C,Lists!$E:$E))</f>
        <v/>
      </c>
      <c r="Q300" s="28" t="str">
        <f t="shared" si="19"/>
        <v/>
      </c>
      <c r="R300" s="26" t="str">
        <f t="shared" ca="1" si="20"/>
        <v/>
      </c>
      <c r="S300" s="27" t="str">
        <f>IF(I300="","",_xlfn.XLOOKUP(I300,Lists!$C:$C,Lists!$I:$I))</f>
        <v/>
      </c>
    </row>
    <row r="301" spans="3:19" x14ac:dyDescent="0.2">
      <c r="C301" s="26">
        <f>_xlfn.XLOOKUP(B301,Lists!B:B,Lists!A:A,"")</f>
        <v>0</v>
      </c>
      <c r="G301" s="26" t="str">
        <f t="shared" si="16"/>
        <v/>
      </c>
      <c r="H301" s="31" t="str">
        <f t="shared" si="17"/>
        <v/>
      </c>
      <c r="J301" s="27" t="str">
        <f>IF(I301="","",_xlfn.XLOOKUP(I301,Lists!$C:$C,Lists!$D:$D))</f>
        <v/>
      </c>
      <c r="N301" s="26" t="str">
        <f t="shared" si="18"/>
        <v/>
      </c>
      <c r="O301" s="27" t="str">
        <f>IF(I301="","",_xlfn.XLOOKUP(I301,Lists!$C:$C,Lists!$J:$J))</f>
        <v/>
      </c>
      <c r="P301" s="27" t="str">
        <f>IF(I301="","",_xlfn.XLOOKUP(I301,Lists!$C:$C,Lists!$E:$E))</f>
        <v/>
      </c>
      <c r="Q301" s="28" t="str">
        <f t="shared" si="19"/>
        <v/>
      </c>
      <c r="R301" s="26" t="str">
        <f t="shared" ca="1" si="20"/>
        <v/>
      </c>
      <c r="S301" s="27" t="str">
        <f>IF(I301="","",_xlfn.XLOOKUP(I301,Lists!$C:$C,Lists!$I:$I))</f>
        <v/>
      </c>
    </row>
    <row r="302" spans="3:19" x14ac:dyDescent="0.2">
      <c r="C302" s="26">
        <f>_xlfn.XLOOKUP(B302,Lists!B:B,Lists!A:A,"")</f>
        <v>0</v>
      </c>
      <c r="G302" s="26" t="str">
        <f t="shared" si="16"/>
        <v/>
      </c>
      <c r="H302" s="31" t="str">
        <f t="shared" si="17"/>
        <v/>
      </c>
      <c r="J302" s="27" t="str">
        <f>IF(I302="","",_xlfn.XLOOKUP(I302,Lists!$C:$C,Lists!$D:$D))</f>
        <v/>
      </c>
      <c r="N302" s="26" t="str">
        <f t="shared" si="18"/>
        <v/>
      </c>
      <c r="O302" s="27" t="str">
        <f>IF(I302="","",_xlfn.XLOOKUP(I302,Lists!$C:$C,Lists!$J:$J))</f>
        <v/>
      </c>
      <c r="P302" s="27" t="str">
        <f>IF(I302="","",_xlfn.XLOOKUP(I302,Lists!$C:$C,Lists!$E:$E))</f>
        <v/>
      </c>
      <c r="Q302" s="28" t="str">
        <f t="shared" si="19"/>
        <v/>
      </c>
      <c r="R302" s="26" t="str">
        <f t="shared" ca="1" si="20"/>
        <v/>
      </c>
      <c r="S302" s="27" t="str">
        <f>IF(I302="","",_xlfn.XLOOKUP(I302,Lists!$C:$C,Lists!$I:$I))</f>
        <v/>
      </c>
    </row>
    <row r="303" spans="3:19" x14ac:dyDescent="0.2">
      <c r="C303" s="26">
        <f>_xlfn.XLOOKUP(B303,Lists!B:B,Lists!A:A,"")</f>
        <v>0</v>
      </c>
      <c r="G303" s="26" t="str">
        <f t="shared" si="16"/>
        <v/>
      </c>
      <c r="H303" s="31" t="str">
        <f t="shared" si="17"/>
        <v/>
      </c>
      <c r="J303" s="27" t="str">
        <f>IF(I303="","",_xlfn.XLOOKUP(I303,Lists!$C:$C,Lists!$D:$D))</f>
        <v/>
      </c>
      <c r="N303" s="26" t="str">
        <f t="shared" si="18"/>
        <v/>
      </c>
      <c r="O303" s="27" t="str">
        <f>IF(I303="","",_xlfn.XLOOKUP(I303,Lists!$C:$C,Lists!$J:$J))</f>
        <v/>
      </c>
      <c r="P303" s="27" t="str">
        <f>IF(I303="","",_xlfn.XLOOKUP(I303,Lists!$C:$C,Lists!$E:$E))</f>
        <v/>
      </c>
      <c r="Q303" s="28" t="str">
        <f t="shared" si="19"/>
        <v/>
      </c>
      <c r="R303" s="26" t="str">
        <f t="shared" ca="1" si="20"/>
        <v/>
      </c>
      <c r="S303" s="27" t="str">
        <f>IF(I303="","",_xlfn.XLOOKUP(I303,Lists!$C:$C,Lists!$I:$I))</f>
        <v/>
      </c>
    </row>
    <row r="304" spans="3:19" x14ac:dyDescent="0.2">
      <c r="C304" s="26">
        <f>_xlfn.XLOOKUP(B304,Lists!B:B,Lists!A:A,"")</f>
        <v>0</v>
      </c>
      <c r="G304" s="26" t="str">
        <f t="shared" si="16"/>
        <v/>
      </c>
      <c r="H304" s="31" t="str">
        <f t="shared" si="17"/>
        <v/>
      </c>
      <c r="J304" s="27" t="str">
        <f>IF(I304="","",_xlfn.XLOOKUP(I304,Lists!$C:$C,Lists!$D:$D))</f>
        <v/>
      </c>
      <c r="N304" s="26" t="str">
        <f t="shared" si="18"/>
        <v/>
      </c>
      <c r="O304" s="27" t="str">
        <f>IF(I304="","",_xlfn.XLOOKUP(I304,Lists!$C:$C,Lists!$J:$J))</f>
        <v/>
      </c>
      <c r="P304" s="27" t="str">
        <f>IF(I304="","",_xlfn.XLOOKUP(I304,Lists!$C:$C,Lists!$E:$E))</f>
        <v/>
      </c>
      <c r="Q304" s="28" t="str">
        <f t="shared" si="19"/>
        <v/>
      </c>
      <c r="R304" s="26" t="str">
        <f t="shared" ca="1" si="20"/>
        <v/>
      </c>
      <c r="S304" s="27" t="str">
        <f>IF(I304="","",_xlfn.XLOOKUP(I304,Lists!$C:$C,Lists!$I:$I))</f>
        <v/>
      </c>
    </row>
    <row r="305" spans="3:19" x14ac:dyDescent="0.2">
      <c r="C305" s="26">
        <f>_xlfn.XLOOKUP(B305,Lists!B:B,Lists!A:A,"")</f>
        <v>0</v>
      </c>
      <c r="G305" s="26" t="str">
        <f t="shared" si="16"/>
        <v/>
      </c>
      <c r="H305" s="31" t="str">
        <f t="shared" si="17"/>
        <v/>
      </c>
      <c r="J305" s="27" t="str">
        <f>IF(I305="","",_xlfn.XLOOKUP(I305,Lists!$C:$C,Lists!$D:$D))</f>
        <v/>
      </c>
      <c r="N305" s="26" t="str">
        <f t="shared" si="18"/>
        <v/>
      </c>
      <c r="O305" s="27" t="str">
        <f>IF(I305="","",_xlfn.XLOOKUP(I305,Lists!$C:$C,Lists!$J:$J))</f>
        <v/>
      </c>
      <c r="P305" s="27" t="str">
        <f>IF(I305="","",_xlfn.XLOOKUP(I305,Lists!$C:$C,Lists!$E:$E))</f>
        <v/>
      </c>
      <c r="Q305" s="28" t="str">
        <f t="shared" si="19"/>
        <v/>
      </c>
      <c r="R305" s="26" t="str">
        <f t="shared" ca="1" si="20"/>
        <v/>
      </c>
      <c r="S305" s="27" t="str">
        <f>IF(I305="","",_xlfn.XLOOKUP(I305,Lists!$C:$C,Lists!$I:$I))</f>
        <v/>
      </c>
    </row>
    <row r="306" spans="3:19" x14ac:dyDescent="0.2">
      <c r="C306" s="26">
        <f>_xlfn.XLOOKUP(B306,Lists!B:B,Lists!A:A,"")</f>
        <v>0</v>
      </c>
      <c r="G306" s="26" t="str">
        <f t="shared" si="16"/>
        <v/>
      </c>
      <c r="H306" s="31" t="str">
        <f t="shared" si="17"/>
        <v/>
      </c>
      <c r="J306" s="27" t="str">
        <f>IF(I306="","",_xlfn.XLOOKUP(I306,Lists!$C:$C,Lists!$D:$D))</f>
        <v/>
      </c>
      <c r="N306" s="26" t="str">
        <f t="shared" si="18"/>
        <v/>
      </c>
      <c r="O306" s="27" t="str">
        <f>IF(I306="","",_xlfn.XLOOKUP(I306,Lists!$C:$C,Lists!$J:$J))</f>
        <v/>
      </c>
      <c r="P306" s="27" t="str">
        <f>IF(I306="","",_xlfn.XLOOKUP(I306,Lists!$C:$C,Lists!$E:$E))</f>
        <v/>
      </c>
      <c r="Q306" s="28" t="str">
        <f t="shared" si="19"/>
        <v/>
      </c>
      <c r="R306" s="26" t="str">
        <f t="shared" ca="1" si="20"/>
        <v/>
      </c>
      <c r="S306" s="27" t="str">
        <f>IF(I306="","",_xlfn.XLOOKUP(I306,Lists!$C:$C,Lists!$I:$I))</f>
        <v/>
      </c>
    </row>
    <row r="307" spans="3:19" x14ac:dyDescent="0.2">
      <c r="C307" s="26">
        <f>_xlfn.XLOOKUP(B307,Lists!B:B,Lists!A:A,"")</f>
        <v>0</v>
      </c>
      <c r="G307" s="26" t="str">
        <f t="shared" si="16"/>
        <v/>
      </c>
      <c r="H307" s="31" t="str">
        <f t="shared" si="17"/>
        <v/>
      </c>
      <c r="J307" s="27" t="str">
        <f>IF(I307="","",_xlfn.XLOOKUP(I307,Lists!$C:$C,Lists!$D:$D))</f>
        <v/>
      </c>
      <c r="N307" s="26" t="str">
        <f t="shared" si="18"/>
        <v/>
      </c>
      <c r="O307" s="27" t="str">
        <f>IF(I307="","",_xlfn.XLOOKUP(I307,Lists!$C:$C,Lists!$J:$J))</f>
        <v/>
      </c>
      <c r="P307" s="27" t="str">
        <f>IF(I307="","",_xlfn.XLOOKUP(I307,Lists!$C:$C,Lists!$E:$E))</f>
        <v/>
      </c>
      <c r="Q307" s="28" t="str">
        <f t="shared" si="19"/>
        <v/>
      </c>
      <c r="R307" s="26" t="str">
        <f t="shared" ca="1" si="20"/>
        <v/>
      </c>
      <c r="S307" s="27" t="str">
        <f>IF(I307="","",_xlfn.XLOOKUP(I307,Lists!$C:$C,Lists!$I:$I))</f>
        <v/>
      </c>
    </row>
    <row r="308" spans="3:19" x14ac:dyDescent="0.2">
      <c r="C308" s="26">
        <f>_xlfn.XLOOKUP(B308,Lists!B:B,Lists!A:A,"")</f>
        <v>0</v>
      </c>
      <c r="G308" s="26" t="str">
        <f t="shared" si="16"/>
        <v/>
      </c>
      <c r="H308" s="31" t="str">
        <f t="shared" si="17"/>
        <v/>
      </c>
      <c r="J308" s="27" t="str">
        <f>IF(I308="","",_xlfn.XLOOKUP(I308,Lists!$C:$C,Lists!$D:$D))</f>
        <v/>
      </c>
      <c r="N308" s="26" t="str">
        <f t="shared" si="18"/>
        <v/>
      </c>
      <c r="O308" s="27" t="str">
        <f>IF(I308="","",_xlfn.XLOOKUP(I308,Lists!$C:$C,Lists!$J:$J))</f>
        <v/>
      </c>
      <c r="P308" s="27" t="str">
        <f>IF(I308="","",_xlfn.XLOOKUP(I308,Lists!$C:$C,Lists!$E:$E))</f>
        <v/>
      </c>
      <c r="Q308" s="28" t="str">
        <f t="shared" si="19"/>
        <v/>
      </c>
      <c r="R308" s="26" t="str">
        <f t="shared" ca="1" si="20"/>
        <v/>
      </c>
      <c r="S308" s="27" t="str">
        <f>IF(I308="","",_xlfn.XLOOKUP(I308,Lists!$C:$C,Lists!$I:$I))</f>
        <v/>
      </c>
    </row>
    <row r="309" spans="3:19" x14ac:dyDescent="0.2">
      <c r="C309" s="26">
        <f>_xlfn.XLOOKUP(B309,Lists!B:B,Lists!A:A,"")</f>
        <v>0</v>
      </c>
      <c r="G309" s="26" t="str">
        <f t="shared" si="16"/>
        <v/>
      </c>
      <c r="H309" s="31" t="str">
        <f t="shared" si="17"/>
        <v/>
      </c>
      <c r="J309" s="27" t="str">
        <f>IF(I309="","",_xlfn.XLOOKUP(I309,Lists!$C:$C,Lists!$D:$D))</f>
        <v/>
      </c>
      <c r="N309" s="26" t="str">
        <f t="shared" si="18"/>
        <v/>
      </c>
      <c r="O309" s="27" t="str">
        <f>IF(I309="","",_xlfn.XLOOKUP(I309,Lists!$C:$C,Lists!$J:$J))</f>
        <v/>
      </c>
      <c r="P309" s="27" t="str">
        <f>IF(I309="","",_xlfn.XLOOKUP(I309,Lists!$C:$C,Lists!$E:$E))</f>
        <v/>
      </c>
      <c r="Q309" s="28" t="str">
        <f t="shared" si="19"/>
        <v/>
      </c>
      <c r="R309" s="26" t="str">
        <f t="shared" ca="1" si="20"/>
        <v/>
      </c>
      <c r="S309" s="27" t="str">
        <f>IF(I309="","",_xlfn.XLOOKUP(I309,Lists!$C:$C,Lists!$I:$I))</f>
        <v/>
      </c>
    </row>
    <row r="310" spans="3:19" x14ac:dyDescent="0.2">
      <c r="C310" s="26">
        <f>_xlfn.XLOOKUP(B310,Lists!B:B,Lists!A:A,"")</f>
        <v>0</v>
      </c>
      <c r="G310" s="26" t="str">
        <f t="shared" si="16"/>
        <v/>
      </c>
      <c r="H310" s="31" t="str">
        <f t="shared" si="17"/>
        <v/>
      </c>
      <c r="J310" s="27" t="str">
        <f>IF(I310="","",_xlfn.XLOOKUP(I310,Lists!$C:$C,Lists!$D:$D))</f>
        <v/>
      </c>
      <c r="N310" s="26" t="str">
        <f t="shared" si="18"/>
        <v/>
      </c>
      <c r="O310" s="27" t="str">
        <f>IF(I310="","",_xlfn.XLOOKUP(I310,Lists!$C:$C,Lists!$J:$J))</f>
        <v/>
      </c>
      <c r="P310" s="27" t="str">
        <f>IF(I310="","",_xlfn.XLOOKUP(I310,Lists!$C:$C,Lists!$E:$E))</f>
        <v/>
      </c>
      <c r="Q310" s="28" t="str">
        <f t="shared" si="19"/>
        <v/>
      </c>
      <c r="R310" s="26" t="str">
        <f t="shared" ca="1" si="20"/>
        <v/>
      </c>
      <c r="S310" s="27" t="str">
        <f>IF(I310="","",_xlfn.XLOOKUP(I310,Lists!$C:$C,Lists!$I:$I))</f>
        <v/>
      </c>
    </row>
    <row r="311" spans="3:19" x14ac:dyDescent="0.2">
      <c r="C311" s="26">
        <f>_xlfn.XLOOKUP(B311,Lists!B:B,Lists!A:A,"")</f>
        <v>0</v>
      </c>
      <c r="G311" s="26" t="str">
        <f t="shared" si="16"/>
        <v/>
      </c>
      <c r="H311" s="31" t="str">
        <f t="shared" si="17"/>
        <v/>
      </c>
      <c r="J311" s="27" t="str">
        <f>IF(I311="","",_xlfn.XLOOKUP(I311,Lists!$C:$C,Lists!$D:$D))</f>
        <v/>
      </c>
      <c r="N311" s="26" t="str">
        <f t="shared" si="18"/>
        <v/>
      </c>
      <c r="O311" s="27" t="str">
        <f>IF(I311="","",_xlfn.XLOOKUP(I311,Lists!$C:$C,Lists!$J:$J))</f>
        <v/>
      </c>
      <c r="P311" s="27" t="str">
        <f>IF(I311="","",_xlfn.XLOOKUP(I311,Lists!$C:$C,Lists!$E:$E))</f>
        <v/>
      </c>
      <c r="Q311" s="28" t="str">
        <f t="shared" si="19"/>
        <v/>
      </c>
      <c r="R311" s="26" t="str">
        <f t="shared" ca="1" si="20"/>
        <v/>
      </c>
      <c r="S311" s="27" t="str">
        <f>IF(I311="","",_xlfn.XLOOKUP(I311,Lists!$C:$C,Lists!$I:$I))</f>
        <v/>
      </c>
    </row>
    <row r="312" spans="3:19" x14ac:dyDescent="0.2">
      <c r="C312" s="26">
        <f>_xlfn.XLOOKUP(B312,Lists!B:B,Lists!A:A,"")</f>
        <v>0</v>
      </c>
      <c r="G312" s="26" t="str">
        <f t="shared" si="16"/>
        <v/>
      </c>
      <c r="H312" s="31" t="str">
        <f t="shared" si="17"/>
        <v/>
      </c>
      <c r="J312" s="27" t="str">
        <f>IF(I312="","",_xlfn.XLOOKUP(I312,Lists!$C:$C,Lists!$D:$D))</f>
        <v/>
      </c>
      <c r="N312" s="26" t="str">
        <f t="shared" si="18"/>
        <v/>
      </c>
      <c r="O312" s="27" t="str">
        <f>IF(I312="","",_xlfn.XLOOKUP(I312,Lists!$C:$C,Lists!$J:$J))</f>
        <v/>
      </c>
      <c r="P312" s="27" t="str">
        <f>IF(I312="","",_xlfn.XLOOKUP(I312,Lists!$C:$C,Lists!$E:$E))</f>
        <v/>
      </c>
      <c r="Q312" s="28" t="str">
        <f t="shared" si="19"/>
        <v/>
      </c>
      <c r="R312" s="26" t="str">
        <f t="shared" ca="1" si="20"/>
        <v/>
      </c>
      <c r="S312" s="27" t="str">
        <f>IF(I312="","",_xlfn.XLOOKUP(I312,Lists!$C:$C,Lists!$I:$I))</f>
        <v/>
      </c>
    </row>
    <row r="313" spans="3:19" x14ac:dyDescent="0.2">
      <c r="C313" s="26">
        <f>_xlfn.XLOOKUP(B313,Lists!B:B,Lists!A:A,"")</f>
        <v>0</v>
      </c>
      <c r="G313" s="26" t="str">
        <f t="shared" si="16"/>
        <v/>
      </c>
      <c r="H313" s="31" t="str">
        <f t="shared" si="17"/>
        <v/>
      </c>
      <c r="J313" s="27" t="str">
        <f>IF(I313="","",_xlfn.XLOOKUP(I313,Lists!$C:$C,Lists!$D:$D))</f>
        <v/>
      </c>
      <c r="N313" s="26" t="str">
        <f t="shared" si="18"/>
        <v/>
      </c>
      <c r="O313" s="27" t="str">
        <f>IF(I313="","",_xlfn.XLOOKUP(I313,Lists!$C:$C,Lists!$J:$J))</f>
        <v/>
      </c>
      <c r="P313" s="27" t="str">
        <f>IF(I313="","",_xlfn.XLOOKUP(I313,Lists!$C:$C,Lists!$E:$E))</f>
        <v/>
      </c>
      <c r="Q313" s="28" t="str">
        <f t="shared" si="19"/>
        <v/>
      </c>
      <c r="R313" s="26" t="str">
        <f t="shared" ca="1" si="20"/>
        <v/>
      </c>
      <c r="S313" s="27" t="str">
        <f>IF(I313="","",_xlfn.XLOOKUP(I313,Lists!$C:$C,Lists!$I:$I))</f>
        <v/>
      </c>
    </row>
    <row r="314" spans="3:19" x14ac:dyDescent="0.2">
      <c r="C314" s="26">
        <f>_xlfn.XLOOKUP(B314,Lists!B:B,Lists!A:A,"")</f>
        <v>0</v>
      </c>
      <c r="G314" s="26" t="str">
        <f t="shared" si="16"/>
        <v/>
      </c>
      <c r="H314" s="31" t="str">
        <f t="shared" si="17"/>
        <v/>
      </c>
      <c r="J314" s="27" t="str">
        <f>IF(I314="","",_xlfn.XLOOKUP(I314,Lists!$C:$C,Lists!$D:$D))</f>
        <v/>
      </c>
      <c r="N314" s="26" t="str">
        <f t="shared" si="18"/>
        <v/>
      </c>
      <c r="O314" s="27" t="str">
        <f>IF(I314="","",_xlfn.XLOOKUP(I314,Lists!$C:$C,Lists!$J:$J))</f>
        <v/>
      </c>
      <c r="P314" s="27" t="str">
        <f>IF(I314="","",_xlfn.XLOOKUP(I314,Lists!$C:$C,Lists!$E:$E))</f>
        <v/>
      </c>
      <c r="Q314" s="28" t="str">
        <f t="shared" si="19"/>
        <v/>
      </c>
      <c r="R314" s="26" t="str">
        <f t="shared" ca="1" si="20"/>
        <v/>
      </c>
      <c r="S314" s="27" t="str">
        <f>IF(I314="","",_xlfn.XLOOKUP(I314,Lists!$C:$C,Lists!$I:$I))</f>
        <v/>
      </c>
    </row>
    <row r="315" spans="3:19" x14ac:dyDescent="0.2">
      <c r="C315" s="26">
        <f>_xlfn.XLOOKUP(B315,Lists!B:B,Lists!A:A,"")</f>
        <v>0</v>
      </c>
      <c r="G315" s="26" t="str">
        <f t="shared" si="16"/>
        <v/>
      </c>
      <c r="H315" s="31" t="str">
        <f t="shared" si="17"/>
        <v/>
      </c>
      <c r="J315" s="27" t="str">
        <f>IF(I315="","",_xlfn.XLOOKUP(I315,Lists!$C:$C,Lists!$D:$D))</f>
        <v/>
      </c>
      <c r="N315" s="26" t="str">
        <f t="shared" si="18"/>
        <v/>
      </c>
      <c r="O315" s="27" t="str">
        <f>IF(I315="","",_xlfn.XLOOKUP(I315,Lists!$C:$C,Lists!$J:$J))</f>
        <v/>
      </c>
      <c r="P315" s="27" t="str">
        <f>IF(I315="","",_xlfn.XLOOKUP(I315,Lists!$C:$C,Lists!$E:$E))</f>
        <v/>
      </c>
      <c r="Q315" s="28" t="str">
        <f t="shared" si="19"/>
        <v/>
      </c>
      <c r="R315" s="26" t="str">
        <f t="shared" ca="1" si="20"/>
        <v/>
      </c>
      <c r="S315" s="27" t="str">
        <f>IF(I315="","",_xlfn.XLOOKUP(I315,Lists!$C:$C,Lists!$I:$I))</f>
        <v/>
      </c>
    </row>
    <row r="316" spans="3:19" x14ac:dyDescent="0.2">
      <c r="C316" s="26">
        <f>_xlfn.XLOOKUP(B316,Lists!B:B,Lists!A:A,"")</f>
        <v>0</v>
      </c>
      <c r="G316" s="26" t="str">
        <f t="shared" si="16"/>
        <v/>
      </c>
      <c r="H316" s="31" t="str">
        <f t="shared" si="17"/>
        <v/>
      </c>
      <c r="J316" s="27" t="str">
        <f>IF(I316="","",_xlfn.XLOOKUP(I316,Lists!$C:$C,Lists!$D:$D))</f>
        <v/>
      </c>
      <c r="N316" s="26" t="str">
        <f t="shared" si="18"/>
        <v/>
      </c>
      <c r="O316" s="27" t="str">
        <f>IF(I316="","",_xlfn.XLOOKUP(I316,Lists!$C:$C,Lists!$J:$J))</f>
        <v/>
      </c>
      <c r="P316" s="27" t="str">
        <f>IF(I316="","",_xlfn.XLOOKUP(I316,Lists!$C:$C,Lists!$E:$E))</f>
        <v/>
      </c>
      <c r="Q316" s="28" t="str">
        <f t="shared" si="19"/>
        <v/>
      </c>
      <c r="R316" s="26" t="str">
        <f t="shared" ca="1" si="20"/>
        <v/>
      </c>
      <c r="S316" s="27" t="str">
        <f>IF(I316="","",_xlfn.XLOOKUP(I316,Lists!$C:$C,Lists!$I:$I))</f>
        <v/>
      </c>
    </row>
    <row r="317" spans="3:19" x14ac:dyDescent="0.2">
      <c r="C317" s="26">
        <f>_xlfn.XLOOKUP(B317,Lists!B:B,Lists!A:A,"")</f>
        <v>0</v>
      </c>
      <c r="G317" s="26" t="str">
        <f t="shared" si="16"/>
        <v/>
      </c>
      <c r="H317" s="31" t="str">
        <f t="shared" si="17"/>
        <v/>
      </c>
      <c r="J317" s="27" t="str">
        <f>IF(I317="","",_xlfn.XLOOKUP(I317,Lists!$C:$C,Lists!$D:$D))</f>
        <v/>
      </c>
      <c r="N317" s="26" t="str">
        <f t="shared" si="18"/>
        <v/>
      </c>
      <c r="O317" s="27" t="str">
        <f>IF(I317="","",_xlfn.XLOOKUP(I317,Lists!$C:$C,Lists!$J:$J))</f>
        <v/>
      </c>
      <c r="P317" s="27" t="str">
        <f>IF(I317="","",_xlfn.XLOOKUP(I317,Lists!$C:$C,Lists!$E:$E))</f>
        <v/>
      </c>
      <c r="Q317" s="28" t="str">
        <f t="shared" si="19"/>
        <v/>
      </c>
      <c r="R317" s="26" t="str">
        <f t="shared" ca="1" si="20"/>
        <v/>
      </c>
      <c r="S317" s="27" t="str">
        <f>IF(I317="","",_xlfn.XLOOKUP(I317,Lists!$C:$C,Lists!$I:$I))</f>
        <v/>
      </c>
    </row>
    <row r="318" spans="3:19" x14ac:dyDescent="0.2">
      <c r="C318" s="26">
        <f>_xlfn.XLOOKUP(B318,Lists!B:B,Lists!A:A,"")</f>
        <v>0</v>
      </c>
      <c r="G318" s="26" t="str">
        <f t="shared" si="16"/>
        <v/>
      </c>
      <c r="H318" s="31" t="str">
        <f t="shared" si="17"/>
        <v/>
      </c>
      <c r="J318" s="27" t="str">
        <f>IF(I318="","",_xlfn.XLOOKUP(I318,Lists!$C:$C,Lists!$D:$D))</f>
        <v/>
      </c>
      <c r="N318" s="26" t="str">
        <f t="shared" si="18"/>
        <v/>
      </c>
      <c r="O318" s="27" t="str">
        <f>IF(I318="","",_xlfn.XLOOKUP(I318,Lists!$C:$C,Lists!$J:$J))</f>
        <v/>
      </c>
      <c r="P318" s="27" t="str">
        <f>IF(I318="","",_xlfn.XLOOKUP(I318,Lists!$C:$C,Lists!$E:$E))</f>
        <v/>
      </c>
      <c r="Q318" s="28" t="str">
        <f t="shared" si="19"/>
        <v/>
      </c>
      <c r="R318" s="26" t="str">
        <f t="shared" ca="1" si="20"/>
        <v/>
      </c>
      <c r="S318" s="27" t="str">
        <f>IF(I318="","",_xlfn.XLOOKUP(I318,Lists!$C:$C,Lists!$I:$I))</f>
        <v/>
      </c>
    </row>
    <row r="319" spans="3:19" x14ac:dyDescent="0.2">
      <c r="C319" s="26">
        <f>_xlfn.XLOOKUP(B319,Lists!B:B,Lists!A:A,"")</f>
        <v>0</v>
      </c>
      <c r="G319" s="26" t="str">
        <f t="shared" si="16"/>
        <v/>
      </c>
      <c r="H319" s="31" t="str">
        <f t="shared" si="17"/>
        <v/>
      </c>
      <c r="J319" s="27" t="str">
        <f>IF(I319="","",_xlfn.XLOOKUP(I319,Lists!$C:$C,Lists!$D:$D))</f>
        <v/>
      </c>
      <c r="N319" s="26" t="str">
        <f t="shared" si="18"/>
        <v/>
      </c>
      <c r="O319" s="27" t="str">
        <f>IF(I319="","",_xlfn.XLOOKUP(I319,Lists!$C:$C,Lists!$J:$J))</f>
        <v/>
      </c>
      <c r="P319" s="27" t="str">
        <f>IF(I319="","",_xlfn.XLOOKUP(I319,Lists!$C:$C,Lists!$E:$E))</f>
        <v/>
      </c>
      <c r="Q319" s="28" t="str">
        <f t="shared" si="19"/>
        <v/>
      </c>
      <c r="R319" s="26" t="str">
        <f t="shared" ca="1" si="20"/>
        <v/>
      </c>
      <c r="S319" s="27" t="str">
        <f>IF(I319="","",_xlfn.XLOOKUP(I319,Lists!$C:$C,Lists!$I:$I))</f>
        <v/>
      </c>
    </row>
    <row r="320" spans="3:19" x14ac:dyDescent="0.2">
      <c r="C320" s="26">
        <f>_xlfn.XLOOKUP(B320,Lists!B:B,Lists!A:A,"")</f>
        <v>0</v>
      </c>
      <c r="G320" s="26" t="str">
        <f t="shared" si="16"/>
        <v/>
      </c>
      <c r="H320" s="31" t="str">
        <f t="shared" si="17"/>
        <v/>
      </c>
      <c r="J320" s="27" t="str">
        <f>IF(I320="","",_xlfn.XLOOKUP(I320,Lists!$C:$C,Lists!$D:$D))</f>
        <v/>
      </c>
      <c r="N320" s="26" t="str">
        <f t="shared" si="18"/>
        <v/>
      </c>
      <c r="O320" s="27" t="str">
        <f>IF(I320="","",_xlfn.XLOOKUP(I320,Lists!$C:$C,Lists!$J:$J))</f>
        <v/>
      </c>
      <c r="P320" s="27" t="str">
        <f>IF(I320="","",_xlfn.XLOOKUP(I320,Lists!$C:$C,Lists!$E:$E))</f>
        <v/>
      </c>
      <c r="Q320" s="28" t="str">
        <f t="shared" si="19"/>
        <v/>
      </c>
      <c r="R320" s="26" t="str">
        <f t="shared" ca="1" si="20"/>
        <v/>
      </c>
      <c r="S320" s="27" t="str">
        <f>IF(I320="","",_xlfn.XLOOKUP(I320,Lists!$C:$C,Lists!$I:$I))</f>
        <v/>
      </c>
    </row>
    <row r="321" spans="3:19" x14ac:dyDescent="0.2">
      <c r="C321" s="26">
        <f>_xlfn.XLOOKUP(B321,Lists!B:B,Lists!A:A,"")</f>
        <v>0</v>
      </c>
      <c r="G321" s="26" t="str">
        <f t="shared" si="16"/>
        <v/>
      </c>
      <c r="H321" s="31" t="str">
        <f t="shared" si="17"/>
        <v/>
      </c>
      <c r="J321" s="27" t="str">
        <f>IF(I321="","",_xlfn.XLOOKUP(I321,Lists!$C:$C,Lists!$D:$D))</f>
        <v/>
      </c>
      <c r="N321" s="26" t="str">
        <f t="shared" si="18"/>
        <v/>
      </c>
      <c r="O321" s="27" t="str">
        <f>IF(I321="","",_xlfn.XLOOKUP(I321,Lists!$C:$C,Lists!$J:$J))</f>
        <v/>
      </c>
      <c r="P321" s="27" t="str">
        <f>IF(I321="","",_xlfn.XLOOKUP(I321,Lists!$C:$C,Lists!$E:$E))</f>
        <v/>
      </c>
      <c r="Q321" s="28" t="str">
        <f t="shared" si="19"/>
        <v/>
      </c>
      <c r="R321" s="26" t="str">
        <f t="shared" ca="1" si="20"/>
        <v/>
      </c>
      <c r="S321" s="27" t="str">
        <f>IF(I321="","",_xlfn.XLOOKUP(I321,Lists!$C:$C,Lists!$I:$I))</f>
        <v/>
      </c>
    </row>
    <row r="322" spans="3:19" x14ac:dyDescent="0.2">
      <c r="C322" s="26">
        <f>_xlfn.XLOOKUP(B322,Lists!B:B,Lists!A:A,"")</f>
        <v>0</v>
      </c>
      <c r="G322" s="26" t="str">
        <f t="shared" si="16"/>
        <v/>
      </c>
      <c r="H322" s="31" t="str">
        <f t="shared" si="17"/>
        <v/>
      </c>
      <c r="J322" s="27" t="str">
        <f>IF(I322="","",_xlfn.XLOOKUP(I322,Lists!$C:$C,Lists!$D:$D))</f>
        <v/>
      </c>
      <c r="N322" s="26" t="str">
        <f t="shared" si="18"/>
        <v/>
      </c>
      <c r="O322" s="27" t="str">
        <f>IF(I322="","",_xlfn.XLOOKUP(I322,Lists!$C:$C,Lists!$J:$J))</f>
        <v/>
      </c>
      <c r="P322" s="27" t="str">
        <f>IF(I322="","",_xlfn.XLOOKUP(I322,Lists!$C:$C,Lists!$E:$E))</f>
        <v/>
      </c>
      <c r="Q322" s="28" t="str">
        <f t="shared" si="19"/>
        <v/>
      </c>
      <c r="R322" s="26" t="str">
        <f t="shared" ca="1" si="20"/>
        <v/>
      </c>
      <c r="S322" s="27" t="str">
        <f>IF(I322="","",_xlfn.XLOOKUP(I322,Lists!$C:$C,Lists!$I:$I))</f>
        <v/>
      </c>
    </row>
    <row r="323" spans="3:19" x14ac:dyDescent="0.2">
      <c r="C323" s="26">
        <f>_xlfn.XLOOKUP(B323,Lists!B:B,Lists!A:A,"")</f>
        <v>0</v>
      </c>
      <c r="G323" s="26" t="str">
        <f t="shared" si="16"/>
        <v/>
      </c>
      <c r="H323" s="31" t="str">
        <f t="shared" si="17"/>
        <v/>
      </c>
      <c r="J323" s="27" t="str">
        <f>IF(I323="","",_xlfn.XLOOKUP(I323,Lists!$C:$C,Lists!$D:$D))</f>
        <v/>
      </c>
      <c r="N323" s="26" t="str">
        <f t="shared" si="18"/>
        <v/>
      </c>
      <c r="O323" s="27" t="str">
        <f>IF(I323="","",_xlfn.XLOOKUP(I323,Lists!$C:$C,Lists!$J:$J))</f>
        <v/>
      </c>
      <c r="P323" s="27" t="str">
        <f>IF(I323="","",_xlfn.XLOOKUP(I323,Lists!$C:$C,Lists!$E:$E))</f>
        <v/>
      </c>
      <c r="Q323" s="28" t="str">
        <f t="shared" si="19"/>
        <v/>
      </c>
      <c r="R323" s="26" t="str">
        <f t="shared" ca="1" si="20"/>
        <v/>
      </c>
      <c r="S323" s="27" t="str">
        <f>IF(I323="","",_xlfn.XLOOKUP(I323,Lists!$C:$C,Lists!$I:$I))</f>
        <v/>
      </c>
    </row>
    <row r="324" spans="3:19" x14ac:dyDescent="0.2">
      <c r="C324" s="26">
        <f>_xlfn.XLOOKUP(B324,Lists!B:B,Lists!A:A,"")</f>
        <v>0</v>
      </c>
      <c r="G324" s="26" t="str">
        <f t="shared" si="16"/>
        <v/>
      </c>
      <c r="H324" s="31" t="str">
        <f t="shared" si="17"/>
        <v/>
      </c>
      <c r="J324" s="27" t="str">
        <f>IF(I324="","",_xlfn.XLOOKUP(I324,Lists!$C:$C,Lists!$D:$D))</f>
        <v/>
      </c>
      <c r="N324" s="26" t="str">
        <f t="shared" si="18"/>
        <v/>
      </c>
      <c r="O324" s="27" t="str">
        <f>IF(I324="","",_xlfn.XLOOKUP(I324,Lists!$C:$C,Lists!$J:$J))</f>
        <v/>
      </c>
      <c r="P324" s="27" t="str">
        <f>IF(I324="","",_xlfn.XLOOKUP(I324,Lists!$C:$C,Lists!$E:$E))</f>
        <v/>
      </c>
      <c r="Q324" s="28" t="str">
        <f t="shared" si="19"/>
        <v/>
      </c>
      <c r="R324" s="26" t="str">
        <f t="shared" ca="1" si="20"/>
        <v/>
      </c>
      <c r="S324" s="27" t="str">
        <f>IF(I324="","",_xlfn.XLOOKUP(I324,Lists!$C:$C,Lists!$I:$I))</f>
        <v/>
      </c>
    </row>
    <row r="325" spans="3:19" x14ac:dyDescent="0.2">
      <c r="C325" s="26">
        <f>_xlfn.XLOOKUP(B325,Lists!B:B,Lists!A:A,"")</f>
        <v>0</v>
      </c>
      <c r="G325" s="26" t="str">
        <f t="shared" si="16"/>
        <v/>
      </c>
      <c r="H325" s="31" t="str">
        <f t="shared" si="17"/>
        <v/>
      </c>
      <c r="J325" s="27" t="str">
        <f>IF(I325="","",_xlfn.XLOOKUP(I325,Lists!$C:$C,Lists!$D:$D))</f>
        <v/>
      </c>
      <c r="N325" s="26" t="str">
        <f t="shared" si="18"/>
        <v/>
      </c>
      <c r="O325" s="27" t="str">
        <f>IF(I325="","",_xlfn.XLOOKUP(I325,Lists!$C:$C,Lists!$J:$J))</f>
        <v/>
      </c>
      <c r="P325" s="27" t="str">
        <f>IF(I325="","",_xlfn.XLOOKUP(I325,Lists!$C:$C,Lists!$E:$E))</f>
        <v/>
      </c>
      <c r="Q325" s="28" t="str">
        <f t="shared" si="19"/>
        <v/>
      </c>
      <c r="R325" s="26" t="str">
        <f t="shared" ca="1" si="20"/>
        <v/>
      </c>
      <c r="S325" s="27" t="str">
        <f>IF(I325="","",_xlfn.XLOOKUP(I325,Lists!$C:$C,Lists!$I:$I))</f>
        <v/>
      </c>
    </row>
    <row r="326" spans="3:19" x14ac:dyDescent="0.2">
      <c r="C326" s="26">
        <f>_xlfn.XLOOKUP(B326,Lists!B:B,Lists!A:A,"")</f>
        <v>0</v>
      </c>
      <c r="G326" s="26" t="str">
        <f t="shared" si="16"/>
        <v/>
      </c>
      <c r="H326" s="31" t="str">
        <f t="shared" si="17"/>
        <v/>
      </c>
      <c r="J326" s="27" t="str">
        <f>IF(I326="","",_xlfn.XLOOKUP(I326,Lists!$C:$C,Lists!$D:$D))</f>
        <v/>
      </c>
      <c r="N326" s="26" t="str">
        <f t="shared" si="18"/>
        <v/>
      </c>
      <c r="O326" s="27" t="str">
        <f>IF(I326="","",_xlfn.XLOOKUP(I326,Lists!$C:$C,Lists!$J:$J))</f>
        <v/>
      </c>
      <c r="P326" s="27" t="str">
        <f>IF(I326="","",_xlfn.XLOOKUP(I326,Lists!$C:$C,Lists!$E:$E))</f>
        <v/>
      </c>
      <c r="Q326" s="28" t="str">
        <f t="shared" si="19"/>
        <v/>
      </c>
      <c r="R326" s="26" t="str">
        <f t="shared" ca="1" si="20"/>
        <v/>
      </c>
      <c r="S326" s="27" t="str">
        <f>IF(I326="","",_xlfn.XLOOKUP(I326,Lists!$C:$C,Lists!$I:$I))</f>
        <v/>
      </c>
    </row>
    <row r="327" spans="3:19" x14ac:dyDescent="0.2">
      <c r="C327" s="26">
        <f>_xlfn.XLOOKUP(B327,Lists!B:B,Lists!A:A,"")</f>
        <v>0</v>
      </c>
      <c r="G327" s="26" t="str">
        <f t="shared" si="16"/>
        <v/>
      </c>
      <c r="H327" s="31" t="str">
        <f t="shared" si="17"/>
        <v/>
      </c>
      <c r="J327" s="27" t="str">
        <f>IF(I327="","",_xlfn.XLOOKUP(I327,Lists!$C:$C,Lists!$D:$D))</f>
        <v/>
      </c>
      <c r="N327" s="26" t="str">
        <f t="shared" si="18"/>
        <v/>
      </c>
      <c r="O327" s="27" t="str">
        <f>IF(I327="","",_xlfn.XLOOKUP(I327,Lists!$C:$C,Lists!$J:$J))</f>
        <v/>
      </c>
      <c r="P327" s="27" t="str">
        <f>IF(I327="","",_xlfn.XLOOKUP(I327,Lists!$C:$C,Lists!$E:$E))</f>
        <v/>
      </c>
      <c r="Q327" s="28" t="str">
        <f t="shared" si="19"/>
        <v/>
      </c>
      <c r="R327" s="26" t="str">
        <f t="shared" ca="1" si="20"/>
        <v/>
      </c>
      <c r="S327" s="27" t="str">
        <f>IF(I327="","",_xlfn.XLOOKUP(I327,Lists!$C:$C,Lists!$I:$I))</f>
        <v/>
      </c>
    </row>
    <row r="328" spans="3:19" x14ac:dyDescent="0.2">
      <c r="C328" s="26">
        <f>_xlfn.XLOOKUP(B328,Lists!B:B,Lists!A:A,"")</f>
        <v>0</v>
      </c>
      <c r="G328" s="26" t="str">
        <f t="shared" si="16"/>
        <v/>
      </c>
      <c r="H328" s="31" t="str">
        <f t="shared" si="17"/>
        <v/>
      </c>
      <c r="J328" s="27" t="str">
        <f>IF(I328="","",_xlfn.XLOOKUP(I328,Lists!$C:$C,Lists!$D:$D))</f>
        <v/>
      </c>
      <c r="N328" s="26" t="str">
        <f t="shared" si="18"/>
        <v/>
      </c>
      <c r="O328" s="27" t="str">
        <f>IF(I328="","",_xlfn.XLOOKUP(I328,Lists!$C:$C,Lists!$J:$J))</f>
        <v/>
      </c>
      <c r="P328" s="27" t="str">
        <f>IF(I328="","",_xlfn.XLOOKUP(I328,Lists!$C:$C,Lists!$E:$E))</f>
        <v/>
      </c>
      <c r="Q328" s="28" t="str">
        <f t="shared" si="19"/>
        <v/>
      </c>
      <c r="R328" s="26" t="str">
        <f t="shared" ca="1" si="20"/>
        <v/>
      </c>
      <c r="S328" s="27" t="str">
        <f>IF(I328="","",_xlfn.XLOOKUP(I328,Lists!$C:$C,Lists!$I:$I))</f>
        <v/>
      </c>
    </row>
    <row r="329" spans="3:19" x14ac:dyDescent="0.2">
      <c r="C329" s="26">
        <f>_xlfn.XLOOKUP(B329,Lists!B:B,Lists!A:A,"")</f>
        <v>0</v>
      </c>
      <c r="G329" s="26" t="str">
        <f t="shared" si="16"/>
        <v/>
      </c>
      <c r="H329" s="31" t="str">
        <f t="shared" si="17"/>
        <v/>
      </c>
      <c r="J329" s="27" t="str">
        <f>IF(I329="","",_xlfn.XLOOKUP(I329,Lists!$C:$C,Lists!$D:$D))</f>
        <v/>
      </c>
      <c r="N329" s="26" t="str">
        <f t="shared" si="18"/>
        <v/>
      </c>
      <c r="O329" s="27" t="str">
        <f>IF(I329="","",_xlfn.XLOOKUP(I329,Lists!$C:$C,Lists!$J:$J))</f>
        <v/>
      </c>
      <c r="P329" s="27" t="str">
        <f>IF(I329="","",_xlfn.XLOOKUP(I329,Lists!$C:$C,Lists!$E:$E))</f>
        <v/>
      </c>
      <c r="Q329" s="28" t="str">
        <f t="shared" si="19"/>
        <v/>
      </c>
      <c r="R329" s="26" t="str">
        <f t="shared" ca="1" si="20"/>
        <v/>
      </c>
      <c r="S329" s="27" t="str">
        <f>IF(I329="","",_xlfn.XLOOKUP(I329,Lists!$C:$C,Lists!$I:$I))</f>
        <v/>
      </c>
    </row>
    <row r="330" spans="3:19" x14ac:dyDescent="0.2">
      <c r="C330" s="26">
        <f>_xlfn.XLOOKUP(B330,Lists!B:B,Lists!A:A,"")</f>
        <v>0</v>
      </c>
      <c r="G330" s="26" t="str">
        <f t="shared" si="16"/>
        <v/>
      </c>
      <c r="H330" s="31" t="str">
        <f t="shared" si="17"/>
        <v/>
      </c>
      <c r="J330" s="27" t="str">
        <f>IF(I330="","",_xlfn.XLOOKUP(I330,Lists!$C:$C,Lists!$D:$D))</f>
        <v/>
      </c>
      <c r="N330" s="26" t="str">
        <f t="shared" si="18"/>
        <v/>
      </c>
      <c r="O330" s="27" t="str">
        <f>IF(I330="","",_xlfn.XLOOKUP(I330,Lists!$C:$C,Lists!$J:$J))</f>
        <v/>
      </c>
      <c r="P330" s="27" t="str">
        <f>IF(I330="","",_xlfn.XLOOKUP(I330,Lists!$C:$C,Lists!$E:$E))</f>
        <v/>
      </c>
      <c r="Q330" s="28" t="str">
        <f t="shared" si="19"/>
        <v/>
      </c>
      <c r="R330" s="26" t="str">
        <f t="shared" ca="1" si="20"/>
        <v/>
      </c>
      <c r="S330" s="27" t="str">
        <f>IF(I330="","",_xlfn.XLOOKUP(I330,Lists!$C:$C,Lists!$I:$I))</f>
        <v/>
      </c>
    </row>
    <row r="331" spans="3:19" x14ac:dyDescent="0.2">
      <c r="C331" s="26">
        <f>_xlfn.XLOOKUP(B331,Lists!B:B,Lists!A:A,"")</f>
        <v>0</v>
      </c>
      <c r="G331" s="26" t="str">
        <f t="shared" si="16"/>
        <v/>
      </c>
      <c r="H331" s="31" t="str">
        <f t="shared" si="17"/>
        <v/>
      </c>
      <c r="J331" s="27" t="str">
        <f>IF(I331="","",_xlfn.XLOOKUP(I331,Lists!$C:$C,Lists!$D:$D))</f>
        <v/>
      </c>
      <c r="N331" s="26" t="str">
        <f t="shared" si="18"/>
        <v/>
      </c>
      <c r="O331" s="27" t="str">
        <f>IF(I331="","",_xlfn.XLOOKUP(I331,Lists!$C:$C,Lists!$J:$J))</f>
        <v/>
      </c>
      <c r="P331" s="27" t="str">
        <f>IF(I331="","",_xlfn.XLOOKUP(I331,Lists!$C:$C,Lists!$E:$E))</f>
        <v/>
      </c>
      <c r="Q331" s="28" t="str">
        <f t="shared" si="19"/>
        <v/>
      </c>
      <c r="R331" s="26" t="str">
        <f t="shared" ca="1" si="20"/>
        <v/>
      </c>
      <c r="S331" s="27" t="str">
        <f>IF(I331="","",_xlfn.XLOOKUP(I331,Lists!$C:$C,Lists!$I:$I))</f>
        <v/>
      </c>
    </row>
    <row r="332" spans="3:19" x14ac:dyDescent="0.2">
      <c r="C332" s="26">
        <f>_xlfn.XLOOKUP(B332,Lists!B:B,Lists!A:A,"")</f>
        <v>0</v>
      </c>
      <c r="G332" s="26" t="str">
        <f t="shared" si="16"/>
        <v/>
      </c>
      <c r="H332" s="31" t="str">
        <f t="shared" si="17"/>
        <v/>
      </c>
      <c r="J332" s="27" t="str">
        <f>IF(I332="","",_xlfn.XLOOKUP(I332,Lists!$C:$C,Lists!$D:$D))</f>
        <v/>
      </c>
      <c r="N332" s="26" t="str">
        <f t="shared" si="18"/>
        <v/>
      </c>
      <c r="O332" s="27" t="str">
        <f>IF(I332="","",_xlfn.XLOOKUP(I332,Lists!$C:$C,Lists!$J:$J))</f>
        <v/>
      </c>
      <c r="P332" s="27" t="str">
        <f>IF(I332="","",_xlfn.XLOOKUP(I332,Lists!$C:$C,Lists!$E:$E))</f>
        <v/>
      </c>
      <c r="Q332" s="28" t="str">
        <f t="shared" si="19"/>
        <v/>
      </c>
      <c r="R332" s="26" t="str">
        <f t="shared" ca="1" si="20"/>
        <v/>
      </c>
      <c r="S332" s="27" t="str">
        <f>IF(I332="","",_xlfn.XLOOKUP(I332,Lists!$C:$C,Lists!$I:$I))</f>
        <v/>
      </c>
    </row>
    <row r="333" spans="3:19" x14ac:dyDescent="0.2">
      <c r="C333" s="26">
        <f>_xlfn.XLOOKUP(B333,Lists!B:B,Lists!A:A,"")</f>
        <v>0</v>
      </c>
      <c r="G333" s="26" t="str">
        <f t="shared" si="16"/>
        <v/>
      </c>
      <c r="H333" s="31" t="str">
        <f t="shared" si="17"/>
        <v/>
      </c>
      <c r="J333" s="27" t="str">
        <f>IF(I333="","",_xlfn.XLOOKUP(I333,Lists!$C:$C,Lists!$D:$D))</f>
        <v/>
      </c>
      <c r="N333" s="26" t="str">
        <f t="shared" si="18"/>
        <v/>
      </c>
      <c r="O333" s="27" t="str">
        <f>IF(I333="","",_xlfn.XLOOKUP(I333,Lists!$C:$C,Lists!$J:$J))</f>
        <v/>
      </c>
      <c r="P333" s="27" t="str">
        <f>IF(I333="","",_xlfn.XLOOKUP(I333,Lists!$C:$C,Lists!$E:$E))</f>
        <v/>
      </c>
      <c r="Q333" s="28" t="str">
        <f t="shared" si="19"/>
        <v/>
      </c>
      <c r="R333" s="26" t="str">
        <f t="shared" ca="1" si="20"/>
        <v/>
      </c>
      <c r="S333" s="27" t="str">
        <f>IF(I333="","",_xlfn.XLOOKUP(I333,Lists!$C:$C,Lists!$I:$I))</f>
        <v/>
      </c>
    </row>
    <row r="334" spans="3:19" x14ac:dyDescent="0.2">
      <c r="C334" s="26">
        <f>_xlfn.XLOOKUP(B334,Lists!B:B,Lists!A:A,"")</f>
        <v>0</v>
      </c>
      <c r="G334" s="26" t="str">
        <f t="shared" si="16"/>
        <v/>
      </c>
      <c r="H334" s="31" t="str">
        <f t="shared" si="17"/>
        <v/>
      </c>
      <c r="J334" s="27" t="str">
        <f>IF(I334="","",_xlfn.XLOOKUP(I334,Lists!$C:$C,Lists!$D:$D))</f>
        <v/>
      </c>
      <c r="N334" s="26" t="str">
        <f t="shared" si="18"/>
        <v/>
      </c>
      <c r="O334" s="27" t="str">
        <f>IF(I334="","",_xlfn.XLOOKUP(I334,Lists!$C:$C,Lists!$J:$J))</f>
        <v/>
      </c>
      <c r="P334" s="27" t="str">
        <f>IF(I334="","",_xlfn.XLOOKUP(I334,Lists!$C:$C,Lists!$E:$E))</f>
        <v/>
      </c>
      <c r="Q334" s="28" t="str">
        <f t="shared" si="19"/>
        <v/>
      </c>
      <c r="R334" s="26" t="str">
        <f t="shared" ca="1" si="20"/>
        <v/>
      </c>
      <c r="S334" s="27" t="str">
        <f>IF(I334="","",_xlfn.XLOOKUP(I334,Lists!$C:$C,Lists!$I:$I))</f>
        <v/>
      </c>
    </row>
    <row r="335" spans="3:19" x14ac:dyDescent="0.2">
      <c r="C335" s="26">
        <f>_xlfn.XLOOKUP(B335,Lists!B:B,Lists!A:A,"")</f>
        <v>0</v>
      </c>
      <c r="G335" s="26" t="str">
        <f t="shared" si="16"/>
        <v/>
      </c>
      <c r="H335" s="31" t="str">
        <f t="shared" si="17"/>
        <v/>
      </c>
      <c r="J335" s="27" t="str">
        <f>IF(I335="","",_xlfn.XLOOKUP(I335,Lists!$C:$C,Lists!$D:$D))</f>
        <v/>
      </c>
      <c r="N335" s="26" t="str">
        <f t="shared" si="18"/>
        <v/>
      </c>
      <c r="O335" s="27" t="str">
        <f>IF(I335="","",_xlfn.XLOOKUP(I335,Lists!$C:$C,Lists!$J:$J))</f>
        <v/>
      </c>
      <c r="P335" s="27" t="str">
        <f>IF(I335="","",_xlfn.XLOOKUP(I335,Lists!$C:$C,Lists!$E:$E))</f>
        <v/>
      </c>
      <c r="Q335" s="28" t="str">
        <f t="shared" si="19"/>
        <v/>
      </c>
      <c r="R335" s="26" t="str">
        <f t="shared" ca="1" si="20"/>
        <v/>
      </c>
      <c r="S335" s="27" t="str">
        <f>IF(I335="","",_xlfn.XLOOKUP(I335,Lists!$C:$C,Lists!$I:$I))</f>
        <v/>
      </c>
    </row>
    <row r="336" spans="3:19" x14ac:dyDescent="0.2">
      <c r="C336" s="26">
        <f>_xlfn.XLOOKUP(B336,Lists!B:B,Lists!A:A,"")</f>
        <v>0</v>
      </c>
      <c r="G336" s="26" t="str">
        <f t="shared" si="16"/>
        <v/>
      </c>
      <c r="H336" s="31" t="str">
        <f t="shared" si="17"/>
        <v/>
      </c>
      <c r="J336" s="27" t="str">
        <f>IF(I336="","",_xlfn.XLOOKUP(I336,Lists!$C:$C,Lists!$D:$D))</f>
        <v/>
      </c>
      <c r="N336" s="26" t="str">
        <f t="shared" si="18"/>
        <v/>
      </c>
      <c r="O336" s="27" t="str">
        <f>IF(I336="","",_xlfn.XLOOKUP(I336,Lists!$C:$C,Lists!$J:$J))</f>
        <v/>
      </c>
      <c r="P336" s="27" t="str">
        <f>IF(I336="","",_xlfn.XLOOKUP(I336,Lists!$C:$C,Lists!$E:$E))</f>
        <v/>
      </c>
      <c r="Q336" s="28" t="str">
        <f t="shared" si="19"/>
        <v/>
      </c>
      <c r="R336" s="26" t="str">
        <f t="shared" ca="1" si="20"/>
        <v/>
      </c>
      <c r="S336" s="27" t="str">
        <f>IF(I336="","",_xlfn.XLOOKUP(I336,Lists!$C:$C,Lists!$I:$I))</f>
        <v/>
      </c>
    </row>
    <row r="337" spans="3:19" x14ac:dyDescent="0.2">
      <c r="C337" s="26">
        <f>_xlfn.XLOOKUP(B337,Lists!B:B,Lists!A:A,"")</f>
        <v>0</v>
      </c>
      <c r="G337" s="26" t="str">
        <f t="shared" si="16"/>
        <v/>
      </c>
      <c r="H337" s="31" t="str">
        <f t="shared" si="17"/>
        <v/>
      </c>
      <c r="J337" s="27" t="str">
        <f>IF(I337="","",_xlfn.XLOOKUP(I337,Lists!$C:$C,Lists!$D:$D))</f>
        <v/>
      </c>
      <c r="N337" s="26" t="str">
        <f t="shared" si="18"/>
        <v/>
      </c>
      <c r="O337" s="27" t="str">
        <f>IF(I337="","",_xlfn.XLOOKUP(I337,Lists!$C:$C,Lists!$J:$J))</f>
        <v/>
      </c>
      <c r="P337" s="27" t="str">
        <f>IF(I337="","",_xlfn.XLOOKUP(I337,Lists!$C:$C,Lists!$E:$E))</f>
        <v/>
      </c>
      <c r="Q337" s="28" t="str">
        <f t="shared" si="19"/>
        <v/>
      </c>
      <c r="R337" s="26" t="str">
        <f t="shared" ca="1" si="20"/>
        <v/>
      </c>
      <c r="S337" s="27" t="str">
        <f>IF(I337="","",_xlfn.XLOOKUP(I337,Lists!$C:$C,Lists!$I:$I))</f>
        <v/>
      </c>
    </row>
    <row r="338" spans="3:19" x14ac:dyDescent="0.2">
      <c r="C338" s="26">
        <f>_xlfn.XLOOKUP(B338,Lists!B:B,Lists!A:A,"")</f>
        <v>0</v>
      </c>
      <c r="G338" s="26" t="str">
        <f t="shared" si="16"/>
        <v/>
      </c>
      <c r="H338" s="31" t="str">
        <f t="shared" si="17"/>
        <v/>
      </c>
      <c r="J338" s="27" t="str">
        <f>IF(I338="","",_xlfn.XLOOKUP(I338,Lists!$C:$C,Lists!$D:$D))</f>
        <v/>
      </c>
      <c r="N338" s="26" t="str">
        <f t="shared" si="18"/>
        <v/>
      </c>
      <c r="O338" s="27" t="str">
        <f>IF(I338="","",_xlfn.XLOOKUP(I338,Lists!$C:$C,Lists!$J:$J))</f>
        <v/>
      </c>
      <c r="P338" s="27" t="str">
        <f>IF(I338="","",_xlfn.XLOOKUP(I338,Lists!$C:$C,Lists!$E:$E))</f>
        <v/>
      </c>
      <c r="Q338" s="28" t="str">
        <f t="shared" si="19"/>
        <v/>
      </c>
      <c r="R338" s="26" t="str">
        <f t="shared" ca="1" si="20"/>
        <v/>
      </c>
      <c r="S338" s="27" t="str">
        <f>IF(I338="","",_xlfn.XLOOKUP(I338,Lists!$C:$C,Lists!$I:$I))</f>
        <v/>
      </c>
    </row>
    <row r="339" spans="3:19" x14ac:dyDescent="0.2">
      <c r="C339" s="26">
        <f>_xlfn.XLOOKUP(B339,Lists!B:B,Lists!A:A,"")</f>
        <v>0</v>
      </c>
      <c r="G339" s="26" t="str">
        <f t="shared" si="16"/>
        <v/>
      </c>
      <c r="H339" s="31" t="str">
        <f t="shared" si="17"/>
        <v/>
      </c>
      <c r="J339" s="27" t="str">
        <f>IF(I339="","",_xlfn.XLOOKUP(I339,Lists!$C:$C,Lists!$D:$D))</f>
        <v/>
      </c>
      <c r="N339" s="26" t="str">
        <f t="shared" si="18"/>
        <v/>
      </c>
      <c r="O339" s="27" t="str">
        <f>IF(I339="","",_xlfn.XLOOKUP(I339,Lists!$C:$C,Lists!$J:$J))</f>
        <v/>
      </c>
      <c r="P339" s="27" t="str">
        <f>IF(I339="","",_xlfn.XLOOKUP(I339,Lists!$C:$C,Lists!$E:$E))</f>
        <v/>
      </c>
      <c r="Q339" s="28" t="str">
        <f t="shared" si="19"/>
        <v/>
      </c>
      <c r="R339" s="26" t="str">
        <f t="shared" ca="1" si="20"/>
        <v/>
      </c>
      <c r="S339" s="27" t="str">
        <f>IF(I339="","",_xlfn.XLOOKUP(I339,Lists!$C:$C,Lists!$I:$I))</f>
        <v/>
      </c>
    </row>
    <row r="340" spans="3:19" x14ac:dyDescent="0.2">
      <c r="C340" s="26">
        <f>_xlfn.XLOOKUP(B340,Lists!B:B,Lists!A:A,"")</f>
        <v>0</v>
      </c>
      <c r="G340" s="26" t="str">
        <f t="shared" si="16"/>
        <v/>
      </c>
      <c r="H340" s="31" t="str">
        <f t="shared" si="17"/>
        <v/>
      </c>
      <c r="J340" s="27" t="str">
        <f>IF(I340="","",_xlfn.XLOOKUP(I340,Lists!$C:$C,Lists!$D:$D))</f>
        <v/>
      </c>
      <c r="N340" s="26" t="str">
        <f t="shared" si="18"/>
        <v/>
      </c>
      <c r="O340" s="27" t="str">
        <f>IF(I340="","",_xlfn.XLOOKUP(I340,Lists!$C:$C,Lists!$J:$J))</f>
        <v/>
      </c>
      <c r="P340" s="27" t="str">
        <f>IF(I340="","",_xlfn.XLOOKUP(I340,Lists!$C:$C,Lists!$E:$E))</f>
        <v/>
      </c>
      <c r="Q340" s="28" t="str">
        <f t="shared" si="19"/>
        <v/>
      </c>
      <c r="R340" s="26" t="str">
        <f t="shared" ca="1" si="20"/>
        <v/>
      </c>
      <c r="S340" s="27" t="str">
        <f>IF(I340="","",_xlfn.XLOOKUP(I340,Lists!$C:$C,Lists!$I:$I))</f>
        <v/>
      </c>
    </row>
    <row r="341" spans="3:19" x14ac:dyDescent="0.2">
      <c r="C341" s="26">
        <f>_xlfn.XLOOKUP(B341,Lists!B:B,Lists!A:A,"")</f>
        <v>0</v>
      </c>
      <c r="G341" s="26" t="str">
        <f t="shared" si="16"/>
        <v/>
      </c>
      <c r="H341" s="31" t="str">
        <f t="shared" si="17"/>
        <v/>
      </c>
      <c r="J341" s="27" t="str">
        <f>IF(I341="","",_xlfn.XLOOKUP(I341,Lists!$C:$C,Lists!$D:$D))</f>
        <v/>
      </c>
      <c r="N341" s="26" t="str">
        <f t="shared" si="18"/>
        <v/>
      </c>
      <c r="O341" s="27" t="str">
        <f>IF(I341="","",_xlfn.XLOOKUP(I341,Lists!$C:$C,Lists!$J:$J))</f>
        <v/>
      </c>
      <c r="P341" s="27" t="str">
        <f>IF(I341="","",_xlfn.XLOOKUP(I341,Lists!$C:$C,Lists!$E:$E))</f>
        <v/>
      </c>
      <c r="Q341" s="28" t="str">
        <f t="shared" si="19"/>
        <v/>
      </c>
      <c r="R341" s="26" t="str">
        <f t="shared" ca="1" si="20"/>
        <v/>
      </c>
      <c r="S341" s="27" t="str">
        <f>IF(I341="","",_xlfn.XLOOKUP(I341,Lists!$C:$C,Lists!$I:$I))</f>
        <v/>
      </c>
    </row>
    <row r="342" spans="3:19" x14ac:dyDescent="0.2">
      <c r="C342" s="26">
        <f>_xlfn.XLOOKUP(B342,Lists!B:B,Lists!A:A,"")</f>
        <v>0</v>
      </c>
      <c r="G342" s="26" t="str">
        <f t="shared" si="16"/>
        <v/>
      </c>
      <c r="H342" s="31" t="str">
        <f t="shared" si="17"/>
        <v/>
      </c>
      <c r="J342" s="27" t="str">
        <f>IF(I342="","",_xlfn.XLOOKUP(I342,Lists!$C:$C,Lists!$D:$D))</f>
        <v/>
      </c>
      <c r="N342" s="26" t="str">
        <f t="shared" si="18"/>
        <v/>
      </c>
      <c r="O342" s="27" t="str">
        <f>IF(I342="","",_xlfn.XLOOKUP(I342,Lists!$C:$C,Lists!$J:$J))</f>
        <v/>
      </c>
      <c r="P342" s="27" t="str">
        <f>IF(I342="","",_xlfn.XLOOKUP(I342,Lists!$C:$C,Lists!$E:$E))</f>
        <v/>
      </c>
      <c r="Q342" s="28" t="str">
        <f t="shared" si="19"/>
        <v/>
      </c>
      <c r="R342" s="26" t="str">
        <f t="shared" ca="1" si="20"/>
        <v/>
      </c>
      <c r="S342" s="27" t="str">
        <f>IF(I342="","",_xlfn.XLOOKUP(I342,Lists!$C:$C,Lists!$I:$I))</f>
        <v/>
      </c>
    </row>
    <row r="343" spans="3:19" x14ac:dyDescent="0.2">
      <c r="C343" s="26">
        <f>_xlfn.XLOOKUP(B343,Lists!B:B,Lists!A:A,"")</f>
        <v>0</v>
      </c>
      <c r="G343" s="26" t="str">
        <f t="shared" si="16"/>
        <v/>
      </c>
      <c r="H343" s="31" t="str">
        <f t="shared" si="17"/>
        <v/>
      </c>
      <c r="J343" s="27" t="str">
        <f>IF(I343="","",_xlfn.XLOOKUP(I343,Lists!$C:$C,Lists!$D:$D))</f>
        <v/>
      </c>
      <c r="N343" s="26" t="str">
        <f t="shared" si="18"/>
        <v/>
      </c>
      <c r="O343" s="27" t="str">
        <f>IF(I343="","",_xlfn.XLOOKUP(I343,Lists!$C:$C,Lists!$J:$J))</f>
        <v/>
      </c>
      <c r="P343" s="27" t="str">
        <f>IF(I343="","",_xlfn.XLOOKUP(I343,Lists!$C:$C,Lists!$E:$E))</f>
        <v/>
      </c>
      <c r="Q343" s="28" t="str">
        <f t="shared" si="19"/>
        <v/>
      </c>
      <c r="R343" s="26" t="str">
        <f t="shared" ca="1" si="20"/>
        <v/>
      </c>
      <c r="S343" s="27" t="str">
        <f>IF(I343="","",_xlfn.XLOOKUP(I343,Lists!$C:$C,Lists!$I:$I))</f>
        <v/>
      </c>
    </row>
    <row r="344" spans="3:19" x14ac:dyDescent="0.2">
      <c r="C344" s="26">
        <f>_xlfn.XLOOKUP(B344,Lists!B:B,Lists!A:A,"")</f>
        <v>0</v>
      </c>
      <c r="G344" s="26" t="str">
        <f t="shared" si="16"/>
        <v/>
      </c>
      <c r="H344" s="31" t="str">
        <f t="shared" si="17"/>
        <v/>
      </c>
      <c r="J344" s="27" t="str">
        <f>IF(I344="","",_xlfn.XLOOKUP(I344,Lists!$C:$C,Lists!$D:$D))</f>
        <v/>
      </c>
      <c r="N344" s="26" t="str">
        <f t="shared" si="18"/>
        <v/>
      </c>
      <c r="O344" s="27" t="str">
        <f>IF(I344="","",_xlfn.XLOOKUP(I344,Lists!$C:$C,Lists!$J:$J))</f>
        <v/>
      </c>
      <c r="P344" s="27" t="str">
        <f>IF(I344="","",_xlfn.XLOOKUP(I344,Lists!$C:$C,Lists!$E:$E))</f>
        <v/>
      </c>
      <c r="Q344" s="28" t="str">
        <f t="shared" si="19"/>
        <v/>
      </c>
      <c r="R344" s="26" t="str">
        <f t="shared" ca="1" si="20"/>
        <v/>
      </c>
      <c r="S344" s="27" t="str">
        <f>IF(I344="","",_xlfn.XLOOKUP(I344,Lists!$C:$C,Lists!$I:$I))</f>
        <v/>
      </c>
    </row>
    <row r="345" spans="3:19" x14ac:dyDescent="0.2">
      <c r="C345" s="26">
        <f>_xlfn.XLOOKUP(B345,Lists!B:B,Lists!A:A,"")</f>
        <v>0</v>
      </c>
      <c r="G345" s="26" t="str">
        <f t="shared" si="16"/>
        <v/>
      </c>
      <c r="H345" s="31" t="str">
        <f t="shared" si="17"/>
        <v/>
      </c>
      <c r="J345" s="27" t="str">
        <f>IF(I345="","",_xlfn.XLOOKUP(I345,Lists!$C:$C,Lists!$D:$D))</f>
        <v/>
      </c>
      <c r="N345" s="26" t="str">
        <f t="shared" si="18"/>
        <v/>
      </c>
      <c r="O345" s="27" t="str">
        <f>IF(I345="","",_xlfn.XLOOKUP(I345,Lists!$C:$C,Lists!$J:$J))</f>
        <v/>
      </c>
      <c r="P345" s="27" t="str">
        <f>IF(I345="","",_xlfn.XLOOKUP(I345,Lists!$C:$C,Lists!$E:$E))</f>
        <v/>
      </c>
      <c r="Q345" s="28" t="str">
        <f t="shared" si="19"/>
        <v/>
      </c>
      <c r="R345" s="26" t="str">
        <f t="shared" ca="1" si="20"/>
        <v/>
      </c>
      <c r="S345" s="27" t="str">
        <f>IF(I345="","",_xlfn.XLOOKUP(I345,Lists!$C:$C,Lists!$I:$I))</f>
        <v/>
      </c>
    </row>
    <row r="346" spans="3:19" x14ac:dyDescent="0.2">
      <c r="C346" s="26">
        <f>_xlfn.XLOOKUP(B346,Lists!B:B,Lists!A:A,"")</f>
        <v>0</v>
      </c>
      <c r="G346" s="26" t="str">
        <f t="shared" si="16"/>
        <v/>
      </c>
      <c r="H346" s="31" t="str">
        <f t="shared" si="17"/>
        <v/>
      </c>
      <c r="J346" s="27" t="str">
        <f>IF(I346="","",_xlfn.XLOOKUP(I346,Lists!$C:$C,Lists!$D:$D))</f>
        <v/>
      </c>
      <c r="N346" s="26" t="str">
        <f t="shared" si="18"/>
        <v/>
      </c>
      <c r="O346" s="27" t="str">
        <f>IF(I346="","",_xlfn.XLOOKUP(I346,Lists!$C:$C,Lists!$J:$J))</f>
        <v/>
      </c>
      <c r="P346" s="27" t="str">
        <f>IF(I346="","",_xlfn.XLOOKUP(I346,Lists!$C:$C,Lists!$E:$E))</f>
        <v/>
      </c>
      <c r="Q346" s="28" t="str">
        <f t="shared" si="19"/>
        <v/>
      </c>
      <c r="R346" s="26" t="str">
        <f t="shared" ca="1" si="20"/>
        <v/>
      </c>
      <c r="S346" s="27" t="str">
        <f>IF(I346="","",_xlfn.XLOOKUP(I346,Lists!$C:$C,Lists!$I:$I))</f>
        <v/>
      </c>
    </row>
    <row r="347" spans="3:19" x14ac:dyDescent="0.2">
      <c r="C347" s="26">
        <f>_xlfn.XLOOKUP(B347,Lists!B:B,Lists!A:A,"")</f>
        <v>0</v>
      </c>
      <c r="G347" s="26" t="str">
        <f t="shared" ref="G347:G410" si="21">IF(OR(E347="",F347=""),"",F347-E347+1)</f>
        <v/>
      </c>
      <c r="H347" s="31" t="str">
        <f t="shared" ref="H347:H410" si="22">IF(D347="","",IF(OR(D347="A",D347="B"),G347/80,IF(D347="A&amp;B",G347/160,"")))</f>
        <v/>
      </c>
      <c r="J347" s="27" t="str">
        <f>IF(I347="","",_xlfn.XLOOKUP(I347,Lists!$C:$C,Lists!$D:$D))</f>
        <v/>
      </c>
      <c r="N347" s="26" t="str">
        <f t="shared" ref="N347:N410" si="23">IF(OR(M347="",L347=""),"",(M347*L347)/100000)</f>
        <v/>
      </c>
      <c r="O347" s="27" t="str">
        <f>IF(I347="","",_xlfn.XLOOKUP(I347,Lists!$C:$C,Lists!$J:$J))</f>
        <v/>
      </c>
      <c r="P347" s="27" t="str">
        <f>IF(I347="","",_xlfn.XLOOKUP(I347,Lists!$C:$C,Lists!$E:$E))</f>
        <v/>
      </c>
      <c r="Q347" s="28" t="str">
        <f t="shared" ref="Q347:Q410" si="24">IF(OR(A347="",P347=""),"",A347+P347+1)</f>
        <v/>
      </c>
      <c r="R347" s="26" t="str">
        <f t="shared" ref="R347:R410" ca="1" si="25">IF(Q347="","",IF(Q347&lt;=TODAY(),"Allow","Not Allow"))</f>
        <v/>
      </c>
      <c r="S347" s="27" t="str">
        <f>IF(I347="","",_xlfn.XLOOKUP(I347,Lists!$C:$C,Lists!$I:$I))</f>
        <v/>
      </c>
    </row>
    <row r="348" spans="3:19" x14ac:dyDescent="0.2">
      <c r="C348" s="26">
        <f>_xlfn.XLOOKUP(B348,Lists!B:B,Lists!A:A,"")</f>
        <v>0</v>
      </c>
      <c r="G348" s="26" t="str">
        <f t="shared" si="21"/>
        <v/>
      </c>
      <c r="H348" s="31" t="str">
        <f t="shared" si="22"/>
        <v/>
      </c>
      <c r="J348" s="27" t="str">
        <f>IF(I348="","",_xlfn.XLOOKUP(I348,Lists!$C:$C,Lists!$D:$D))</f>
        <v/>
      </c>
      <c r="N348" s="26" t="str">
        <f t="shared" si="23"/>
        <v/>
      </c>
      <c r="O348" s="27" t="str">
        <f>IF(I348="","",_xlfn.XLOOKUP(I348,Lists!$C:$C,Lists!$J:$J))</f>
        <v/>
      </c>
      <c r="P348" s="27" t="str">
        <f>IF(I348="","",_xlfn.XLOOKUP(I348,Lists!$C:$C,Lists!$E:$E))</f>
        <v/>
      </c>
      <c r="Q348" s="28" t="str">
        <f t="shared" si="24"/>
        <v/>
      </c>
      <c r="R348" s="26" t="str">
        <f t="shared" ca="1" si="25"/>
        <v/>
      </c>
      <c r="S348" s="27" t="str">
        <f>IF(I348="","",_xlfn.XLOOKUP(I348,Lists!$C:$C,Lists!$I:$I))</f>
        <v/>
      </c>
    </row>
    <row r="349" spans="3:19" x14ac:dyDescent="0.2">
      <c r="C349" s="26">
        <f>_xlfn.XLOOKUP(B349,Lists!B:B,Lists!A:A,"")</f>
        <v>0</v>
      </c>
      <c r="G349" s="26" t="str">
        <f t="shared" si="21"/>
        <v/>
      </c>
      <c r="H349" s="31" t="str">
        <f t="shared" si="22"/>
        <v/>
      </c>
      <c r="J349" s="27" t="str">
        <f>IF(I349="","",_xlfn.XLOOKUP(I349,Lists!$C:$C,Lists!$D:$D))</f>
        <v/>
      </c>
      <c r="N349" s="26" t="str">
        <f t="shared" si="23"/>
        <v/>
      </c>
      <c r="O349" s="27" t="str">
        <f>IF(I349="","",_xlfn.XLOOKUP(I349,Lists!$C:$C,Lists!$J:$J))</f>
        <v/>
      </c>
      <c r="P349" s="27" t="str">
        <f>IF(I349="","",_xlfn.XLOOKUP(I349,Lists!$C:$C,Lists!$E:$E))</f>
        <v/>
      </c>
      <c r="Q349" s="28" t="str">
        <f t="shared" si="24"/>
        <v/>
      </c>
      <c r="R349" s="26" t="str">
        <f t="shared" ca="1" si="25"/>
        <v/>
      </c>
      <c r="S349" s="27" t="str">
        <f>IF(I349="","",_xlfn.XLOOKUP(I349,Lists!$C:$C,Lists!$I:$I))</f>
        <v/>
      </c>
    </row>
    <row r="350" spans="3:19" x14ac:dyDescent="0.2">
      <c r="C350" s="26">
        <f>_xlfn.XLOOKUP(B350,Lists!B:B,Lists!A:A,"")</f>
        <v>0</v>
      </c>
      <c r="G350" s="26" t="str">
        <f t="shared" si="21"/>
        <v/>
      </c>
      <c r="H350" s="31" t="str">
        <f t="shared" si="22"/>
        <v/>
      </c>
      <c r="J350" s="27" t="str">
        <f>IF(I350="","",_xlfn.XLOOKUP(I350,Lists!$C:$C,Lists!$D:$D))</f>
        <v/>
      </c>
      <c r="N350" s="26" t="str">
        <f t="shared" si="23"/>
        <v/>
      </c>
      <c r="O350" s="27" t="str">
        <f>IF(I350="","",_xlfn.XLOOKUP(I350,Lists!$C:$C,Lists!$J:$J))</f>
        <v/>
      </c>
      <c r="P350" s="27" t="str">
        <f>IF(I350="","",_xlfn.XLOOKUP(I350,Lists!$C:$C,Lists!$E:$E))</f>
        <v/>
      </c>
      <c r="Q350" s="28" t="str">
        <f t="shared" si="24"/>
        <v/>
      </c>
      <c r="R350" s="26" t="str">
        <f t="shared" ca="1" si="25"/>
        <v/>
      </c>
      <c r="S350" s="27" t="str">
        <f>IF(I350="","",_xlfn.XLOOKUP(I350,Lists!$C:$C,Lists!$I:$I))</f>
        <v/>
      </c>
    </row>
    <row r="351" spans="3:19" x14ac:dyDescent="0.2">
      <c r="C351" s="26">
        <f>_xlfn.XLOOKUP(B351,Lists!B:B,Lists!A:A,"")</f>
        <v>0</v>
      </c>
      <c r="G351" s="26" t="str">
        <f t="shared" si="21"/>
        <v/>
      </c>
      <c r="H351" s="31" t="str">
        <f t="shared" si="22"/>
        <v/>
      </c>
      <c r="J351" s="27" t="str">
        <f>IF(I351="","",_xlfn.XLOOKUP(I351,Lists!$C:$C,Lists!$D:$D))</f>
        <v/>
      </c>
      <c r="N351" s="26" t="str">
        <f t="shared" si="23"/>
        <v/>
      </c>
      <c r="O351" s="27" t="str">
        <f>IF(I351="","",_xlfn.XLOOKUP(I351,Lists!$C:$C,Lists!$J:$J))</f>
        <v/>
      </c>
      <c r="P351" s="27" t="str">
        <f>IF(I351="","",_xlfn.XLOOKUP(I351,Lists!$C:$C,Lists!$E:$E))</f>
        <v/>
      </c>
      <c r="Q351" s="28" t="str">
        <f t="shared" si="24"/>
        <v/>
      </c>
      <c r="R351" s="26" t="str">
        <f t="shared" ca="1" si="25"/>
        <v/>
      </c>
      <c r="S351" s="27" t="str">
        <f>IF(I351="","",_xlfn.XLOOKUP(I351,Lists!$C:$C,Lists!$I:$I))</f>
        <v/>
      </c>
    </row>
    <row r="352" spans="3:19" x14ac:dyDescent="0.2">
      <c r="C352" s="26">
        <f>_xlfn.XLOOKUP(B352,Lists!B:B,Lists!A:A,"")</f>
        <v>0</v>
      </c>
      <c r="G352" s="26" t="str">
        <f t="shared" si="21"/>
        <v/>
      </c>
      <c r="H352" s="31" t="str">
        <f t="shared" si="22"/>
        <v/>
      </c>
      <c r="J352" s="27" t="str">
        <f>IF(I352="","",_xlfn.XLOOKUP(I352,Lists!$C:$C,Lists!$D:$D))</f>
        <v/>
      </c>
      <c r="N352" s="26" t="str">
        <f t="shared" si="23"/>
        <v/>
      </c>
      <c r="O352" s="27" t="str">
        <f>IF(I352="","",_xlfn.XLOOKUP(I352,Lists!$C:$C,Lists!$J:$J))</f>
        <v/>
      </c>
      <c r="P352" s="27" t="str">
        <f>IF(I352="","",_xlfn.XLOOKUP(I352,Lists!$C:$C,Lists!$E:$E))</f>
        <v/>
      </c>
      <c r="Q352" s="28" t="str">
        <f t="shared" si="24"/>
        <v/>
      </c>
      <c r="R352" s="26" t="str">
        <f t="shared" ca="1" si="25"/>
        <v/>
      </c>
      <c r="S352" s="27" t="str">
        <f>IF(I352="","",_xlfn.XLOOKUP(I352,Lists!$C:$C,Lists!$I:$I))</f>
        <v/>
      </c>
    </row>
    <row r="353" spans="3:19" x14ac:dyDescent="0.2">
      <c r="C353" s="26">
        <f>_xlfn.XLOOKUP(B353,Lists!B:B,Lists!A:A,"")</f>
        <v>0</v>
      </c>
      <c r="G353" s="26" t="str">
        <f t="shared" si="21"/>
        <v/>
      </c>
      <c r="H353" s="31" t="str">
        <f t="shared" si="22"/>
        <v/>
      </c>
      <c r="J353" s="27" t="str">
        <f>IF(I353="","",_xlfn.XLOOKUP(I353,Lists!$C:$C,Lists!$D:$D))</f>
        <v/>
      </c>
      <c r="N353" s="26" t="str">
        <f t="shared" si="23"/>
        <v/>
      </c>
      <c r="O353" s="27" t="str">
        <f>IF(I353="","",_xlfn.XLOOKUP(I353,Lists!$C:$C,Lists!$J:$J))</f>
        <v/>
      </c>
      <c r="P353" s="27" t="str">
        <f>IF(I353="","",_xlfn.XLOOKUP(I353,Lists!$C:$C,Lists!$E:$E))</f>
        <v/>
      </c>
      <c r="Q353" s="28" t="str">
        <f t="shared" si="24"/>
        <v/>
      </c>
      <c r="R353" s="26" t="str">
        <f t="shared" ca="1" si="25"/>
        <v/>
      </c>
      <c r="S353" s="27" t="str">
        <f>IF(I353="","",_xlfn.XLOOKUP(I353,Lists!$C:$C,Lists!$I:$I))</f>
        <v/>
      </c>
    </row>
    <row r="354" spans="3:19" x14ac:dyDescent="0.2">
      <c r="C354" s="26">
        <f>_xlfn.XLOOKUP(B354,Lists!B:B,Lists!A:A,"")</f>
        <v>0</v>
      </c>
      <c r="G354" s="26" t="str">
        <f t="shared" si="21"/>
        <v/>
      </c>
      <c r="H354" s="31" t="str">
        <f t="shared" si="22"/>
        <v/>
      </c>
      <c r="J354" s="27" t="str">
        <f>IF(I354="","",_xlfn.XLOOKUP(I354,Lists!$C:$C,Lists!$D:$D))</f>
        <v/>
      </c>
      <c r="N354" s="26" t="str">
        <f t="shared" si="23"/>
        <v/>
      </c>
      <c r="O354" s="27" t="str">
        <f>IF(I354="","",_xlfn.XLOOKUP(I354,Lists!$C:$C,Lists!$J:$J))</f>
        <v/>
      </c>
      <c r="P354" s="27" t="str">
        <f>IF(I354="","",_xlfn.XLOOKUP(I354,Lists!$C:$C,Lists!$E:$E))</f>
        <v/>
      </c>
      <c r="Q354" s="28" t="str">
        <f t="shared" si="24"/>
        <v/>
      </c>
      <c r="R354" s="26" t="str">
        <f t="shared" ca="1" si="25"/>
        <v/>
      </c>
      <c r="S354" s="27" t="str">
        <f>IF(I354="","",_xlfn.XLOOKUP(I354,Lists!$C:$C,Lists!$I:$I))</f>
        <v/>
      </c>
    </row>
    <row r="355" spans="3:19" x14ac:dyDescent="0.2">
      <c r="C355" s="26">
        <f>_xlfn.XLOOKUP(B355,Lists!B:B,Lists!A:A,"")</f>
        <v>0</v>
      </c>
      <c r="G355" s="26" t="str">
        <f t="shared" si="21"/>
        <v/>
      </c>
      <c r="H355" s="31" t="str">
        <f t="shared" si="22"/>
        <v/>
      </c>
      <c r="J355" s="27" t="str">
        <f>IF(I355="","",_xlfn.XLOOKUP(I355,Lists!$C:$C,Lists!$D:$D))</f>
        <v/>
      </c>
      <c r="N355" s="26" t="str">
        <f t="shared" si="23"/>
        <v/>
      </c>
      <c r="O355" s="27" t="str">
        <f>IF(I355="","",_xlfn.XLOOKUP(I355,Lists!$C:$C,Lists!$J:$J))</f>
        <v/>
      </c>
      <c r="P355" s="27" t="str">
        <f>IF(I355="","",_xlfn.XLOOKUP(I355,Lists!$C:$C,Lists!$E:$E))</f>
        <v/>
      </c>
      <c r="Q355" s="28" t="str">
        <f t="shared" si="24"/>
        <v/>
      </c>
      <c r="R355" s="26" t="str">
        <f t="shared" ca="1" si="25"/>
        <v/>
      </c>
      <c r="S355" s="27" t="str">
        <f>IF(I355="","",_xlfn.XLOOKUP(I355,Lists!$C:$C,Lists!$I:$I))</f>
        <v/>
      </c>
    </row>
    <row r="356" spans="3:19" x14ac:dyDescent="0.2">
      <c r="C356" s="26">
        <f>_xlfn.XLOOKUP(B356,Lists!B:B,Lists!A:A,"")</f>
        <v>0</v>
      </c>
      <c r="G356" s="26" t="str">
        <f t="shared" si="21"/>
        <v/>
      </c>
      <c r="H356" s="31" t="str">
        <f t="shared" si="22"/>
        <v/>
      </c>
      <c r="J356" s="27" t="str">
        <f>IF(I356="","",_xlfn.XLOOKUP(I356,Lists!$C:$C,Lists!$D:$D))</f>
        <v/>
      </c>
      <c r="N356" s="26" t="str">
        <f t="shared" si="23"/>
        <v/>
      </c>
      <c r="O356" s="27" t="str">
        <f>IF(I356="","",_xlfn.XLOOKUP(I356,Lists!$C:$C,Lists!$J:$J))</f>
        <v/>
      </c>
      <c r="P356" s="27" t="str">
        <f>IF(I356="","",_xlfn.XLOOKUP(I356,Lists!$C:$C,Lists!$E:$E))</f>
        <v/>
      </c>
      <c r="Q356" s="28" t="str">
        <f t="shared" si="24"/>
        <v/>
      </c>
      <c r="R356" s="26" t="str">
        <f t="shared" ca="1" si="25"/>
        <v/>
      </c>
      <c r="S356" s="27" t="str">
        <f>IF(I356="","",_xlfn.XLOOKUP(I356,Lists!$C:$C,Lists!$I:$I))</f>
        <v/>
      </c>
    </row>
    <row r="357" spans="3:19" x14ac:dyDescent="0.2">
      <c r="C357" s="26">
        <f>_xlfn.XLOOKUP(B357,Lists!B:B,Lists!A:A,"")</f>
        <v>0</v>
      </c>
      <c r="G357" s="26" t="str">
        <f t="shared" si="21"/>
        <v/>
      </c>
      <c r="H357" s="31" t="str">
        <f t="shared" si="22"/>
        <v/>
      </c>
      <c r="J357" s="27" t="str">
        <f>IF(I357="","",_xlfn.XLOOKUP(I357,Lists!$C:$C,Lists!$D:$D))</f>
        <v/>
      </c>
      <c r="N357" s="26" t="str">
        <f t="shared" si="23"/>
        <v/>
      </c>
      <c r="O357" s="27" t="str">
        <f>IF(I357="","",_xlfn.XLOOKUP(I357,Lists!$C:$C,Lists!$J:$J))</f>
        <v/>
      </c>
      <c r="P357" s="27" t="str">
        <f>IF(I357="","",_xlfn.XLOOKUP(I357,Lists!$C:$C,Lists!$E:$E))</f>
        <v/>
      </c>
      <c r="Q357" s="28" t="str">
        <f t="shared" si="24"/>
        <v/>
      </c>
      <c r="R357" s="26" t="str">
        <f t="shared" ca="1" si="25"/>
        <v/>
      </c>
      <c r="S357" s="27" t="str">
        <f>IF(I357="","",_xlfn.XLOOKUP(I357,Lists!$C:$C,Lists!$I:$I))</f>
        <v/>
      </c>
    </row>
    <row r="358" spans="3:19" x14ac:dyDescent="0.2">
      <c r="C358" s="26">
        <f>_xlfn.XLOOKUP(B358,Lists!B:B,Lists!A:A,"")</f>
        <v>0</v>
      </c>
      <c r="G358" s="26" t="str">
        <f t="shared" si="21"/>
        <v/>
      </c>
      <c r="H358" s="31" t="str">
        <f t="shared" si="22"/>
        <v/>
      </c>
      <c r="J358" s="27" t="str">
        <f>IF(I358="","",_xlfn.XLOOKUP(I358,Lists!$C:$C,Lists!$D:$D))</f>
        <v/>
      </c>
      <c r="N358" s="26" t="str">
        <f t="shared" si="23"/>
        <v/>
      </c>
      <c r="O358" s="27" t="str">
        <f>IF(I358="","",_xlfn.XLOOKUP(I358,Lists!$C:$C,Lists!$J:$J))</f>
        <v/>
      </c>
      <c r="P358" s="27" t="str">
        <f>IF(I358="","",_xlfn.XLOOKUP(I358,Lists!$C:$C,Lists!$E:$E))</f>
        <v/>
      </c>
      <c r="Q358" s="28" t="str">
        <f t="shared" si="24"/>
        <v/>
      </c>
      <c r="R358" s="26" t="str">
        <f t="shared" ca="1" si="25"/>
        <v/>
      </c>
      <c r="S358" s="27" t="str">
        <f>IF(I358="","",_xlfn.XLOOKUP(I358,Lists!$C:$C,Lists!$I:$I))</f>
        <v/>
      </c>
    </row>
    <row r="359" spans="3:19" x14ac:dyDescent="0.2">
      <c r="C359" s="26">
        <f>_xlfn.XLOOKUP(B359,Lists!B:B,Lists!A:A,"")</f>
        <v>0</v>
      </c>
      <c r="G359" s="26" t="str">
        <f t="shared" si="21"/>
        <v/>
      </c>
      <c r="H359" s="31" t="str">
        <f t="shared" si="22"/>
        <v/>
      </c>
      <c r="J359" s="27" t="str">
        <f>IF(I359="","",_xlfn.XLOOKUP(I359,Lists!$C:$C,Lists!$D:$D))</f>
        <v/>
      </c>
      <c r="N359" s="26" t="str">
        <f t="shared" si="23"/>
        <v/>
      </c>
      <c r="O359" s="27" t="str">
        <f>IF(I359="","",_xlfn.XLOOKUP(I359,Lists!$C:$C,Lists!$J:$J))</f>
        <v/>
      </c>
      <c r="P359" s="27" t="str">
        <f>IF(I359="","",_xlfn.XLOOKUP(I359,Lists!$C:$C,Lists!$E:$E))</f>
        <v/>
      </c>
      <c r="Q359" s="28" t="str">
        <f t="shared" si="24"/>
        <v/>
      </c>
      <c r="R359" s="26" t="str">
        <f t="shared" ca="1" si="25"/>
        <v/>
      </c>
      <c r="S359" s="27" t="str">
        <f>IF(I359="","",_xlfn.XLOOKUP(I359,Lists!$C:$C,Lists!$I:$I))</f>
        <v/>
      </c>
    </row>
    <row r="360" spans="3:19" x14ac:dyDescent="0.2">
      <c r="C360" s="26">
        <f>_xlfn.XLOOKUP(B360,Lists!B:B,Lists!A:A,"")</f>
        <v>0</v>
      </c>
      <c r="G360" s="26" t="str">
        <f t="shared" si="21"/>
        <v/>
      </c>
      <c r="H360" s="31" t="str">
        <f t="shared" si="22"/>
        <v/>
      </c>
      <c r="J360" s="27" t="str">
        <f>IF(I360="","",_xlfn.XLOOKUP(I360,Lists!$C:$C,Lists!$D:$D))</f>
        <v/>
      </c>
      <c r="N360" s="26" t="str">
        <f t="shared" si="23"/>
        <v/>
      </c>
      <c r="O360" s="27" t="str">
        <f>IF(I360="","",_xlfn.XLOOKUP(I360,Lists!$C:$C,Lists!$J:$J))</f>
        <v/>
      </c>
      <c r="P360" s="27" t="str">
        <f>IF(I360="","",_xlfn.XLOOKUP(I360,Lists!$C:$C,Lists!$E:$E))</f>
        <v/>
      </c>
      <c r="Q360" s="28" t="str">
        <f t="shared" si="24"/>
        <v/>
      </c>
      <c r="R360" s="26" t="str">
        <f t="shared" ca="1" si="25"/>
        <v/>
      </c>
      <c r="S360" s="27" t="str">
        <f>IF(I360="","",_xlfn.XLOOKUP(I360,Lists!$C:$C,Lists!$I:$I))</f>
        <v/>
      </c>
    </row>
    <row r="361" spans="3:19" x14ac:dyDescent="0.2">
      <c r="C361" s="26">
        <f>_xlfn.XLOOKUP(B361,Lists!B:B,Lists!A:A,"")</f>
        <v>0</v>
      </c>
      <c r="G361" s="26" t="str">
        <f t="shared" si="21"/>
        <v/>
      </c>
      <c r="H361" s="31" t="str">
        <f t="shared" si="22"/>
        <v/>
      </c>
      <c r="J361" s="27" t="str">
        <f>IF(I361="","",_xlfn.XLOOKUP(I361,Lists!$C:$C,Lists!$D:$D))</f>
        <v/>
      </c>
      <c r="N361" s="26" t="str">
        <f t="shared" si="23"/>
        <v/>
      </c>
      <c r="O361" s="27" t="str">
        <f>IF(I361="","",_xlfn.XLOOKUP(I361,Lists!$C:$C,Lists!$J:$J))</f>
        <v/>
      </c>
      <c r="P361" s="27" t="str">
        <f>IF(I361="","",_xlfn.XLOOKUP(I361,Lists!$C:$C,Lists!$E:$E))</f>
        <v/>
      </c>
      <c r="Q361" s="28" t="str">
        <f t="shared" si="24"/>
        <v/>
      </c>
      <c r="R361" s="26" t="str">
        <f t="shared" ca="1" si="25"/>
        <v/>
      </c>
      <c r="S361" s="27" t="str">
        <f>IF(I361="","",_xlfn.XLOOKUP(I361,Lists!$C:$C,Lists!$I:$I))</f>
        <v/>
      </c>
    </row>
    <row r="362" spans="3:19" x14ac:dyDescent="0.2">
      <c r="C362" s="26">
        <f>_xlfn.XLOOKUP(B362,Lists!B:B,Lists!A:A,"")</f>
        <v>0</v>
      </c>
      <c r="G362" s="26" t="str">
        <f t="shared" si="21"/>
        <v/>
      </c>
      <c r="H362" s="31" t="str">
        <f t="shared" si="22"/>
        <v/>
      </c>
      <c r="J362" s="27" t="str">
        <f>IF(I362="","",_xlfn.XLOOKUP(I362,Lists!$C:$C,Lists!$D:$D))</f>
        <v/>
      </c>
      <c r="N362" s="26" t="str">
        <f t="shared" si="23"/>
        <v/>
      </c>
      <c r="O362" s="27" t="str">
        <f>IF(I362="","",_xlfn.XLOOKUP(I362,Lists!$C:$C,Lists!$J:$J))</f>
        <v/>
      </c>
      <c r="P362" s="27" t="str">
        <f>IF(I362="","",_xlfn.XLOOKUP(I362,Lists!$C:$C,Lists!$E:$E))</f>
        <v/>
      </c>
      <c r="Q362" s="28" t="str">
        <f t="shared" si="24"/>
        <v/>
      </c>
      <c r="R362" s="26" t="str">
        <f t="shared" ca="1" si="25"/>
        <v/>
      </c>
      <c r="S362" s="27" t="str">
        <f>IF(I362="","",_xlfn.XLOOKUP(I362,Lists!$C:$C,Lists!$I:$I))</f>
        <v/>
      </c>
    </row>
    <row r="363" spans="3:19" x14ac:dyDescent="0.2">
      <c r="C363" s="26">
        <f>_xlfn.XLOOKUP(B363,Lists!B:B,Lists!A:A,"")</f>
        <v>0</v>
      </c>
      <c r="G363" s="26" t="str">
        <f t="shared" si="21"/>
        <v/>
      </c>
      <c r="H363" s="31" t="str">
        <f t="shared" si="22"/>
        <v/>
      </c>
      <c r="J363" s="27" t="str">
        <f>IF(I363="","",_xlfn.XLOOKUP(I363,Lists!$C:$C,Lists!$D:$D))</f>
        <v/>
      </c>
      <c r="N363" s="26" t="str">
        <f t="shared" si="23"/>
        <v/>
      </c>
      <c r="O363" s="27" t="str">
        <f>IF(I363="","",_xlfn.XLOOKUP(I363,Lists!$C:$C,Lists!$J:$J))</f>
        <v/>
      </c>
      <c r="P363" s="27" t="str">
        <f>IF(I363="","",_xlfn.XLOOKUP(I363,Lists!$C:$C,Lists!$E:$E))</f>
        <v/>
      </c>
      <c r="Q363" s="28" t="str">
        <f t="shared" si="24"/>
        <v/>
      </c>
      <c r="R363" s="26" t="str">
        <f t="shared" ca="1" si="25"/>
        <v/>
      </c>
      <c r="S363" s="27" t="str">
        <f>IF(I363="","",_xlfn.XLOOKUP(I363,Lists!$C:$C,Lists!$I:$I))</f>
        <v/>
      </c>
    </row>
    <row r="364" spans="3:19" x14ac:dyDescent="0.2">
      <c r="C364" s="26">
        <f>_xlfn.XLOOKUP(B364,Lists!B:B,Lists!A:A,"")</f>
        <v>0</v>
      </c>
      <c r="G364" s="26" t="str">
        <f t="shared" si="21"/>
        <v/>
      </c>
      <c r="H364" s="31" t="str">
        <f t="shared" si="22"/>
        <v/>
      </c>
      <c r="J364" s="27" t="str">
        <f>IF(I364="","",_xlfn.XLOOKUP(I364,Lists!$C:$C,Lists!$D:$D))</f>
        <v/>
      </c>
      <c r="N364" s="26" t="str">
        <f t="shared" si="23"/>
        <v/>
      </c>
      <c r="O364" s="27" t="str">
        <f>IF(I364="","",_xlfn.XLOOKUP(I364,Lists!$C:$C,Lists!$J:$J))</f>
        <v/>
      </c>
      <c r="P364" s="27" t="str">
        <f>IF(I364="","",_xlfn.XLOOKUP(I364,Lists!$C:$C,Lists!$E:$E))</f>
        <v/>
      </c>
      <c r="Q364" s="28" t="str">
        <f t="shared" si="24"/>
        <v/>
      </c>
      <c r="R364" s="26" t="str">
        <f t="shared" ca="1" si="25"/>
        <v/>
      </c>
      <c r="S364" s="27" t="str">
        <f>IF(I364="","",_xlfn.XLOOKUP(I364,Lists!$C:$C,Lists!$I:$I))</f>
        <v/>
      </c>
    </row>
    <row r="365" spans="3:19" x14ac:dyDescent="0.2">
      <c r="C365" s="26">
        <f>_xlfn.XLOOKUP(B365,Lists!B:B,Lists!A:A,"")</f>
        <v>0</v>
      </c>
      <c r="G365" s="26" t="str">
        <f t="shared" si="21"/>
        <v/>
      </c>
      <c r="H365" s="31" t="str">
        <f t="shared" si="22"/>
        <v/>
      </c>
      <c r="J365" s="27" t="str">
        <f>IF(I365="","",_xlfn.XLOOKUP(I365,Lists!$C:$C,Lists!$D:$D))</f>
        <v/>
      </c>
      <c r="N365" s="26" t="str">
        <f t="shared" si="23"/>
        <v/>
      </c>
      <c r="O365" s="27" t="str">
        <f>IF(I365="","",_xlfn.XLOOKUP(I365,Lists!$C:$C,Lists!$J:$J))</f>
        <v/>
      </c>
      <c r="P365" s="27" t="str">
        <f>IF(I365="","",_xlfn.XLOOKUP(I365,Lists!$C:$C,Lists!$E:$E))</f>
        <v/>
      </c>
      <c r="Q365" s="28" t="str">
        <f t="shared" si="24"/>
        <v/>
      </c>
      <c r="R365" s="26" t="str">
        <f t="shared" ca="1" si="25"/>
        <v/>
      </c>
      <c r="S365" s="27" t="str">
        <f>IF(I365="","",_xlfn.XLOOKUP(I365,Lists!$C:$C,Lists!$I:$I))</f>
        <v/>
      </c>
    </row>
    <row r="366" spans="3:19" x14ac:dyDescent="0.2">
      <c r="C366" s="26">
        <f>_xlfn.XLOOKUP(B366,Lists!B:B,Lists!A:A,"")</f>
        <v>0</v>
      </c>
      <c r="G366" s="26" t="str">
        <f t="shared" si="21"/>
        <v/>
      </c>
      <c r="H366" s="31" t="str">
        <f t="shared" si="22"/>
        <v/>
      </c>
      <c r="J366" s="27" t="str">
        <f>IF(I366="","",_xlfn.XLOOKUP(I366,Lists!$C:$C,Lists!$D:$D))</f>
        <v/>
      </c>
      <c r="N366" s="26" t="str">
        <f t="shared" si="23"/>
        <v/>
      </c>
      <c r="O366" s="27" t="str">
        <f>IF(I366="","",_xlfn.XLOOKUP(I366,Lists!$C:$C,Lists!$J:$J))</f>
        <v/>
      </c>
      <c r="P366" s="27" t="str">
        <f>IF(I366="","",_xlfn.XLOOKUP(I366,Lists!$C:$C,Lists!$E:$E))</f>
        <v/>
      </c>
      <c r="Q366" s="28" t="str">
        <f t="shared" si="24"/>
        <v/>
      </c>
      <c r="R366" s="26" t="str">
        <f t="shared" ca="1" si="25"/>
        <v/>
      </c>
      <c r="S366" s="27" t="str">
        <f>IF(I366="","",_xlfn.XLOOKUP(I366,Lists!$C:$C,Lists!$I:$I))</f>
        <v/>
      </c>
    </row>
    <row r="367" spans="3:19" x14ac:dyDescent="0.2">
      <c r="C367" s="26">
        <f>_xlfn.XLOOKUP(B367,Lists!B:B,Lists!A:A,"")</f>
        <v>0</v>
      </c>
      <c r="G367" s="26" t="str">
        <f t="shared" si="21"/>
        <v/>
      </c>
      <c r="H367" s="31" t="str">
        <f t="shared" si="22"/>
        <v/>
      </c>
      <c r="J367" s="27" t="str">
        <f>IF(I367="","",_xlfn.XLOOKUP(I367,Lists!$C:$C,Lists!$D:$D))</f>
        <v/>
      </c>
      <c r="N367" s="26" t="str">
        <f t="shared" si="23"/>
        <v/>
      </c>
      <c r="O367" s="27" t="str">
        <f>IF(I367="","",_xlfn.XLOOKUP(I367,Lists!$C:$C,Lists!$J:$J))</f>
        <v/>
      </c>
      <c r="P367" s="27" t="str">
        <f>IF(I367="","",_xlfn.XLOOKUP(I367,Lists!$C:$C,Lists!$E:$E))</f>
        <v/>
      </c>
      <c r="Q367" s="28" t="str">
        <f t="shared" si="24"/>
        <v/>
      </c>
      <c r="R367" s="26" t="str">
        <f t="shared" ca="1" si="25"/>
        <v/>
      </c>
      <c r="S367" s="27" t="str">
        <f>IF(I367="","",_xlfn.XLOOKUP(I367,Lists!$C:$C,Lists!$I:$I))</f>
        <v/>
      </c>
    </row>
    <row r="368" spans="3:19" x14ac:dyDescent="0.2">
      <c r="C368" s="26">
        <f>_xlfn.XLOOKUP(B368,Lists!B:B,Lists!A:A,"")</f>
        <v>0</v>
      </c>
      <c r="G368" s="26" t="str">
        <f t="shared" si="21"/>
        <v/>
      </c>
      <c r="H368" s="31" t="str">
        <f t="shared" si="22"/>
        <v/>
      </c>
      <c r="J368" s="27" t="str">
        <f>IF(I368="","",_xlfn.XLOOKUP(I368,Lists!$C:$C,Lists!$D:$D))</f>
        <v/>
      </c>
      <c r="N368" s="26" t="str">
        <f t="shared" si="23"/>
        <v/>
      </c>
      <c r="O368" s="27" t="str">
        <f>IF(I368="","",_xlfn.XLOOKUP(I368,Lists!$C:$C,Lists!$J:$J))</f>
        <v/>
      </c>
      <c r="P368" s="27" t="str">
        <f>IF(I368="","",_xlfn.XLOOKUP(I368,Lists!$C:$C,Lists!$E:$E))</f>
        <v/>
      </c>
      <c r="Q368" s="28" t="str">
        <f t="shared" si="24"/>
        <v/>
      </c>
      <c r="R368" s="26" t="str">
        <f t="shared" ca="1" si="25"/>
        <v/>
      </c>
      <c r="S368" s="27" t="str">
        <f>IF(I368="","",_xlfn.XLOOKUP(I368,Lists!$C:$C,Lists!$I:$I))</f>
        <v/>
      </c>
    </row>
    <row r="369" spans="3:19" x14ac:dyDescent="0.2">
      <c r="C369" s="26">
        <f>_xlfn.XLOOKUP(B369,Lists!B:B,Lists!A:A,"")</f>
        <v>0</v>
      </c>
      <c r="G369" s="26" t="str">
        <f t="shared" si="21"/>
        <v/>
      </c>
      <c r="H369" s="31" t="str">
        <f t="shared" si="22"/>
        <v/>
      </c>
      <c r="J369" s="27" t="str">
        <f>IF(I369="","",_xlfn.XLOOKUP(I369,Lists!$C:$C,Lists!$D:$D))</f>
        <v/>
      </c>
      <c r="N369" s="26" t="str">
        <f t="shared" si="23"/>
        <v/>
      </c>
      <c r="O369" s="27" t="str">
        <f>IF(I369="","",_xlfn.XLOOKUP(I369,Lists!$C:$C,Lists!$J:$J))</f>
        <v/>
      </c>
      <c r="P369" s="27" t="str">
        <f>IF(I369="","",_xlfn.XLOOKUP(I369,Lists!$C:$C,Lists!$E:$E))</f>
        <v/>
      </c>
      <c r="Q369" s="28" t="str">
        <f t="shared" si="24"/>
        <v/>
      </c>
      <c r="R369" s="26" t="str">
        <f t="shared" ca="1" si="25"/>
        <v/>
      </c>
      <c r="S369" s="27" t="str">
        <f>IF(I369="","",_xlfn.XLOOKUP(I369,Lists!$C:$C,Lists!$I:$I))</f>
        <v/>
      </c>
    </row>
    <row r="370" spans="3:19" x14ac:dyDescent="0.2">
      <c r="C370" s="26">
        <f>_xlfn.XLOOKUP(B370,Lists!B:B,Lists!A:A,"")</f>
        <v>0</v>
      </c>
      <c r="G370" s="26" t="str">
        <f t="shared" si="21"/>
        <v/>
      </c>
      <c r="H370" s="31" t="str">
        <f t="shared" si="22"/>
        <v/>
      </c>
      <c r="J370" s="27" t="str">
        <f>IF(I370="","",_xlfn.XLOOKUP(I370,Lists!$C:$C,Lists!$D:$D))</f>
        <v/>
      </c>
      <c r="N370" s="26" t="str">
        <f t="shared" si="23"/>
        <v/>
      </c>
      <c r="O370" s="27" t="str">
        <f>IF(I370="","",_xlfn.XLOOKUP(I370,Lists!$C:$C,Lists!$J:$J))</f>
        <v/>
      </c>
      <c r="P370" s="27" t="str">
        <f>IF(I370="","",_xlfn.XLOOKUP(I370,Lists!$C:$C,Lists!$E:$E))</f>
        <v/>
      </c>
      <c r="Q370" s="28" t="str">
        <f t="shared" si="24"/>
        <v/>
      </c>
      <c r="R370" s="26" t="str">
        <f t="shared" ca="1" si="25"/>
        <v/>
      </c>
      <c r="S370" s="27" t="str">
        <f>IF(I370="","",_xlfn.XLOOKUP(I370,Lists!$C:$C,Lists!$I:$I))</f>
        <v/>
      </c>
    </row>
    <row r="371" spans="3:19" x14ac:dyDescent="0.2">
      <c r="C371" s="26">
        <f>_xlfn.XLOOKUP(B371,Lists!B:B,Lists!A:A,"")</f>
        <v>0</v>
      </c>
      <c r="G371" s="26" t="str">
        <f t="shared" si="21"/>
        <v/>
      </c>
      <c r="H371" s="31" t="str">
        <f t="shared" si="22"/>
        <v/>
      </c>
      <c r="J371" s="27" t="str">
        <f>IF(I371="","",_xlfn.XLOOKUP(I371,Lists!$C:$C,Lists!$D:$D))</f>
        <v/>
      </c>
      <c r="N371" s="26" t="str">
        <f t="shared" si="23"/>
        <v/>
      </c>
      <c r="O371" s="27" t="str">
        <f>IF(I371="","",_xlfn.XLOOKUP(I371,Lists!$C:$C,Lists!$J:$J))</f>
        <v/>
      </c>
      <c r="P371" s="27" t="str">
        <f>IF(I371="","",_xlfn.XLOOKUP(I371,Lists!$C:$C,Lists!$E:$E))</f>
        <v/>
      </c>
      <c r="Q371" s="28" t="str">
        <f t="shared" si="24"/>
        <v/>
      </c>
      <c r="R371" s="26" t="str">
        <f t="shared" ca="1" si="25"/>
        <v/>
      </c>
      <c r="S371" s="27" t="str">
        <f>IF(I371="","",_xlfn.XLOOKUP(I371,Lists!$C:$C,Lists!$I:$I))</f>
        <v/>
      </c>
    </row>
    <row r="372" spans="3:19" x14ac:dyDescent="0.2">
      <c r="C372" s="26">
        <f>_xlfn.XLOOKUP(B372,Lists!B:B,Lists!A:A,"")</f>
        <v>0</v>
      </c>
      <c r="G372" s="26" t="str">
        <f t="shared" si="21"/>
        <v/>
      </c>
      <c r="H372" s="31" t="str">
        <f t="shared" si="22"/>
        <v/>
      </c>
      <c r="J372" s="27" t="str">
        <f>IF(I372="","",_xlfn.XLOOKUP(I372,Lists!$C:$C,Lists!$D:$D))</f>
        <v/>
      </c>
      <c r="N372" s="26" t="str">
        <f t="shared" si="23"/>
        <v/>
      </c>
      <c r="O372" s="27" t="str">
        <f>IF(I372="","",_xlfn.XLOOKUP(I372,Lists!$C:$C,Lists!$J:$J))</f>
        <v/>
      </c>
      <c r="P372" s="27" t="str">
        <f>IF(I372="","",_xlfn.XLOOKUP(I372,Lists!$C:$C,Lists!$E:$E))</f>
        <v/>
      </c>
      <c r="Q372" s="28" t="str">
        <f t="shared" si="24"/>
        <v/>
      </c>
      <c r="R372" s="26" t="str">
        <f t="shared" ca="1" si="25"/>
        <v/>
      </c>
      <c r="S372" s="27" t="str">
        <f>IF(I372="","",_xlfn.XLOOKUP(I372,Lists!$C:$C,Lists!$I:$I))</f>
        <v/>
      </c>
    </row>
    <row r="373" spans="3:19" x14ac:dyDescent="0.2">
      <c r="C373" s="26">
        <f>_xlfn.XLOOKUP(B373,Lists!B:B,Lists!A:A,"")</f>
        <v>0</v>
      </c>
      <c r="G373" s="26" t="str">
        <f t="shared" si="21"/>
        <v/>
      </c>
      <c r="H373" s="31" t="str">
        <f t="shared" si="22"/>
        <v/>
      </c>
      <c r="J373" s="27" t="str">
        <f>IF(I373="","",_xlfn.XLOOKUP(I373,Lists!$C:$C,Lists!$D:$D))</f>
        <v/>
      </c>
      <c r="N373" s="26" t="str">
        <f t="shared" si="23"/>
        <v/>
      </c>
      <c r="O373" s="27" t="str">
        <f>IF(I373="","",_xlfn.XLOOKUP(I373,Lists!$C:$C,Lists!$J:$J))</f>
        <v/>
      </c>
      <c r="P373" s="27" t="str">
        <f>IF(I373="","",_xlfn.XLOOKUP(I373,Lists!$C:$C,Lists!$E:$E))</f>
        <v/>
      </c>
      <c r="Q373" s="28" t="str">
        <f t="shared" si="24"/>
        <v/>
      </c>
      <c r="R373" s="26" t="str">
        <f t="shared" ca="1" si="25"/>
        <v/>
      </c>
      <c r="S373" s="27" t="str">
        <f>IF(I373="","",_xlfn.XLOOKUP(I373,Lists!$C:$C,Lists!$I:$I))</f>
        <v/>
      </c>
    </row>
    <row r="374" spans="3:19" x14ac:dyDescent="0.2">
      <c r="C374" s="26">
        <f>_xlfn.XLOOKUP(B374,Lists!B:B,Lists!A:A,"")</f>
        <v>0</v>
      </c>
      <c r="G374" s="26" t="str">
        <f t="shared" si="21"/>
        <v/>
      </c>
      <c r="H374" s="31" t="str">
        <f t="shared" si="22"/>
        <v/>
      </c>
      <c r="J374" s="27" t="str">
        <f>IF(I374="","",_xlfn.XLOOKUP(I374,Lists!$C:$C,Lists!$D:$D))</f>
        <v/>
      </c>
      <c r="N374" s="26" t="str">
        <f t="shared" si="23"/>
        <v/>
      </c>
      <c r="O374" s="27" t="str">
        <f>IF(I374="","",_xlfn.XLOOKUP(I374,Lists!$C:$C,Lists!$J:$J))</f>
        <v/>
      </c>
      <c r="P374" s="27" t="str">
        <f>IF(I374="","",_xlfn.XLOOKUP(I374,Lists!$C:$C,Lists!$E:$E))</f>
        <v/>
      </c>
      <c r="Q374" s="28" t="str">
        <f t="shared" si="24"/>
        <v/>
      </c>
      <c r="R374" s="26" t="str">
        <f t="shared" ca="1" si="25"/>
        <v/>
      </c>
      <c r="S374" s="27" t="str">
        <f>IF(I374="","",_xlfn.XLOOKUP(I374,Lists!$C:$C,Lists!$I:$I))</f>
        <v/>
      </c>
    </row>
    <row r="375" spans="3:19" x14ac:dyDescent="0.2">
      <c r="C375" s="26">
        <f>_xlfn.XLOOKUP(B375,Lists!B:B,Lists!A:A,"")</f>
        <v>0</v>
      </c>
      <c r="G375" s="26" t="str">
        <f t="shared" si="21"/>
        <v/>
      </c>
      <c r="H375" s="31" t="str">
        <f t="shared" si="22"/>
        <v/>
      </c>
      <c r="J375" s="27" t="str">
        <f>IF(I375="","",_xlfn.XLOOKUP(I375,Lists!$C:$C,Lists!$D:$D))</f>
        <v/>
      </c>
      <c r="N375" s="26" t="str">
        <f t="shared" si="23"/>
        <v/>
      </c>
      <c r="O375" s="27" t="str">
        <f>IF(I375="","",_xlfn.XLOOKUP(I375,Lists!$C:$C,Lists!$J:$J))</f>
        <v/>
      </c>
      <c r="P375" s="27" t="str">
        <f>IF(I375="","",_xlfn.XLOOKUP(I375,Lists!$C:$C,Lists!$E:$E))</f>
        <v/>
      </c>
      <c r="Q375" s="28" t="str">
        <f t="shared" si="24"/>
        <v/>
      </c>
      <c r="R375" s="26" t="str">
        <f t="shared" ca="1" si="25"/>
        <v/>
      </c>
      <c r="S375" s="27" t="str">
        <f>IF(I375="","",_xlfn.XLOOKUP(I375,Lists!$C:$C,Lists!$I:$I))</f>
        <v/>
      </c>
    </row>
    <row r="376" spans="3:19" x14ac:dyDescent="0.2">
      <c r="C376" s="26">
        <f>_xlfn.XLOOKUP(B376,Lists!B:B,Lists!A:A,"")</f>
        <v>0</v>
      </c>
      <c r="G376" s="26" t="str">
        <f t="shared" si="21"/>
        <v/>
      </c>
      <c r="H376" s="31" t="str">
        <f t="shared" si="22"/>
        <v/>
      </c>
      <c r="J376" s="27" t="str">
        <f>IF(I376="","",_xlfn.XLOOKUP(I376,Lists!$C:$C,Lists!$D:$D))</f>
        <v/>
      </c>
      <c r="N376" s="26" t="str">
        <f t="shared" si="23"/>
        <v/>
      </c>
      <c r="O376" s="27" t="str">
        <f>IF(I376="","",_xlfn.XLOOKUP(I376,Lists!$C:$C,Lists!$J:$J))</f>
        <v/>
      </c>
      <c r="P376" s="27" t="str">
        <f>IF(I376="","",_xlfn.XLOOKUP(I376,Lists!$C:$C,Lists!$E:$E))</f>
        <v/>
      </c>
      <c r="Q376" s="28" t="str">
        <f t="shared" si="24"/>
        <v/>
      </c>
      <c r="R376" s="26" t="str">
        <f t="shared" ca="1" si="25"/>
        <v/>
      </c>
      <c r="S376" s="27" t="str">
        <f>IF(I376="","",_xlfn.XLOOKUP(I376,Lists!$C:$C,Lists!$I:$I))</f>
        <v/>
      </c>
    </row>
    <row r="377" spans="3:19" x14ac:dyDescent="0.2">
      <c r="C377" s="26">
        <f>_xlfn.XLOOKUP(B377,Lists!B:B,Lists!A:A,"")</f>
        <v>0</v>
      </c>
      <c r="G377" s="26" t="str">
        <f t="shared" si="21"/>
        <v/>
      </c>
      <c r="H377" s="31" t="str">
        <f t="shared" si="22"/>
        <v/>
      </c>
      <c r="J377" s="27" t="str">
        <f>IF(I377="","",_xlfn.XLOOKUP(I377,Lists!$C:$C,Lists!$D:$D))</f>
        <v/>
      </c>
      <c r="N377" s="26" t="str">
        <f t="shared" si="23"/>
        <v/>
      </c>
      <c r="O377" s="27" t="str">
        <f>IF(I377="","",_xlfn.XLOOKUP(I377,Lists!$C:$C,Lists!$J:$J))</f>
        <v/>
      </c>
      <c r="P377" s="27" t="str">
        <f>IF(I377="","",_xlfn.XLOOKUP(I377,Lists!$C:$C,Lists!$E:$E))</f>
        <v/>
      </c>
      <c r="Q377" s="28" t="str">
        <f t="shared" si="24"/>
        <v/>
      </c>
      <c r="R377" s="26" t="str">
        <f t="shared" ca="1" si="25"/>
        <v/>
      </c>
      <c r="S377" s="27" t="str">
        <f>IF(I377="","",_xlfn.XLOOKUP(I377,Lists!$C:$C,Lists!$I:$I))</f>
        <v/>
      </c>
    </row>
    <row r="378" spans="3:19" x14ac:dyDescent="0.2">
      <c r="C378" s="26">
        <f>_xlfn.XLOOKUP(B378,Lists!B:B,Lists!A:A,"")</f>
        <v>0</v>
      </c>
      <c r="G378" s="26" t="str">
        <f t="shared" si="21"/>
        <v/>
      </c>
      <c r="H378" s="31" t="str">
        <f t="shared" si="22"/>
        <v/>
      </c>
      <c r="J378" s="27" t="str">
        <f>IF(I378="","",_xlfn.XLOOKUP(I378,Lists!$C:$C,Lists!$D:$D))</f>
        <v/>
      </c>
      <c r="N378" s="26" t="str">
        <f t="shared" si="23"/>
        <v/>
      </c>
      <c r="O378" s="27" t="str">
        <f>IF(I378="","",_xlfn.XLOOKUP(I378,Lists!$C:$C,Lists!$J:$J))</f>
        <v/>
      </c>
      <c r="P378" s="27" t="str">
        <f>IF(I378="","",_xlfn.XLOOKUP(I378,Lists!$C:$C,Lists!$E:$E))</f>
        <v/>
      </c>
      <c r="Q378" s="28" t="str">
        <f t="shared" si="24"/>
        <v/>
      </c>
      <c r="R378" s="26" t="str">
        <f t="shared" ca="1" si="25"/>
        <v/>
      </c>
      <c r="S378" s="27" t="str">
        <f>IF(I378="","",_xlfn.XLOOKUP(I378,Lists!$C:$C,Lists!$I:$I))</f>
        <v/>
      </c>
    </row>
    <row r="379" spans="3:19" x14ac:dyDescent="0.2">
      <c r="C379" s="26">
        <f>_xlfn.XLOOKUP(B379,Lists!B:B,Lists!A:A,"")</f>
        <v>0</v>
      </c>
      <c r="G379" s="26" t="str">
        <f t="shared" si="21"/>
        <v/>
      </c>
      <c r="H379" s="31" t="str">
        <f t="shared" si="22"/>
        <v/>
      </c>
      <c r="J379" s="27" t="str">
        <f>IF(I379="","",_xlfn.XLOOKUP(I379,Lists!$C:$C,Lists!$D:$D))</f>
        <v/>
      </c>
      <c r="N379" s="26" t="str">
        <f t="shared" si="23"/>
        <v/>
      </c>
      <c r="O379" s="27" t="str">
        <f>IF(I379="","",_xlfn.XLOOKUP(I379,Lists!$C:$C,Lists!$J:$J))</f>
        <v/>
      </c>
      <c r="P379" s="27" t="str">
        <f>IF(I379="","",_xlfn.XLOOKUP(I379,Lists!$C:$C,Lists!$E:$E))</f>
        <v/>
      </c>
      <c r="Q379" s="28" t="str">
        <f t="shared" si="24"/>
        <v/>
      </c>
      <c r="R379" s="26" t="str">
        <f t="shared" ca="1" si="25"/>
        <v/>
      </c>
      <c r="S379" s="27" t="str">
        <f>IF(I379="","",_xlfn.XLOOKUP(I379,Lists!$C:$C,Lists!$I:$I))</f>
        <v/>
      </c>
    </row>
    <row r="380" spans="3:19" x14ac:dyDescent="0.2">
      <c r="C380" s="26">
        <f>_xlfn.XLOOKUP(B380,Lists!B:B,Lists!A:A,"")</f>
        <v>0</v>
      </c>
      <c r="G380" s="26" t="str">
        <f t="shared" si="21"/>
        <v/>
      </c>
      <c r="H380" s="31" t="str">
        <f t="shared" si="22"/>
        <v/>
      </c>
      <c r="J380" s="27" t="str">
        <f>IF(I380="","",_xlfn.XLOOKUP(I380,Lists!$C:$C,Lists!$D:$D))</f>
        <v/>
      </c>
      <c r="N380" s="26" t="str">
        <f t="shared" si="23"/>
        <v/>
      </c>
      <c r="O380" s="27" t="str">
        <f>IF(I380="","",_xlfn.XLOOKUP(I380,Lists!$C:$C,Lists!$J:$J))</f>
        <v/>
      </c>
      <c r="P380" s="27" t="str">
        <f>IF(I380="","",_xlfn.XLOOKUP(I380,Lists!$C:$C,Lists!$E:$E))</f>
        <v/>
      </c>
      <c r="Q380" s="28" t="str">
        <f t="shared" si="24"/>
        <v/>
      </c>
      <c r="R380" s="26" t="str">
        <f t="shared" ca="1" si="25"/>
        <v/>
      </c>
      <c r="S380" s="27" t="str">
        <f>IF(I380="","",_xlfn.XLOOKUP(I380,Lists!$C:$C,Lists!$I:$I))</f>
        <v/>
      </c>
    </row>
    <row r="381" spans="3:19" x14ac:dyDescent="0.2">
      <c r="C381" s="26">
        <f>_xlfn.XLOOKUP(B381,Lists!B:B,Lists!A:A,"")</f>
        <v>0</v>
      </c>
      <c r="G381" s="26" t="str">
        <f t="shared" si="21"/>
        <v/>
      </c>
      <c r="H381" s="31" t="str">
        <f t="shared" si="22"/>
        <v/>
      </c>
      <c r="J381" s="27" t="str">
        <f>IF(I381="","",_xlfn.XLOOKUP(I381,Lists!$C:$C,Lists!$D:$D))</f>
        <v/>
      </c>
      <c r="N381" s="26" t="str">
        <f t="shared" si="23"/>
        <v/>
      </c>
      <c r="O381" s="27" t="str">
        <f>IF(I381="","",_xlfn.XLOOKUP(I381,Lists!$C:$C,Lists!$J:$J))</f>
        <v/>
      </c>
      <c r="P381" s="27" t="str">
        <f>IF(I381="","",_xlfn.XLOOKUP(I381,Lists!$C:$C,Lists!$E:$E))</f>
        <v/>
      </c>
      <c r="Q381" s="28" t="str">
        <f t="shared" si="24"/>
        <v/>
      </c>
      <c r="R381" s="26" t="str">
        <f t="shared" ca="1" si="25"/>
        <v/>
      </c>
      <c r="S381" s="27" t="str">
        <f>IF(I381="","",_xlfn.XLOOKUP(I381,Lists!$C:$C,Lists!$I:$I))</f>
        <v/>
      </c>
    </row>
    <row r="382" spans="3:19" x14ac:dyDescent="0.2">
      <c r="C382" s="26">
        <f>_xlfn.XLOOKUP(B382,Lists!B:B,Lists!A:A,"")</f>
        <v>0</v>
      </c>
      <c r="G382" s="26" t="str">
        <f t="shared" si="21"/>
        <v/>
      </c>
      <c r="H382" s="31" t="str">
        <f t="shared" si="22"/>
        <v/>
      </c>
      <c r="J382" s="27" t="str">
        <f>IF(I382="","",_xlfn.XLOOKUP(I382,Lists!$C:$C,Lists!$D:$D))</f>
        <v/>
      </c>
      <c r="N382" s="26" t="str">
        <f t="shared" si="23"/>
        <v/>
      </c>
      <c r="O382" s="27" t="str">
        <f>IF(I382="","",_xlfn.XLOOKUP(I382,Lists!$C:$C,Lists!$J:$J))</f>
        <v/>
      </c>
      <c r="P382" s="27" t="str">
        <f>IF(I382="","",_xlfn.XLOOKUP(I382,Lists!$C:$C,Lists!$E:$E))</f>
        <v/>
      </c>
      <c r="Q382" s="28" t="str">
        <f t="shared" si="24"/>
        <v/>
      </c>
      <c r="R382" s="26" t="str">
        <f t="shared" ca="1" si="25"/>
        <v/>
      </c>
      <c r="S382" s="27" t="str">
        <f>IF(I382="","",_xlfn.XLOOKUP(I382,Lists!$C:$C,Lists!$I:$I))</f>
        <v/>
      </c>
    </row>
    <row r="383" spans="3:19" x14ac:dyDescent="0.2">
      <c r="C383" s="26">
        <f>_xlfn.XLOOKUP(B383,Lists!B:B,Lists!A:A,"")</f>
        <v>0</v>
      </c>
      <c r="G383" s="26" t="str">
        <f t="shared" si="21"/>
        <v/>
      </c>
      <c r="H383" s="31" t="str">
        <f t="shared" si="22"/>
        <v/>
      </c>
      <c r="J383" s="27" t="str">
        <f>IF(I383="","",_xlfn.XLOOKUP(I383,Lists!$C:$C,Lists!$D:$D))</f>
        <v/>
      </c>
      <c r="N383" s="26" t="str">
        <f t="shared" si="23"/>
        <v/>
      </c>
      <c r="O383" s="27" t="str">
        <f>IF(I383="","",_xlfn.XLOOKUP(I383,Lists!$C:$C,Lists!$J:$J))</f>
        <v/>
      </c>
      <c r="P383" s="27" t="str">
        <f>IF(I383="","",_xlfn.XLOOKUP(I383,Lists!$C:$C,Lists!$E:$E))</f>
        <v/>
      </c>
      <c r="Q383" s="28" t="str">
        <f t="shared" si="24"/>
        <v/>
      </c>
      <c r="R383" s="26" t="str">
        <f t="shared" ca="1" si="25"/>
        <v/>
      </c>
      <c r="S383" s="27" t="str">
        <f>IF(I383="","",_xlfn.XLOOKUP(I383,Lists!$C:$C,Lists!$I:$I))</f>
        <v/>
      </c>
    </row>
    <row r="384" spans="3:19" x14ac:dyDescent="0.2">
      <c r="C384" s="26">
        <f>_xlfn.XLOOKUP(B384,Lists!B:B,Lists!A:A,"")</f>
        <v>0</v>
      </c>
      <c r="G384" s="26" t="str">
        <f t="shared" si="21"/>
        <v/>
      </c>
      <c r="H384" s="31" t="str">
        <f t="shared" si="22"/>
        <v/>
      </c>
      <c r="J384" s="27" t="str">
        <f>IF(I384="","",_xlfn.XLOOKUP(I384,Lists!$C:$C,Lists!$D:$D))</f>
        <v/>
      </c>
      <c r="N384" s="26" t="str">
        <f t="shared" si="23"/>
        <v/>
      </c>
      <c r="O384" s="27" t="str">
        <f>IF(I384="","",_xlfn.XLOOKUP(I384,Lists!$C:$C,Lists!$J:$J))</f>
        <v/>
      </c>
      <c r="P384" s="27" t="str">
        <f>IF(I384="","",_xlfn.XLOOKUP(I384,Lists!$C:$C,Lists!$E:$E))</f>
        <v/>
      </c>
      <c r="Q384" s="28" t="str">
        <f t="shared" si="24"/>
        <v/>
      </c>
      <c r="R384" s="26" t="str">
        <f t="shared" ca="1" si="25"/>
        <v/>
      </c>
      <c r="S384" s="27" t="str">
        <f>IF(I384="","",_xlfn.XLOOKUP(I384,Lists!$C:$C,Lists!$I:$I))</f>
        <v/>
      </c>
    </row>
    <row r="385" spans="3:19" x14ac:dyDescent="0.2">
      <c r="C385" s="26">
        <f>_xlfn.XLOOKUP(B385,Lists!B:B,Lists!A:A,"")</f>
        <v>0</v>
      </c>
      <c r="G385" s="26" t="str">
        <f t="shared" si="21"/>
        <v/>
      </c>
      <c r="H385" s="31" t="str">
        <f t="shared" si="22"/>
        <v/>
      </c>
      <c r="J385" s="27" t="str">
        <f>IF(I385="","",_xlfn.XLOOKUP(I385,Lists!$C:$C,Lists!$D:$D))</f>
        <v/>
      </c>
      <c r="N385" s="26" t="str">
        <f t="shared" si="23"/>
        <v/>
      </c>
      <c r="O385" s="27" t="str">
        <f>IF(I385="","",_xlfn.XLOOKUP(I385,Lists!$C:$C,Lists!$J:$J))</f>
        <v/>
      </c>
      <c r="P385" s="27" t="str">
        <f>IF(I385="","",_xlfn.XLOOKUP(I385,Lists!$C:$C,Lists!$E:$E))</f>
        <v/>
      </c>
      <c r="Q385" s="28" t="str">
        <f t="shared" si="24"/>
        <v/>
      </c>
      <c r="R385" s="26" t="str">
        <f t="shared" ca="1" si="25"/>
        <v/>
      </c>
      <c r="S385" s="27" t="str">
        <f>IF(I385="","",_xlfn.XLOOKUP(I385,Lists!$C:$C,Lists!$I:$I))</f>
        <v/>
      </c>
    </row>
    <row r="386" spans="3:19" x14ac:dyDescent="0.2">
      <c r="C386" s="26">
        <f>_xlfn.XLOOKUP(B386,Lists!B:B,Lists!A:A,"")</f>
        <v>0</v>
      </c>
      <c r="G386" s="26" t="str">
        <f t="shared" si="21"/>
        <v/>
      </c>
      <c r="H386" s="31" t="str">
        <f t="shared" si="22"/>
        <v/>
      </c>
      <c r="J386" s="27" t="str">
        <f>IF(I386="","",_xlfn.XLOOKUP(I386,Lists!$C:$C,Lists!$D:$D))</f>
        <v/>
      </c>
      <c r="N386" s="26" t="str">
        <f t="shared" si="23"/>
        <v/>
      </c>
      <c r="O386" s="27" t="str">
        <f>IF(I386="","",_xlfn.XLOOKUP(I386,Lists!$C:$C,Lists!$J:$J))</f>
        <v/>
      </c>
      <c r="P386" s="27" t="str">
        <f>IF(I386="","",_xlfn.XLOOKUP(I386,Lists!$C:$C,Lists!$E:$E))</f>
        <v/>
      </c>
      <c r="Q386" s="28" t="str">
        <f t="shared" si="24"/>
        <v/>
      </c>
      <c r="R386" s="26" t="str">
        <f t="shared" ca="1" si="25"/>
        <v/>
      </c>
      <c r="S386" s="27" t="str">
        <f>IF(I386="","",_xlfn.XLOOKUP(I386,Lists!$C:$C,Lists!$I:$I))</f>
        <v/>
      </c>
    </row>
    <row r="387" spans="3:19" x14ac:dyDescent="0.2">
      <c r="C387" s="26">
        <f>_xlfn.XLOOKUP(B387,Lists!B:B,Lists!A:A,"")</f>
        <v>0</v>
      </c>
      <c r="G387" s="26" t="str">
        <f t="shared" si="21"/>
        <v/>
      </c>
      <c r="H387" s="31" t="str">
        <f t="shared" si="22"/>
        <v/>
      </c>
      <c r="J387" s="27" t="str">
        <f>IF(I387="","",_xlfn.XLOOKUP(I387,Lists!$C:$C,Lists!$D:$D))</f>
        <v/>
      </c>
      <c r="N387" s="26" t="str">
        <f t="shared" si="23"/>
        <v/>
      </c>
      <c r="O387" s="27" t="str">
        <f>IF(I387="","",_xlfn.XLOOKUP(I387,Lists!$C:$C,Lists!$J:$J))</f>
        <v/>
      </c>
      <c r="P387" s="27" t="str">
        <f>IF(I387="","",_xlfn.XLOOKUP(I387,Lists!$C:$C,Lists!$E:$E))</f>
        <v/>
      </c>
      <c r="Q387" s="28" t="str">
        <f t="shared" si="24"/>
        <v/>
      </c>
      <c r="R387" s="26" t="str">
        <f t="shared" ca="1" si="25"/>
        <v/>
      </c>
      <c r="S387" s="27" t="str">
        <f>IF(I387="","",_xlfn.XLOOKUP(I387,Lists!$C:$C,Lists!$I:$I))</f>
        <v/>
      </c>
    </row>
    <row r="388" spans="3:19" x14ac:dyDescent="0.2">
      <c r="C388" s="26">
        <f>_xlfn.XLOOKUP(B388,Lists!B:B,Lists!A:A,"")</f>
        <v>0</v>
      </c>
      <c r="G388" s="26" t="str">
        <f t="shared" si="21"/>
        <v/>
      </c>
      <c r="H388" s="31" t="str">
        <f t="shared" si="22"/>
        <v/>
      </c>
      <c r="J388" s="27" t="str">
        <f>IF(I388="","",_xlfn.XLOOKUP(I388,Lists!$C:$C,Lists!$D:$D))</f>
        <v/>
      </c>
      <c r="N388" s="26" t="str">
        <f t="shared" si="23"/>
        <v/>
      </c>
      <c r="O388" s="27" t="str">
        <f>IF(I388="","",_xlfn.XLOOKUP(I388,Lists!$C:$C,Lists!$J:$J))</f>
        <v/>
      </c>
      <c r="P388" s="27" t="str">
        <f>IF(I388="","",_xlfn.XLOOKUP(I388,Lists!$C:$C,Lists!$E:$E))</f>
        <v/>
      </c>
      <c r="Q388" s="28" t="str">
        <f t="shared" si="24"/>
        <v/>
      </c>
      <c r="R388" s="26" t="str">
        <f t="shared" ca="1" si="25"/>
        <v/>
      </c>
      <c r="S388" s="27" t="str">
        <f>IF(I388="","",_xlfn.XLOOKUP(I388,Lists!$C:$C,Lists!$I:$I))</f>
        <v/>
      </c>
    </row>
    <row r="389" spans="3:19" x14ac:dyDescent="0.2">
      <c r="C389" s="26">
        <f>_xlfn.XLOOKUP(B389,Lists!B:B,Lists!A:A,"")</f>
        <v>0</v>
      </c>
      <c r="G389" s="26" t="str">
        <f t="shared" si="21"/>
        <v/>
      </c>
      <c r="H389" s="31" t="str">
        <f t="shared" si="22"/>
        <v/>
      </c>
      <c r="J389" s="27" t="str">
        <f>IF(I389="","",_xlfn.XLOOKUP(I389,Lists!$C:$C,Lists!$D:$D))</f>
        <v/>
      </c>
      <c r="N389" s="26" t="str">
        <f t="shared" si="23"/>
        <v/>
      </c>
      <c r="O389" s="27" t="str">
        <f>IF(I389="","",_xlfn.XLOOKUP(I389,Lists!$C:$C,Lists!$J:$J))</f>
        <v/>
      </c>
      <c r="P389" s="27" t="str">
        <f>IF(I389="","",_xlfn.XLOOKUP(I389,Lists!$C:$C,Lists!$E:$E))</f>
        <v/>
      </c>
      <c r="Q389" s="28" t="str">
        <f t="shared" si="24"/>
        <v/>
      </c>
      <c r="R389" s="26" t="str">
        <f t="shared" ca="1" si="25"/>
        <v/>
      </c>
      <c r="S389" s="27" t="str">
        <f>IF(I389="","",_xlfn.XLOOKUP(I389,Lists!$C:$C,Lists!$I:$I))</f>
        <v/>
      </c>
    </row>
    <row r="390" spans="3:19" x14ac:dyDescent="0.2">
      <c r="C390" s="26">
        <f>_xlfn.XLOOKUP(B390,Lists!B:B,Lists!A:A,"")</f>
        <v>0</v>
      </c>
      <c r="G390" s="26" t="str">
        <f t="shared" si="21"/>
        <v/>
      </c>
      <c r="H390" s="31" t="str">
        <f t="shared" si="22"/>
        <v/>
      </c>
      <c r="J390" s="27" t="str">
        <f>IF(I390="","",_xlfn.XLOOKUP(I390,Lists!$C:$C,Lists!$D:$D))</f>
        <v/>
      </c>
      <c r="N390" s="26" t="str">
        <f t="shared" si="23"/>
        <v/>
      </c>
      <c r="O390" s="27" t="str">
        <f>IF(I390="","",_xlfn.XLOOKUP(I390,Lists!$C:$C,Lists!$J:$J))</f>
        <v/>
      </c>
      <c r="P390" s="27" t="str">
        <f>IF(I390="","",_xlfn.XLOOKUP(I390,Lists!$C:$C,Lists!$E:$E))</f>
        <v/>
      </c>
      <c r="Q390" s="28" t="str">
        <f t="shared" si="24"/>
        <v/>
      </c>
      <c r="R390" s="26" t="str">
        <f t="shared" ca="1" si="25"/>
        <v/>
      </c>
      <c r="S390" s="27" t="str">
        <f>IF(I390="","",_xlfn.XLOOKUP(I390,Lists!$C:$C,Lists!$I:$I))</f>
        <v/>
      </c>
    </row>
    <row r="391" spans="3:19" x14ac:dyDescent="0.2">
      <c r="C391" s="26">
        <f>_xlfn.XLOOKUP(B391,Lists!B:B,Lists!A:A,"")</f>
        <v>0</v>
      </c>
      <c r="G391" s="26" t="str">
        <f t="shared" si="21"/>
        <v/>
      </c>
      <c r="H391" s="31" t="str">
        <f t="shared" si="22"/>
        <v/>
      </c>
      <c r="J391" s="27" t="str">
        <f>IF(I391="","",_xlfn.XLOOKUP(I391,Lists!$C:$C,Lists!$D:$D))</f>
        <v/>
      </c>
      <c r="N391" s="26" t="str">
        <f t="shared" si="23"/>
        <v/>
      </c>
      <c r="O391" s="27" t="str">
        <f>IF(I391="","",_xlfn.XLOOKUP(I391,Lists!$C:$C,Lists!$J:$J))</f>
        <v/>
      </c>
      <c r="P391" s="27" t="str">
        <f>IF(I391="","",_xlfn.XLOOKUP(I391,Lists!$C:$C,Lists!$E:$E))</f>
        <v/>
      </c>
      <c r="Q391" s="28" t="str">
        <f t="shared" si="24"/>
        <v/>
      </c>
      <c r="R391" s="26" t="str">
        <f t="shared" ca="1" si="25"/>
        <v/>
      </c>
      <c r="S391" s="27" t="str">
        <f>IF(I391="","",_xlfn.XLOOKUP(I391,Lists!$C:$C,Lists!$I:$I))</f>
        <v/>
      </c>
    </row>
    <row r="392" spans="3:19" x14ac:dyDescent="0.2">
      <c r="C392" s="26">
        <f>_xlfn.XLOOKUP(B392,Lists!B:B,Lists!A:A,"")</f>
        <v>0</v>
      </c>
      <c r="G392" s="26" t="str">
        <f t="shared" si="21"/>
        <v/>
      </c>
      <c r="H392" s="31" t="str">
        <f t="shared" si="22"/>
        <v/>
      </c>
      <c r="J392" s="27" t="str">
        <f>IF(I392="","",_xlfn.XLOOKUP(I392,Lists!$C:$C,Lists!$D:$D))</f>
        <v/>
      </c>
      <c r="N392" s="26" t="str">
        <f t="shared" si="23"/>
        <v/>
      </c>
      <c r="O392" s="27" t="str">
        <f>IF(I392="","",_xlfn.XLOOKUP(I392,Lists!$C:$C,Lists!$J:$J))</f>
        <v/>
      </c>
      <c r="P392" s="27" t="str">
        <f>IF(I392="","",_xlfn.XLOOKUP(I392,Lists!$C:$C,Lists!$E:$E))</f>
        <v/>
      </c>
      <c r="Q392" s="28" t="str">
        <f t="shared" si="24"/>
        <v/>
      </c>
      <c r="R392" s="26" t="str">
        <f t="shared" ca="1" si="25"/>
        <v/>
      </c>
      <c r="S392" s="27" t="str">
        <f>IF(I392="","",_xlfn.XLOOKUP(I392,Lists!$C:$C,Lists!$I:$I))</f>
        <v/>
      </c>
    </row>
    <row r="393" spans="3:19" x14ac:dyDescent="0.2">
      <c r="C393" s="26">
        <f>_xlfn.XLOOKUP(B393,Lists!B:B,Lists!A:A,"")</f>
        <v>0</v>
      </c>
      <c r="G393" s="26" t="str">
        <f t="shared" si="21"/>
        <v/>
      </c>
      <c r="H393" s="31" t="str">
        <f t="shared" si="22"/>
        <v/>
      </c>
      <c r="J393" s="27" t="str">
        <f>IF(I393="","",_xlfn.XLOOKUP(I393,Lists!$C:$C,Lists!$D:$D))</f>
        <v/>
      </c>
      <c r="N393" s="26" t="str">
        <f t="shared" si="23"/>
        <v/>
      </c>
      <c r="O393" s="27" t="str">
        <f>IF(I393="","",_xlfn.XLOOKUP(I393,Lists!$C:$C,Lists!$J:$J))</f>
        <v/>
      </c>
      <c r="P393" s="27" t="str">
        <f>IF(I393="","",_xlfn.XLOOKUP(I393,Lists!$C:$C,Lists!$E:$E))</f>
        <v/>
      </c>
      <c r="Q393" s="28" t="str">
        <f t="shared" si="24"/>
        <v/>
      </c>
      <c r="R393" s="26" t="str">
        <f t="shared" ca="1" si="25"/>
        <v/>
      </c>
      <c r="S393" s="27" t="str">
        <f>IF(I393="","",_xlfn.XLOOKUP(I393,Lists!$C:$C,Lists!$I:$I))</f>
        <v/>
      </c>
    </row>
    <row r="394" spans="3:19" x14ac:dyDescent="0.2">
      <c r="C394" s="26">
        <f>_xlfn.XLOOKUP(B394,Lists!B:B,Lists!A:A,"")</f>
        <v>0</v>
      </c>
      <c r="G394" s="26" t="str">
        <f t="shared" si="21"/>
        <v/>
      </c>
      <c r="H394" s="31" t="str">
        <f t="shared" si="22"/>
        <v/>
      </c>
      <c r="J394" s="27" t="str">
        <f>IF(I394="","",_xlfn.XLOOKUP(I394,Lists!$C:$C,Lists!$D:$D))</f>
        <v/>
      </c>
      <c r="N394" s="26" t="str">
        <f t="shared" si="23"/>
        <v/>
      </c>
      <c r="O394" s="27" t="str">
        <f>IF(I394="","",_xlfn.XLOOKUP(I394,Lists!$C:$C,Lists!$J:$J))</f>
        <v/>
      </c>
      <c r="P394" s="27" t="str">
        <f>IF(I394="","",_xlfn.XLOOKUP(I394,Lists!$C:$C,Lists!$E:$E))</f>
        <v/>
      </c>
      <c r="Q394" s="28" t="str">
        <f t="shared" si="24"/>
        <v/>
      </c>
      <c r="R394" s="26" t="str">
        <f t="shared" ca="1" si="25"/>
        <v/>
      </c>
      <c r="S394" s="27" t="str">
        <f>IF(I394="","",_xlfn.XLOOKUP(I394,Lists!$C:$C,Lists!$I:$I))</f>
        <v/>
      </c>
    </row>
    <row r="395" spans="3:19" x14ac:dyDescent="0.2">
      <c r="C395" s="26">
        <f>_xlfn.XLOOKUP(B395,Lists!B:B,Lists!A:A,"")</f>
        <v>0</v>
      </c>
      <c r="G395" s="26" t="str">
        <f t="shared" si="21"/>
        <v/>
      </c>
      <c r="H395" s="31" t="str">
        <f t="shared" si="22"/>
        <v/>
      </c>
      <c r="J395" s="27" t="str">
        <f>IF(I395="","",_xlfn.XLOOKUP(I395,Lists!$C:$C,Lists!$D:$D))</f>
        <v/>
      </c>
      <c r="N395" s="26" t="str">
        <f t="shared" si="23"/>
        <v/>
      </c>
      <c r="O395" s="27" t="str">
        <f>IF(I395="","",_xlfn.XLOOKUP(I395,Lists!$C:$C,Lists!$J:$J))</f>
        <v/>
      </c>
      <c r="P395" s="27" t="str">
        <f>IF(I395="","",_xlfn.XLOOKUP(I395,Lists!$C:$C,Lists!$E:$E))</f>
        <v/>
      </c>
      <c r="Q395" s="28" t="str">
        <f t="shared" si="24"/>
        <v/>
      </c>
      <c r="R395" s="26" t="str">
        <f t="shared" ca="1" si="25"/>
        <v/>
      </c>
      <c r="S395" s="27" t="str">
        <f>IF(I395="","",_xlfn.XLOOKUP(I395,Lists!$C:$C,Lists!$I:$I))</f>
        <v/>
      </c>
    </row>
    <row r="396" spans="3:19" x14ac:dyDescent="0.2">
      <c r="C396" s="26">
        <f>_xlfn.XLOOKUP(B396,Lists!B:B,Lists!A:A,"")</f>
        <v>0</v>
      </c>
      <c r="G396" s="26" t="str">
        <f t="shared" si="21"/>
        <v/>
      </c>
      <c r="H396" s="31" t="str">
        <f t="shared" si="22"/>
        <v/>
      </c>
      <c r="J396" s="27" t="str">
        <f>IF(I396="","",_xlfn.XLOOKUP(I396,Lists!$C:$C,Lists!$D:$D))</f>
        <v/>
      </c>
      <c r="N396" s="26" t="str">
        <f t="shared" si="23"/>
        <v/>
      </c>
      <c r="O396" s="27" t="str">
        <f>IF(I396="","",_xlfn.XLOOKUP(I396,Lists!$C:$C,Lists!$J:$J))</f>
        <v/>
      </c>
      <c r="P396" s="27" t="str">
        <f>IF(I396="","",_xlfn.XLOOKUP(I396,Lists!$C:$C,Lists!$E:$E))</f>
        <v/>
      </c>
      <c r="Q396" s="28" t="str">
        <f t="shared" si="24"/>
        <v/>
      </c>
      <c r="R396" s="26" t="str">
        <f t="shared" ca="1" si="25"/>
        <v/>
      </c>
      <c r="S396" s="27" t="str">
        <f>IF(I396="","",_xlfn.XLOOKUP(I396,Lists!$C:$C,Lists!$I:$I))</f>
        <v/>
      </c>
    </row>
    <row r="397" spans="3:19" x14ac:dyDescent="0.2">
      <c r="C397" s="26">
        <f>_xlfn.XLOOKUP(B397,Lists!B:B,Lists!A:A,"")</f>
        <v>0</v>
      </c>
      <c r="G397" s="26" t="str">
        <f t="shared" si="21"/>
        <v/>
      </c>
      <c r="H397" s="31" t="str">
        <f t="shared" si="22"/>
        <v/>
      </c>
      <c r="J397" s="27" t="str">
        <f>IF(I397="","",_xlfn.XLOOKUP(I397,Lists!$C:$C,Lists!$D:$D))</f>
        <v/>
      </c>
      <c r="N397" s="26" t="str">
        <f t="shared" si="23"/>
        <v/>
      </c>
      <c r="O397" s="27" t="str">
        <f>IF(I397="","",_xlfn.XLOOKUP(I397,Lists!$C:$C,Lists!$J:$J))</f>
        <v/>
      </c>
      <c r="P397" s="27" t="str">
        <f>IF(I397="","",_xlfn.XLOOKUP(I397,Lists!$C:$C,Lists!$E:$E))</f>
        <v/>
      </c>
      <c r="Q397" s="28" t="str">
        <f t="shared" si="24"/>
        <v/>
      </c>
      <c r="R397" s="26" t="str">
        <f t="shared" ca="1" si="25"/>
        <v/>
      </c>
      <c r="S397" s="27" t="str">
        <f>IF(I397="","",_xlfn.XLOOKUP(I397,Lists!$C:$C,Lists!$I:$I))</f>
        <v/>
      </c>
    </row>
    <row r="398" spans="3:19" x14ac:dyDescent="0.2">
      <c r="C398" s="26">
        <f>_xlfn.XLOOKUP(B398,Lists!B:B,Lists!A:A,"")</f>
        <v>0</v>
      </c>
      <c r="G398" s="26" t="str">
        <f t="shared" si="21"/>
        <v/>
      </c>
      <c r="H398" s="31" t="str">
        <f t="shared" si="22"/>
        <v/>
      </c>
      <c r="J398" s="27" t="str">
        <f>IF(I398="","",_xlfn.XLOOKUP(I398,Lists!$C:$C,Lists!$D:$D))</f>
        <v/>
      </c>
      <c r="N398" s="26" t="str">
        <f t="shared" si="23"/>
        <v/>
      </c>
      <c r="O398" s="27" t="str">
        <f>IF(I398="","",_xlfn.XLOOKUP(I398,Lists!$C:$C,Lists!$J:$J))</f>
        <v/>
      </c>
      <c r="P398" s="27" t="str">
        <f>IF(I398="","",_xlfn.XLOOKUP(I398,Lists!$C:$C,Lists!$E:$E))</f>
        <v/>
      </c>
      <c r="Q398" s="28" t="str">
        <f t="shared" si="24"/>
        <v/>
      </c>
      <c r="R398" s="26" t="str">
        <f t="shared" ca="1" si="25"/>
        <v/>
      </c>
      <c r="S398" s="27" t="str">
        <f>IF(I398="","",_xlfn.XLOOKUP(I398,Lists!$C:$C,Lists!$I:$I))</f>
        <v/>
      </c>
    </row>
    <row r="399" spans="3:19" x14ac:dyDescent="0.2">
      <c r="C399" s="26">
        <f>_xlfn.XLOOKUP(B399,Lists!B:B,Lists!A:A,"")</f>
        <v>0</v>
      </c>
      <c r="G399" s="26" t="str">
        <f t="shared" si="21"/>
        <v/>
      </c>
      <c r="H399" s="31" t="str">
        <f t="shared" si="22"/>
        <v/>
      </c>
      <c r="J399" s="27" t="str">
        <f>IF(I399="","",_xlfn.XLOOKUP(I399,Lists!$C:$C,Lists!$D:$D))</f>
        <v/>
      </c>
      <c r="N399" s="26" t="str">
        <f t="shared" si="23"/>
        <v/>
      </c>
      <c r="O399" s="27" t="str">
        <f>IF(I399="","",_xlfn.XLOOKUP(I399,Lists!$C:$C,Lists!$J:$J))</f>
        <v/>
      </c>
      <c r="P399" s="27" t="str">
        <f>IF(I399="","",_xlfn.XLOOKUP(I399,Lists!$C:$C,Lists!$E:$E))</f>
        <v/>
      </c>
      <c r="Q399" s="28" t="str">
        <f t="shared" si="24"/>
        <v/>
      </c>
      <c r="R399" s="26" t="str">
        <f t="shared" ca="1" si="25"/>
        <v/>
      </c>
      <c r="S399" s="27" t="str">
        <f>IF(I399="","",_xlfn.XLOOKUP(I399,Lists!$C:$C,Lists!$I:$I))</f>
        <v/>
      </c>
    </row>
    <row r="400" spans="3:19" x14ac:dyDescent="0.2">
      <c r="C400" s="26">
        <f>_xlfn.XLOOKUP(B400,Lists!B:B,Lists!A:A,"")</f>
        <v>0</v>
      </c>
      <c r="G400" s="26" t="str">
        <f t="shared" si="21"/>
        <v/>
      </c>
      <c r="H400" s="31" t="str">
        <f t="shared" si="22"/>
        <v/>
      </c>
      <c r="J400" s="27" t="str">
        <f>IF(I400="","",_xlfn.XLOOKUP(I400,Lists!$C:$C,Lists!$D:$D))</f>
        <v/>
      </c>
      <c r="N400" s="26" t="str">
        <f t="shared" si="23"/>
        <v/>
      </c>
      <c r="O400" s="27" t="str">
        <f>IF(I400="","",_xlfn.XLOOKUP(I400,Lists!$C:$C,Lists!$J:$J))</f>
        <v/>
      </c>
      <c r="P400" s="27" t="str">
        <f>IF(I400="","",_xlfn.XLOOKUP(I400,Lists!$C:$C,Lists!$E:$E))</f>
        <v/>
      </c>
      <c r="Q400" s="28" t="str">
        <f t="shared" si="24"/>
        <v/>
      </c>
      <c r="R400" s="26" t="str">
        <f t="shared" ca="1" si="25"/>
        <v/>
      </c>
      <c r="S400" s="27" t="str">
        <f>IF(I400="","",_xlfn.XLOOKUP(I400,Lists!$C:$C,Lists!$I:$I))</f>
        <v/>
      </c>
    </row>
    <row r="401" spans="3:19" x14ac:dyDescent="0.2">
      <c r="C401" s="26">
        <f>_xlfn.XLOOKUP(B401,Lists!B:B,Lists!A:A,"")</f>
        <v>0</v>
      </c>
      <c r="G401" s="26" t="str">
        <f t="shared" si="21"/>
        <v/>
      </c>
      <c r="H401" s="31" t="str">
        <f t="shared" si="22"/>
        <v/>
      </c>
      <c r="J401" s="27" t="str">
        <f>IF(I401="","",_xlfn.XLOOKUP(I401,Lists!$C:$C,Lists!$D:$D))</f>
        <v/>
      </c>
      <c r="N401" s="26" t="str">
        <f t="shared" si="23"/>
        <v/>
      </c>
      <c r="O401" s="27" t="str">
        <f>IF(I401="","",_xlfn.XLOOKUP(I401,Lists!$C:$C,Lists!$J:$J))</f>
        <v/>
      </c>
      <c r="P401" s="27" t="str">
        <f>IF(I401="","",_xlfn.XLOOKUP(I401,Lists!$C:$C,Lists!$E:$E))</f>
        <v/>
      </c>
      <c r="Q401" s="28" t="str">
        <f t="shared" si="24"/>
        <v/>
      </c>
      <c r="R401" s="26" t="str">
        <f t="shared" ca="1" si="25"/>
        <v/>
      </c>
      <c r="S401" s="27" t="str">
        <f>IF(I401="","",_xlfn.XLOOKUP(I401,Lists!$C:$C,Lists!$I:$I))</f>
        <v/>
      </c>
    </row>
    <row r="402" spans="3:19" x14ac:dyDescent="0.2">
      <c r="C402" s="26">
        <f>_xlfn.XLOOKUP(B402,Lists!B:B,Lists!A:A,"")</f>
        <v>0</v>
      </c>
      <c r="G402" s="26" t="str">
        <f t="shared" si="21"/>
        <v/>
      </c>
      <c r="H402" s="31" t="str">
        <f t="shared" si="22"/>
        <v/>
      </c>
      <c r="J402" s="27" t="str">
        <f>IF(I402="","",_xlfn.XLOOKUP(I402,Lists!$C:$C,Lists!$D:$D))</f>
        <v/>
      </c>
      <c r="N402" s="26" t="str">
        <f t="shared" si="23"/>
        <v/>
      </c>
      <c r="O402" s="27" t="str">
        <f>IF(I402="","",_xlfn.XLOOKUP(I402,Lists!$C:$C,Lists!$J:$J))</f>
        <v/>
      </c>
      <c r="P402" s="27" t="str">
        <f>IF(I402="","",_xlfn.XLOOKUP(I402,Lists!$C:$C,Lists!$E:$E))</f>
        <v/>
      </c>
      <c r="Q402" s="28" t="str">
        <f t="shared" si="24"/>
        <v/>
      </c>
      <c r="R402" s="26" t="str">
        <f t="shared" ca="1" si="25"/>
        <v/>
      </c>
      <c r="S402" s="27" t="str">
        <f>IF(I402="","",_xlfn.XLOOKUP(I402,Lists!$C:$C,Lists!$I:$I))</f>
        <v/>
      </c>
    </row>
    <row r="403" spans="3:19" x14ac:dyDescent="0.2">
      <c r="C403" s="26">
        <f>_xlfn.XLOOKUP(B403,Lists!B:B,Lists!A:A,"")</f>
        <v>0</v>
      </c>
      <c r="G403" s="26" t="str">
        <f t="shared" si="21"/>
        <v/>
      </c>
      <c r="H403" s="31" t="str">
        <f t="shared" si="22"/>
        <v/>
      </c>
      <c r="J403" s="27" t="str">
        <f>IF(I403="","",_xlfn.XLOOKUP(I403,Lists!$C:$C,Lists!$D:$D))</f>
        <v/>
      </c>
      <c r="N403" s="26" t="str">
        <f t="shared" si="23"/>
        <v/>
      </c>
      <c r="O403" s="27" t="str">
        <f>IF(I403="","",_xlfn.XLOOKUP(I403,Lists!$C:$C,Lists!$J:$J))</f>
        <v/>
      </c>
      <c r="P403" s="27" t="str">
        <f>IF(I403="","",_xlfn.XLOOKUP(I403,Lists!$C:$C,Lists!$E:$E))</f>
        <v/>
      </c>
      <c r="Q403" s="28" t="str">
        <f t="shared" si="24"/>
        <v/>
      </c>
      <c r="R403" s="26" t="str">
        <f t="shared" ca="1" si="25"/>
        <v/>
      </c>
      <c r="S403" s="27" t="str">
        <f>IF(I403="","",_xlfn.XLOOKUP(I403,Lists!$C:$C,Lists!$I:$I))</f>
        <v/>
      </c>
    </row>
    <row r="404" spans="3:19" x14ac:dyDescent="0.2">
      <c r="C404" s="26">
        <f>_xlfn.XLOOKUP(B404,Lists!B:B,Lists!A:A,"")</f>
        <v>0</v>
      </c>
      <c r="G404" s="26" t="str">
        <f t="shared" si="21"/>
        <v/>
      </c>
      <c r="H404" s="31" t="str">
        <f t="shared" si="22"/>
        <v/>
      </c>
      <c r="J404" s="27" t="str">
        <f>IF(I404="","",_xlfn.XLOOKUP(I404,Lists!$C:$C,Lists!$D:$D))</f>
        <v/>
      </c>
      <c r="N404" s="26" t="str">
        <f t="shared" si="23"/>
        <v/>
      </c>
      <c r="O404" s="27" t="str">
        <f>IF(I404="","",_xlfn.XLOOKUP(I404,Lists!$C:$C,Lists!$J:$J))</f>
        <v/>
      </c>
      <c r="P404" s="27" t="str">
        <f>IF(I404="","",_xlfn.XLOOKUP(I404,Lists!$C:$C,Lists!$E:$E))</f>
        <v/>
      </c>
      <c r="Q404" s="28" t="str">
        <f t="shared" si="24"/>
        <v/>
      </c>
      <c r="R404" s="26" t="str">
        <f t="shared" ca="1" si="25"/>
        <v/>
      </c>
      <c r="S404" s="27" t="str">
        <f>IF(I404="","",_xlfn.XLOOKUP(I404,Lists!$C:$C,Lists!$I:$I))</f>
        <v/>
      </c>
    </row>
    <row r="405" spans="3:19" x14ac:dyDescent="0.2">
      <c r="C405" s="26">
        <f>_xlfn.XLOOKUP(B405,Lists!B:B,Lists!A:A,"")</f>
        <v>0</v>
      </c>
      <c r="G405" s="26" t="str">
        <f t="shared" si="21"/>
        <v/>
      </c>
      <c r="H405" s="31" t="str">
        <f t="shared" si="22"/>
        <v/>
      </c>
      <c r="J405" s="27" t="str">
        <f>IF(I405="","",_xlfn.XLOOKUP(I405,Lists!$C:$C,Lists!$D:$D))</f>
        <v/>
      </c>
      <c r="N405" s="26" t="str">
        <f t="shared" si="23"/>
        <v/>
      </c>
      <c r="O405" s="27" t="str">
        <f>IF(I405="","",_xlfn.XLOOKUP(I405,Lists!$C:$C,Lists!$J:$J))</f>
        <v/>
      </c>
      <c r="P405" s="27" t="str">
        <f>IF(I405="","",_xlfn.XLOOKUP(I405,Lists!$C:$C,Lists!$E:$E))</f>
        <v/>
      </c>
      <c r="Q405" s="28" t="str">
        <f t="shared" si="24"/>
        <v/>
      </c>
      <c r="R405" s="26" t="str">
        <f t="shared" ca="1" si="25"/>
        <v/>
      </c>
      <c r="S405" s="27" t="str">
        <f>IF(I405="","",_xlfn.XLOOKUP(I405,Lists!$C:$C,Lists!$I:$I))</f>
        <v/>
      </c>
    </row>
    <row r="406" spans="3:19" x14ac:dyDescent="0.2">
      <c r="C406" s="26">
        <f>_xlfn.XLOOKUP(B406,Lists!B:B,Lists!A:A,"")</f>
        <v>0</v>
      </c>
      <c r="G406" s="26" t="str">
        <f t="shared" si="21"/>
        <v/>
      </c>
      <c r="H406" s="31" t="str">
        <f t="shared" si="22"/>
        <v/>
      </c>
      <c r="J406" s="27" t="str">
        <f>IF(I406="","",_xlfn.XLOOKUP(I406,Lists!$C:$C,Lists!$D:$D))</f>
        <v/>
      </c>
      <c r="N406" s="26" t="str">
        <f t="shared" si="23"/>
        <v/>
      </c>
      <c r="O406" s="27" t="str">
        <f>IF(I406="","",_xlfn.XLOOKUP(I406,Lists!$C:$C,Lists!$J:$J))</f>
        <v/>
      </c>
      <c r="P406" s="27" t="str">
        <f>IF(I406="","",_xlfn.XLOOKUP(I406,Lists!$C:$C,Lists!$E:$E))</f>
        <v/>
      </c>
      <c r="Q406" s="28" t="str">
        <f t="shared" si="24"/>
        <v/>
      </c>
      <c r="R406" s="26" t="str">
        <f t="shared" ca="1" si="25"/>
        <v/>
      </c>
      <c r="S406" s="27" t="str">
        <f>IF(I406="","",_xlfn.XLOOKUP(I406,Lists!$C:$C,Lists!$I:$I))</f>
        <v/>
      </c>
    </row>
    <row r="407" spans="3:19" x14ac:dyDescent="0.2">
      <c r="C407" s="26">
        <f>_xlfn.XLOOKUP(B407,Lists!B:B,Lists!A:A,"")</f>
        <v>0</v>
      </c>
      <c r="G407" s="26" t="str">
        <f t="shared" si="21"/>
        <v/>
      </c>
      <c r="H407" s="31" t="str">
        <f t="shared" si="22"/>
        <v/>
      </c>
      <c r="J407" s="27" t="str">
        <f>IF(I407="","",_xlfn.XLOOKUP(I407,Lists!$C:$C,Lists!$D:$D))</f>
        <v/>
      </c>
      <c r="N407" s="26" t="str">
        <f t="shared" si="23"/>
        <v/>
      </c>
      <c r="O407" s="27" t="str">
        <f>IF(I407="","",_xlfn.XLOOKUP(I407,Lists!$C:$C,Lists!$J:$J))</f>
        <v/>
      </c>
      <c r="P407" s="27" t="str">
        <f>IF(I407="","",_xlfn.XLOOKUP(I407,Lists!$C:$C,Lists!$E:$E))</f>
        <v/>
      </c>
      <c r="Q407" s="28" t="str">
        <f t="shared" si="24"/>
        <v/>
      </c>
      <c r="R407" s="26" t="str">
        <f t="shared" ca="1" si="25"/>
        <v/>
      </c>
      <c r="S407" s="27" t="str">
        <f>IF(I407="","",_xlfn.XLOOKUP(I407,Lists!$C:$C,Lists!$I:$I))</f>
        <v/>
      </c>
    </row>
    <row r="408" spans="3:19" x14ac:dyDescent="0.2">
      <c r="C408" s="26">
        <f>_xlfn.XLOOKUP(B408,Lists!B:B,Lists!A:A,"")</f>
        <v>0</v>
      </c>
      <c r="G408" s="26" t="str">
        <f t="shared" si="21"/>
        <v/>
      </c>
      <c r="H408" s="31" t="str">
        <f t="shared" si="22"/>
        <v/>
      </c>
      <c r="J408" s="27" t="str">
        <f>IF(I408="","",_xlfn.XLOOKUP(I408,Lists!$C:$C,Lists!$D:$D))</f>
        <v/>
      </c>
      <c r="N408" s="26" t="str">
        <f t="shared" si="23"/>
        <v/>
      </c>
      <c r="O408" s="27" t="str">
        <f>IF(I408="","",_xlfn.XLOOKUP(I408,Lists!$C:$C,Lists!$J:$J))</f>
        <v/>
      </c>
      <c r="P408" s="27" t="str">
        <f>IF(I408="","",_xlfn.XLOOKUP(I408,Lists!$C:$C,Lists!$E:$E))</f>
        <v/>
      </c>
      <c r="Q408" s="28" t="str">
        <f t="shared" si="24"/>
        <v/>
      </c>
      <c r="R408" s="26" t="str">
        <f t="shared" ca="1" si="25"/>
        <v/>
      </c>
      <c r="S408" s="27" t="str">
        <f>IF(I408="","",_xlfn.XLOOKUP(I408,Lists!$C:$C,Lists!$I:$I))</f>
        <v/>
      </c>
    </row>
    <row r="409" spans="3:19" x14ac:dyDescent="0.2">
      <c r="C409" s="26">
        <f>_xlfn.XLOOKUP(B409,Lists!B:B,Lists!A:A,"")</f>
        <v>0</v>
      </c>
      <c r="G409" s="26" t="str">
        <f t="shared" si="21"/>
        <v/>
      </c>
      <c r="H409" s="31" t="str">
        <f t="shared" si="22"/>
        <v/>
      </c>
      <c r="J409" s="27" t="str">
        <f>IF(I409="","",_xlfn.XLOOKUP(I409,Lists!$C:$C,Lists!$D:$D))</f>
        <v/>
      </c>
      <c r="N409" s="26" t="str">
        <f t="shared" si="23"/>
        <v/>
      </c>
      <c r="O409" s="27" t="str">
        <f>IF(I409="","",_xlfn.XLOOKUP(I409,Lists!$C:$C,Lists!$J:$J))</f>
        <v/>
      </c>
      <c r="P409" s="27" t="str">
        <f>IF(I409="","",_xlfn.XLOOKUP(I409,Lists!$C:$C,Lists!$E:$E))</f>
        <v/>
      </c>
      <c r="Q409" s="28" t="str">
        <f t="shared" si="24"/>
        <v/>
      </c>
      <c r="R409" s="26" t="str">
        <f t="shared" ca="1" si="25"/>
        <v/>
      </c>
      <c r="S409" s="27" t="str">
        <f>IF(I409="","",_xlfn.XLOOKUP(I409,Lists!$C:$C,Lists!$I:$I))</f>
        <v/>
      </c>
    </row>
    <row r="410" spans="3:19" x14ac:dyDescent="0.2">
      <c r="C410" s="26">
        <f>_xlfn.XLOOKUP(B410,Lists!B:B,Lists!A:A,"")</f>
        <v>0</v>
      </c>
      <c r="G410" s="26" t="str">
        <f t="shared" si="21"/>
        <v/>
      </c>
      <c r="H410" s="31" t="str">
        <f t="shared" si="22"/>
        <v/>
      </c>
      <c r="J410" s="27" t="str">
        <f>IF(I410="","",_xlfn.XLOOKUP(I410,Lists!$C:$C,Lists!$D:$D))</f>
        <v/>
      </c>
      <c r="N410" s="26" t="str">
        <f t="shared" si="23"/>
        <v/>
      </c>
      <c r="O410" s="27" t="str">
        <f>IF(I410="","",_xlfn.XLOOKUP(I410,Lists!$C:$C,Lists!$J:$J))</f>
        <v/>
      </c>
      <c r="P410" s="27" t="str">
        <f>IF(I410="","",_xlfn.XLOOKUP(I410,Lists!$C:$C,Lists!$E:$E))</f>
        <v/>
      </c>
      <c r="Q410" s="28" t="str">
        <f t="shared" si="24"/>
        <v/>
      </c>
      <c r="R410" s="26" t="str">
        <f t="shared" ca="1" si="25"/>
        <v/>
      </c>
      <c r="S410" s="27" t="str">
        <f>IF(I410="","",_xlfn.XLOOKUP(I410,Lists!$C:$C,Lists!$I:$I))</f>
        <v/>
      </c>
    </row>
    <row r="411" spans="3:19" x14ac:dyDescent="0.2">
      <c r="C411" s="26">
        <f>_xlfn.XLOOKUP(B411,Lists!B:B,Lists!A:A,"")</f>
        <v>0</v>
      </c>
      <c r="G411" s="26" t="str">
        <f t="shared" ref="G411:G474" si="26">IF(OR(E411="",F411=""),"",F411-E411+1)</f>
        <v/>
      </c>
      <c r="H411" s="31" t="str">
        <f t="shared" ref="H411:H474" si="27">IF(D411="","",IF(OR(D411="A",D411="B"),G411/80,IF(D411="A&amp;B",G411/160,"")))</f>
        <v/>
      </c>
      <c r="J411" s="27" t="str">
        <f>IF(I411="","",_xlfn.XLOOKUP(I411,Lists!$C:$C,Lists!$D:$D))</f>
        <v/>
      </c>
      <c r="N411" s="26" t="str">
        <f t="shared" ref="N411:N474" si="28">IF(OR(M411="",L411=""),"",(M411*L411)/100000)</f>
        <v/>
      </c>
      <c r="O411" s="27" t="str">
        <f>IF(I411="","",_xlfn.XLOOKUP(I411,Lists!$C:$C,Lists!$J:$J))</f>
        <v/>
      </c>
      <c r="P411" s="27" t="str">
        <f>IF(I411="","",_xlfn.XLOOKUP(I411,Lists!$C:$C,Lists!$E:$E))</f>
        <v/>
      </c>
      <c r="Q411" s="28" t="str">
        <f t="shared" ref="Q411:Q474" si="29">IF(OR(A411="",P411=""),"",A411+P411+1)</f>
        <v/>
      </c>
      <c r="R411" s="26" t="str">
        <f t="shared" ref="R411:R474" ca="1" si="30">IF(Q411="","",IF(Q411&lt;=TODAY(),"Allow","Not Allow"))</f>
        <v/>
      </c>
      <c r="S411" s="27" t="str">
        <f>IF(I411="","",_xlfn.XLOOKUP(I411,Lists!$C:$C,Lists!$I:$I))</f>
        <v/>
      </c>
    </row>
    <row r="412" spans="3:19" x14ac:dyDescent="0.2">
      <c r="C412" s="26">
        <f>_xlfn.XLOOKUP(B412,Lists!B:B,Lists!A:A,"")</f>
        <v>0</v>
      </c>
      <c r="G412" s="26" t="str">
        <f t="shared" si="26"/>
        <v/>
      </c>
      <c r="H412" s="31" t="str">
        <f t="shared" si="27"/>
        <v/>
      </c>
      <c r="J412" s="27" t="str">
        <f>IF(I412="","",_xlfn.XLOOKUP(I412,Lists!$C:$C,Lists!$D:$D))</f>
        <v/>
      </c>
      <c r="N412" s="26" t="str">
        <f t="shared" si="28"/>
        <v/>
      </c>
      <c r="O412" s="27" t="str">
        <f>IF(I412="","",_xlfn.XLOOKUP(I412,Lists!$C:$C,Lists!$J:$J))</f>
        <v/>
      </c>
      <c r="P412" s="27" t="str">
        <f>IF(I412="","",_xlfn.XLOOKUP(I412,Lists!$C:$C,Lists!$E:$E))</f>
        <v/>
      </c>
      <c r="Q412" s="28" t="str">
        <f t="shared" si="29"/>
        <v/>
      </c>
      <c r="R412" s="26" t="str">
        <f t="shared" ca="1" si="30"/>
        <v/>
      </c>
      <c r="S412" s="27" t="str">
        <f>IF(I412="","",_xlfn.XLOOKUP(I412,Lists!$C:$C,Lists!$I:$I))</f>
        <v/>
      </c>
    </row>
    <row r="413" spans="3:19" x14ac:dyDescent="0.2">
      <c r="C413" s="26">
        <f>_xlfn.XLOOKUP(B413,Lists!B:B,Lists!A:A,"")</f>
        <v>0</v>
      </c>
      <c r="G413" s="26" t="str">
        <f t="shared" si="26"/>
        <v/>
      </c>
      <c r="H413" s="31" t="str">
        <f t="shared" si="27"/>
        <v/>
      </c>
      <c r="J413" s="27" t="str">
        <f>IF(I413="","",_xlfn.XLOOKUP(I413,Lists!$C:$C,Lists!$D:$D))</f>
        <v/>
      </c>
      <c r="N413" s="26" t="str">
        <f t="shared" si="28"/>
        <v/>
      </c>
      <c r="O413" s="27" t="str">
        <f>IF(I413="","",_xlfn.XLOOKUP(I413,Lists!$C:$C,Lists!$J:$J))</f>
        <v/>
      </c>
      <c r="P413" s="27" t="str">
        <f>IF(I413="","",_xlfn.XLOOKUP(I413,Lists!$C:$C,Lists!$E:$E))</f>
        <v/>
      </c>
      <c r="Q413" s="28" t="str">
        <f t="shared" si="29"/>
        <v/>
      </c>
      <c r="R413" s="26" t="str">
        <f t="shared" ca="1" si="30"/>
        <v/>
      </c>
      <c r="S413" s="27" t="str">
        <f>IF(I413="","",_xlfn.XLOOKUP(I413,Lists!$C:$C,Lists!$I:$I))</f>
        <v/>
      </c>
    </row>
    <row r="414" spans="3:19" x14ac:dyDescent="0.2">
      <c r="C414" s="26">
        <f>_xlfn.XLOOKUP(B414,Lists!B:B,Lists!A:A,"")</f>
        <v>0</v>
      </c>
      <c r="G414" s="26" t="str">
        <f t="shared" si="26"/>
        <v/>
      </c>
      <c r="H414" s="31" t="str">
        <f t="shared" si="27"/>
        <v/>
      </c>
      <c r="J414" s="27" t="str">
        <f>IF(I414="","",_xlfn.XLOOKUP(I414,Lists!$C:$C,Lists!$D:$D))</f>
        <v/>
      </c>
      <c r="N414" s="26" t="str">
        <f t="shared" si="28"/>
        <v/>
      </c>
      <c r="O414" s="27" t="str">
        <f>IF(I414="","",_xlfn.XLOOKUP(I414,Lists!$C:$C,Lists!$J:$J))</f>
        <v/>
      </c>
      <c r="P414" s="27" t="str">
        <f>IF(I414="","",_xlfn.XLOOKUP(I414,Lists!$C:$C,Lists!$E:$E))</f>
        <v/>
      </c>
      <c r="Q414" s="28" t="str">
        <f t="shared" si="29"/>
        <v/>
      </c>
      <c r="R414" s="26" t="str">
        <f t="shared" ca="1" si="30"/>
        <v/>
      </c>
      <c r="S414" s="27" t="str">
        <f>IF(I414="","",_xlfn.XLOOKUP(I414,Lists!$C:$C,Lists!$I:$I))</f>
        <v/>
      </c>
    </row>
    <row r="415" spans="3:19" x14ac:dyDescent="0.2">
      <c r="C415" s="26">
        <f>_xlfn.XLOOKUP(B415,Lists!B:B,Lists!A:A,"")</f>
        <v>0</v>
      </c>
      <c r="G415" s="26" t="str">
        <f t="shared" si="26"/>
        <v/>
      </c>
      <c r="H415" s="31" t="str">
        <f t="shared" si="27"/>
        <v/>
      </c>
      <c r="J415" s="27" t="str">
        <f>IF(I415="","",_xlfn.XLOOKUP(I415,Lists!$C:$C,Lists!$D:$D))</f>
        <v/>
      </c>
      <c r="N415" s="26" t="str">
        <f t="shared" si="28"/>
        <v/>
      </c>
      <c r="O415" s="27" t="str">
        <f>IF(I415="","",_xlfn.XLOOKUP(I415,Lists!$C:$C,Lists!$J:$J))</f>
        <v/>
      </c>
      <c r="P415" s="27" t="str">
        <f>IF(I415="","",_xlfn.XLOOKUP(I415,Lists!$C:$C,Lists!$E:$E))</f>
        <v/>
      </c>
      <c r="Q415" s="28" t="str">
        <f t="shared" si="29"/>
        <v/>
      </c>
      <c r="R415" s="26" t="str">
        <f t="shared" ca="1" si="30"/>
        <v/>
      </c>
      <c r="S415" s="27" t="str">
        <f>IF(I415="","",_xlfn.XLOOKUP(I415,Lists!$C:$C,Lists!$I:$I))</f>
        <v/>
      </c>
    </row>
    <row r="416" spans="3:19" x14ac:dyDescent="0.2">
      <c r="C416" s="26">
        <f>_xlfn.XLOOKUP(B416,Lists!B:B,Lists!A:A,"")</f>
        <v>0</v>
      </c>
      <c r="G416" s="26" t="str">
        <f t="shared" si="26"/>
        <v/>
      </c>
      <c r="H416" s="31" t="str">
        <f t="shared" si="27"/>
        <v/>
      </c>
      <c r="J416" s="27" t="str">
        <f>IF(I416="","",_xlfn.XLOOKUP(I416,Lists!$C:$C,Lists!$D:$D))</f>
        <v/>
      </c>
      <c r="N416" s="26" t="str">
        <f t="shared" si="28"/>
        <v/>
      </c>
      <c r="O416" s="27" t="str">
        <f>IF(I416="","",_xlfn.XLOOKUP(I416,Lists!$C:$C,Lists!$J:$J))</f>
        <v/>
      </c>
      <c r="P416" s="27" t="str">
        <f>IF(I416="","",_xlfn.XLOOKUP(I416,Lists!$C:$C,Lists!$E:$E))</f>
        <v/>
      </c>
      <c r="Q416" s="28" t="str">
        <f t="shared" si="29"/>
        <v/>
      </c>
      <c r="R416" s="26" t="str">
        <f t="shared" ca="1" si="30"/>
        <v/>
      </c>
      <c r="S416" s="27" t="str">
        <f>IF(I416="","",_xlfn.XLOOKUP(I416,Lists!$C:$C,Lists!$I:$I))</f>
        <v/>
      </c>
    </row>
    <row r="417" spans="3:19" x14ac:dyDescent="0.2">
      <c r="C417" s="26">
        <f>_xlfn.XLOOKUP(B417,Lists!B:B,Lists!A:A,"")</f>
        <v>0</v>
      </c>
      <c r="G417" s="26" t="str">
        <f t="shared" si="26"/>
        <v/>
      </c>
      <c r="H417" s="31" t="str">
        <f t="shared" si="27"/>
        <v/>
      </c>
      <c r="J417" s="27" t="str">
        <f>IF(I417="","",_xlfn.XLOOKUP(I417,Lists!$C:$C,Lists!$D:$D))</f>
        <v/>
      </c>
      <c r="N417" s="26" t="str">
        <f t="shared" si="28"/>
        <v/>
      </c>
      <c r="O417" s="27" t="str">
        <f>IF(I417="","",_xlfn.XLOOKUP(I417,Lists!$C:$C,Lists!$J:$J))</f>
        <v/>
      </c>
      <c r="P417" s="27" t="str">
        <f>IF(I417="","",_xlfn.XLOOKUP(I417,Lists!$C:$C,Lists!$E:$E))</f>
        <v/>
      </c>
      <c r="Q417" s="28" t="str">
        <f t="shared" si="29"/>
        <v/>
      </c>
      <c r="R417" s="26" t="str">
        <f t="shared" ca="1" si="30"/>
        <v/>
      </c>
      <c r="S417" s="27" t="str">
        <f>IF(I417="","",_xlfn.XLOOKUP(I417,Lists!$C:$C,Lists!$I:$I))</f>
        <v/>
      </c>
    </row>
    <row r="418" spans="3:19" x14ac:dyDescent="0.2">
      <c r="C418" s="26">
        <f>_xlfn.XLOOKUP(B418,Lists!B:B,Lists!A:A,"")</f>
        <v>0</v>
      </c>
      <c r="G418" s="26" t="str">
        <f t="shared" si="26"/>
        <v/>
      </c>
      <c r="H418" s="31" t="str">
        <f t="shared" si="27"/>
        <v/>
      </c>
      <c r="J418" s="27" t="str">
        <f>IF(I418="","",_xlfn.XLOOKUP(I418,Lists!$C:$C,Lists!$D:$D))</f>
        <v/>
      </c>
      <c r="N418" s="26" t="str">
        <f t="shared" si="28"/>
        <v/>
      </c>
      <c r="O418" s="27" t="str">
        <f>IF(I418="","",_xlfn.XLOOKUP(I418,Lists!$C:$C,Lists!$J:$J))</f>
        <v/>
      </c>
      <c r="P418" s="27" t="str">
        <f>IF(I418="","",_xlfn.XLOOKUP(I418,Lists!$C:$C,Lists!$E:$E))</f>
        <v/>
      </c>
      <c r="Q418" s="28" t="str">
        <f t="shared" si="29"/>
        <v/>
      </c>
      <c r="R418" s="26" t="str">
        <f t="shared" ca="1" si="30"/>
        <v/>
      </c>
      <c r="S418" s="27" t="str">
        <f>IF(I418="","",_xlfn.XLOOKUP(I418,Lists!$C:$C,Lists!$I:$I))</f>
        <v/>
      </c>
    </row>
    <row r="419" spans="3:19" x14ac:dyDescent="0.2">
      <c r="C419" s="26">
        <f>_xlfn.XLOOKUP(B419,Lists!B:B,Lists!A:A,"")</f>
        <v>0</v>
      </c>
      <c r="G419" s="26" t="str">
        <f t="shared" si="26"/>
        <v/>
      </c>
      <c r="H419" s="31" t="str">
        <f t="shared" si="27"/>
        <v/>
      </c>
      <c r="J419" s="27" t="str">
        <f>IF(I419="","",_xlfn.XLOOKUP(I419,Lists!$C:$C,Lists!$D:$D))</f>
        <v/>
      </c>
      <c r="N419" s="26" t="str">
        <f t="shared" si="28"/>
        <v/>
      </c>
      <c r="O419" s="27" t="str">
        <f>IF(I419="","",_xlfn.XLOOKUP(I419,Lists!$C:$C,Lists!$J:$J))</f>
        <v/>
      </c>
      <c r="P419" s="27" t="str">
        <f>IF(I419="","",_xlfn.XLOOKUP(I419,Lists!$C:$C,Lists!$E:$E))</f>
        <v/>
      </c>
      <c r="Q419" s="28" t="str">
        <f t="shared" si="29"/>
        <v/>
      </c>
      <c r="R419" s="26" t="str">
        <f t="shared" ca="1" si="30"/>
        <v/>
      </c>
      <c r="S419" s="27" t="str">
        <f>IF(I419="","",_xlfn.XLOOKUP(I419,Lists!$C:$C,Lists!$I:$I))</f>
        <v/>
      </c>
    </row>
    <row r="420" spans="3:19" x14ac:dyDescent="0.2">
      <c r="C420" s="26">
        <f>_xlfn.XLOOKUP(B420,Lists!B:B,Lists!A:A,"")</f>
        <v>0</v>
      </c>
      <c r="G420" s="26" t="str">
        <f t="shared" si="26"/>
        <v/>
      </c>
      <c r="H420" s="31" t="str">
        <f t="shared" si="27"/>
        <v/>
      </c>
      <c r="J420" s="27" t="str">
        <f>IF(I420="","",_xlfn.XLOOKUP(I420,Lists!$C:$C,Lists!$D:$D))</f>
        <v/>
      </c>
      <c r="N420" s="26" t="str">
        <f t="shared" si="28"/>
        <v/>
      </c>
      <c r="O420" s="27" t="str">
        <f>IF(I420="","",_xlfn.XLOOKUP(I420,Lists!$C:$C,Lists!$J:$J))</f>
        <v/>
      </c>
      <c r="P420" s="27" t="str">
        <f>IF(I420="","",_xlfn.XLOOKUP(I420,Lists!$C:$C,Lists!$E:$E))</f>
        <v/>
      </c>
      <c r="Q420" s="28" t="str">
        <f t="shared" si="29"/>
        <v/>
      </c>
      <c r="R420" s="26" t="str">
        <f t="shared" ca="1" si="30"/>
        <v/>
      </c>
      <c r="S420" s="27" t="str">
        <f>IF(I420="","",_xlfn.XLOOKUP(I420,Lists!$C:$C,Lists!$I:$I))</f>
        <v/>
      </c>
    </row>
    <row r="421" spans="3:19" x14ac:dyDescent="0.2">
      <c r="C421" s="26">
        <f>_xlfn.XLOOKUP(B421,Lists!B:B,Lists!A:A,"")</f>
        <v>0</v>
      </c>
      <c r="G421" s="26" t="str">
        <f t="shared" si="26"/>
        <v/>
      </c>
      <c r="H421" s="31" t="str">
        <f t="shared" si="27"/>
        <v/>
      </c>
      <c r="J421" s="27" t="str">
        <f>IF(I421="","",_xlfn.XLOOKUP(I421,Lists!$C:$C,Lists!$D:$D))</f>
        <v/>
      </c>
      <c r="N421" s="26" t="str">
        <f t="shared" si="28"/>
        <v/>
      </c>
      <c r="O421" s="27" t="str">
        <f>IF(I421="","",_xlfn.XLOOKUP(I421,Lists!$C:$C,Lists!$J:$J))</f>
        <v/>
      </c>
      <c r="P421" s="27" t="str">
        <f>IF(I421="","",_xlfn.XLOOKUP(I421,Lists!$C:$C,Lists!$E:$E))</f>
        <v/>
      </c>
      <c r="Q421" s="28" t="str">
        <f t="shared" si="29"/>
        <v/>
      </c>
      <c r="R421" s="26" t="str">
        <f t="shared" ca="1" si="30"/>
        <v/>
      </c>
      <c r="S421" s="27" t="str">
        <f>IF(I421="","",_xlfn.XLOOKUP(I421,Lists!$C:$C,Lists!$I:$I))</f>
        <v/>
      </c>
    </row>
    <row r="422" spans="3:19" x14ac:dyDescent="0.2">
      <c r="C422" s="26">
        <f>_xlfn.XLOOKUP(B422,Lists!B:B,Lists!A:A,"")</f>
        <v>0</v>
      </c>
      <c r="G422" s="26" t="str">
        <f t="shared" si="26"/>
        <v/>
      </c>
      <c r="H422" s="31" t="str">
        <f t="shared" si="27"/>
        <v/>
      </c>
      <c r="J422" s="27" t="str">
        <f>IF(I422="","",_xlfn.XLOOKUP(I422,Lists!$C:$C,Lists!$D:$D))</f>
        <v/>
      </c>
      <c r="N422" s="26" t="str">
        <f t="shared" si="28"/>
        <v/>
      </c>
      <c r="O422" s="27" t="str">
        <f>IF(I422="","",_xlfn.XLOOKUP(I422,Lists!$C:$C,Lists!$J:$J))</f>
        <v/>
      </c>
      <c r="P422" s="27" t="str">
        <f>IF(I422="","",_xlfn.XLOOKUP(I422,Lists!$C:$C,Lists!$E:$E))</f>
        <v/>
      </c>
      <c r="Q422" s="28" t="str">
        <f t="shared" si="29"/>
        <v/>
      </c>
      <c r="R422" s="26" t="str">
        <f t="shared" ca="1" si="30"/>
        <v/>
      </c>
      <c r="S422" s="27" t="str">
        <f>IF(I422="","",_xlfn.XLOOKUP(I422,Lists!$C:$C,Lists!$I:$I))</f>
        <v/>
      </c>
    </row>
    <row r="423" spans="3:19" x14ac:dyDescent="0.2">
      <c r="C423" s="26">
        <f>_xlfn.XLOOKUP(B423,Lists!B:B,Lists!A:A,"")</f>
        <v>0</v>
      </c>
      <c r="G423" s="26" t="str">
        <f t="shared" si="26"/>
        <v/>
      </c>
      <c r="H423" s="31" t="str">
        <f t="shared" si="27"/>
        <v/>
      </c>
      <c r="J423" s="27" t="str">
        <f>IF(I423="","",_xlfn.XLOOKUP(I423,Lists!$C:$C,Lists!$D:$D))</f>
        <v/>
      </c>
      <c r="N423" s="26" t="str">
        <f t="shared" si="28"/>
        <v/>
      </c>
      <c r="O423" s="27" t="str">
        <f>IF(I423="","",_xlfn.XLOOKUP(I423,Lists!$C:$C,Lists!$J:$J))</f>
        <v/>
      </c>
      <c r="P423" s="27" t="str">
        <f>IF(I423="","",_xlfn.XLOOKUP(I423,Lists!$C:$C,Lists!$E:$E))</f>
        <v/>
      </c>
      <c r="Q423" s="28" t="str">
        <f t="shared" si="29"/>
        <v/>
      </c>
      <c r="R423" s="26" t="str">
        <f t="shared" ca="1" si="30"/>
        <v/>
      </c>
      <c r="S423" s="27" t="str">
        <f>IF(I423="","",_xlfn.XLOOKUP(I423,Lists!$C:$C,Lists!$I:$I))</f>
        <v/>
      </c>
    </row>
    <row r="424" spans="3:19" x14ac:dyDescent="0.2">
      <c r="C424" s="26">
        <f>_xlfn.XLOOKUP(B424,Lists!B:B,Lists!A:A,"")</f>
        <v>0</v>
      </c>
      <c r="G424" s="26" t="str">
        <f t="shared" si="26"/>
        <v/>
      </c>
      <c r="H424" s="31" t="str">
        <f t="shared" si="27"/>
        <v/>
      </c>
      <c r="J424" s="27" t="str">
        <f>IF(I424="","",_xlfn.XLOOKUP(I424,Lists!$C:$C,Lists!$D:$D))</f>
        <v/>
      </c>
      <c r="N424" s="26" t="str">
        <f t="shared" si="28"/>
        <v/>
      </c>
      <c r="O424" s="27" t="str">
        <f>IF(I424="","",_xlfn.XLOOKUP(I424,Lists!$C:$C,Lists!$J:$J))</f>
        <v/>
      </c>
      <c r="P424" s="27" t="str">
        <f>IF(I424="","",_xlfn.XLOOKUP(I424,Lists!$C:$C,Lists!$E:$E))</f>
        <v/>
      </c>
      <c r="Q424" s="28" t="str">
        <f t="shared" si="29"/>
        <v/>
      </c>
      <c r="R424" s="26" t="str">
        <f t="shared" ca="1" si="30"/>
        <v/>
      </c>
      <c r="S424" s="27" t="str">
        <f>IF(I424="","",_xlfn.XLOOKUP(I424,Lists!$C:$C,Lists!$I:$I))</f>
        <v/>
      </c>
    </row>
    <row r="425" spans="3:19" x14ac:dyDescent="0.2">
      <c r="C425" s="26">
        <f>_xlfn.XLOOKUP(B425,Lists!B:B,Lists!A:A,"")</f>
        <v>0</v>
      </c>
      <c r="G425" s="26" t="str">
        <f t="shared" si="26"/>
        <v/>
      </c>
      <c r="H425" s="31" t="str">
        <f t="shared" si="27"/>
        <v/>
      </c>
      <c r="J425" s="27" t="str">
        <f>IF(I425="","",_xlfn.XLOOKUP(I425,Lists!$C:$C,Lists!$D:$D))</f>
        <v/>
      </c>
      <c r="N425" s="26" t="str">
        <f t="shared" si="28"/>
        <v/>
      </c>
      <c r="O425" s="27" t="str">
        <f>IF(I425="","",_xlfn.XLOOKUP(I425,Lists!$C:$C,Lists!$J:$J))</f>
        <v/>
      </c>
      <c r="P425" s="27" t="str">
        <f>IF(I425="","",_xlfn.XLOOKUP(I425,Lists!$C:$C,Lists!$E:$E))</f>
        <v/>
      </c>
      <c r="Q425" s="28" t="str">
        <f t="shared" si="29"/>
        <v/>
      </c>
      <c r="R425" s="26" t="str">
        <f t="shared" ca="1" si="30"/>
        <v/>
      </c>
      <c r="S425" s="27" t="str">
        <f>IF(I425="","",_xlfn.XLOOKUP(I425,Lists!$C:$C,Lists!$I:$I))</f>
        <v/>
      </c>
    </row>
    <row r="426" spans="3:19" x14ac:dyDescent="0.2">
      <c r="C426" s="26">
        <f>_xlfn.XLOOKUP(B426,Lists!B:B,Lists!A:A,"")</f>
        <v>0</v>
      </c>
      <c r="G426" s="26" t="str">
        <f t="shared" si="26"/>
        <v/>
      </c>
      <c r="H426" s="31" t="str">
        <f t="shared" si="27"/>
        <v/>
      </c>
      <c r="J426" s="27" t="str">
        <f>IF(I426="","",_xlfn.XLOOKUP(I426,Lists!$C:$C,Lists!$D:$D))</f>
        <v/>
      </c>
      <c r="N426" s="26" t="str">
        <f t="shared" si="28"/>
        <v/>
      </c>
      <c r="O426" s="27" t="str">
        <f>IF(I426="","",_xlfn.XLOOKUP(I426,Lists!$C:$C,Lists!$J:$J))</f>
        <v/>
      </c>
      <c r="P426" s="27" t="str">
        <f>IF(I426="","",_xlfn.XLOOKUP(I426,Lists!$C:$C,Lists!$E:$E))</f>
        <v/>
      </c>
      <c r="Q426" s="28" t="str">
        <f t="shared" si="29"/>
        <v/>
      </c>
      <c r="R426" s="26" t="str">
        <f t="shared" ca="1" si="30"/>
        <v/>
      </c>
      <c r="S426" s="27" t="str">
        <f>IF(I426="","",_xlfn.XLOOKUP(I426,Lists!$C:$C,Lists!$I:$I))</f>
        <v/>
      </c>
    </row>
    <row r="427" spans="3:19" x14ac:dyDescent="0.2">
      <c r="C427" s="26">
        <f>_xlfn.XLOOKUP(B427,Lists!B:B,Lists!A:A,"")</f>
        <v>0</v>
      </c>
      <c r="G427" s="26" t="str">
        <f t="shared" si="26"/>
        <v/>
      </c>
      <c r="H427" s="31" t="str">
        <f t="shared" si="27"/>
        <v/>
      </c>
      <c r="J427" s="27" t="str">
        <f>IF(I427="","",_xlfn.XLOOKUP(I427,Lists!$C:$C,Lists!$D:$D))</f>
        <v/>
      </c>
      <c r="N427" s="26" t="str">
        <f t="shared" si="28"/>
        <v/>
      </c>
      <c r="O427" s="27" t="str">
        <f>IF(I427="","",_xlfn.XLOOKUP(I427,Lists!$C:$C,Lists!$J:$J))</f>
        <v/>
      </c>
      <c r="P427" s="27" t="str">
        <f>IF(I427="","",_xlfn.XLOOKUP(I427,Lists!$C:$C,Lists!$E:$E))</f>
        <v/>
      </c>
      <c r="Q427" s="28" t="str">
        <f t="shared" si="29"/>
        <v/>
      </c>
      <c r="R427" s="26" t="str">
        <f t="shared" ca="1" si="30"/>
        <v/>
      </c>
      <c r="S427" s="27" t="str">
        <f>IF(I427="","",_xlfn.XLOOKUP(I427,Lists!$C:$C,Lists!$I:$I))</f>
        <v/>
      </c>
    </row>
    <row r="428" spans="3:19" x14ac:dyDescent="0.2">
      <c r="C428" s="26">
        <f>_xlfn.XLOOKUP(B428,Lists!B:B,Lists!A:A,"")</f>
        <v>0</v>
      </c>
      <c r="G428" s="26" t="str">
        <f t="shared" si="26"/>
        <v/>
      </c>
      <c r="H428" s="31" t="str">
        <f t="shared" si="27"/>
        <v/>
      </c>
      <c r="J428" s="27" t="str">
        <f>IF(I428="","",_xlfn.XLOOKUP(I428,Lists!$C:$C,Lists!$D:$D))</f>
        <v/>
      </c>
      <c r="N428" s="26" t="str">
        <f t="shared" si="28"/>
        <v/>
      </c>
      <c r="O428" s="27" t="str">
        <f>IF(I428="","",_xlfn.XLOOKUP(I428,Lists!$C:$C,Lists!$J:$J))</f>
        <v/>
      </c>
      <c r="P428" s="27" t="str">
        <f>IF(I428="","",_xlfn.XLOOKUP(I428,Lists!$C:$C,Lists!$E:$E))</f>
        <v/>
      </c>
      <c r="Q428" s="28" t="str">
        <f t="shared" si="29"/>
        <v/>
      </c>
      <c r="R428" s="26" t="str">
        <f t="shared" ca="1" si="30"/>
        <v/>
      </c>
      <c r="S428" s="27" t="str">
        <f>IF(I428="","",_xlfn.XLOOKUP(I428,Lists!$C:$C,Lists!$I:$I))</f>
        <v/>
      </c>
    </row>
    <row r="429" spans="3:19" x14ac:dyDescent="0.2">
      <c r="C429" s="26">
        <f>_xlfn.XLOOKUP(B429,Lists!B:B,Lists!A:A,"")</f>
        <v>0</v>
      </c>
      <c r="G429" s="26" t="str">
        <f t="shared" si="26"/>
        <v/>
      </c>
      <c r="H429" s="31" t="str">
        <f t="shared" si="27"/>
        <v/>
      </c>
      <c r="J429" s="27" t="str">
        <f>IF(I429="","",_xlfn.XLOOKUP(I429,Lists!$C:$C,Lists!$D:$D))</f>
        <v/>
      </c>
      <c r="N429" s="26" t="str">
        <f t="shared" si="28"/>
        <v/>
      </c>
      <c r="O429" s="27" t="str">
        <f>IF(I429="","",_xlfn.XLOOKUP(I429,Lists!$C:$C,Lists!$J:$J))</f>
        <v/>
      </c>
      <c r="P429" s="27" t="str">
        <f>IF(I429="","",_xlfn.XLOOKUP(I429,Lists!$C:$C,Lists!$E:$E))</f>
        <v/>
      </c>
      <c r="Q429" s="28" t="str">
        <f t="shared" si="29"/>
        <v/>
      </c>
      <c r="R429" s="26" t="str">
        <f t="shared" ca="1" si="30"/>
        <v/>
      </c>
      <c r="S429" s="27" t="str">
        <f>IF(I429="","",_xlfn.XLOOKUP(I429,Lists!$C:$C,Lists!$I:$I))</f>
        <v/>
      </c>
    </row>
    <row r="430" spans="3:19" x14ac:dyDescent="0.2">
      <c r="C430" s="26">
        <f>_xlfn.XLOOKUP(B430,Lists!B:B,Lists!A:A,"")</f>
        <v>0</v>
      </c>
      <c r="G430" s="26" t="str">
        <f t="shared" si="26"/>
        <v/>
      </c>
      <c r="H430" s="31" t="str">
        <f t="shared" si="27"/>
        <v/>
      </c>
      <c r="J430" s="27" t="str">
        <f>IF(I430="","",_xlfn.XLOOKUP(I430,Lists!$C:$C,Lists!$D:$D))</f>
        <v/>
      </c>
      <c r="N430" s="26" t="str">
        <f t="shared" si="28"/>
        <v/>
      </c>
      <c r="O430" s="27" t="str">
        <f>IF(I430="","",_xlfn.XLOOKUP(I430,Lists!$C:$C,Lists!$J:$J))</f>
        <v/>
      </c>
      <c r="P430" s="27" t="str">
        <f>IF(I430="","",_xlfn.XLOOKUP(I430,Lists!$C:$C,Lists!$E:$E))</f>
        <v/>
      </c>
      <c r="Q430" s="28" t="str">
        <f t="shared" si="29"/>
        <v/>
      </c>
      <c r="R430" s="26" t="str">
        <f t="shared" ca="1" si="30"/>
        <v/>
      </c>
      <c r="S430" s="27" t="str">
        <f>IF(I430="","",_xlfn.XLOOKUP(I430,Lists!$C:$C,Lists!$I:$I))</f>
        <v/>
      </c>
    </row>
    <row r="431" spans="3:19" x14ac:dyDescent="0.2">
      <c r="C431" s="26">
        <f>_xlfn.XLOOKUP(B431,Lists!B:B,Lists!A:A,"")</f>
        <v>0</v>
      </c>
      <c r="G431" s="26" t="str">
        <f t="shared" si="26"/>
        <v/>
      </c>
      <c r="H431" s="31" t="str">
        <f t="shared" si="27"/>
        <v/>
      </c>
      <c r="J431" s="27" t="str">
        <f>IF(I431="","",_xlfn.XLOOKUP(I431,Lists!$C:$C,Lists!$D:$D))</f>
        <v/>
      </c>
      <c r="N431" s="26" t="str">
        <f t="shared" si="28"/>
        <v/>
      </c>
      <c r="O431" s="27" t="str">
        <f>IF(I431="","",_xlfn.XLOOKUP(I431,Lists!$C:$C,Lists!$J:$J))</f>
        <v/>
      </c>
      <c r="P431" s="27" t="str">
        <f>IF(I431="","",_xlfn.XLOOKUP(I431,Lists!$C:$C,Lists!$E:$E))</f>
        <v/>
      </c>
      <c r="Q431" s="28" t="str">
        <f t="shared" si="29"/>
        <v/>
      </c>
      <c r="R431" s="26" t="str">
        <f t="shared" ca="1" si="30"/>
        <v/>
      </c>
      <c r="S431" s="27" t="str">
        <f>IF(I431="","",_xlfn.XLOOKUP(I431,Lists!$C:$C,Lists!$I:$I))</f>
        <v/>
      </c>
    </row>
    <row r="432" spans="3:19" x14ac:dyDescent="0.2">
      <c r="C432" s="26">
        <f>_xlfn.XLOOKUP(B432,Lists!B:B,Lists!A:A,"")</f>
        <v>0</v>
      </c>
      <c r="G432" s="26" t="str">
        <f t="shared" si="26"/>
        <v/>
      </c>
      <c r="H432" s="31" t="str">
        <f t="shared" si="27"/>
        <v/>
      </c>
      <c r="J432" s="27" t="str">
        <f>IF(I432="","",_xlfn.XLOOKUP(I432,Lists!$C:$C,Lists!$D:$D))</f>
        <v/>
      </c>
      <c r="N432" s="26" t="str">
        <f t="shared" si="28"/>
        <v/>
      </c>
      <c r="O432" s="27" t="str">
        <f>IF(I432="","",_xlfn.XLOOKUP(I432,Lists!$C:$C,Lists!$J:$J))</f>
        <v/>
      </c>
      <c r="P432" s="27" t="str">
        <f>IF(I432="","",_xlfn.XLOOKUP(I432,Lists!$C:$C,Lists!$E:$E))</f>
        <v/>
      </c>
      <c r="Q432" s="28" t="str">
        <f t="shared" si="29"/>
        <v/>
      </c>
      <c r="R432" s="26" t="str">
        <f t="shared" ca="1" si="30"/>
        <v/>
      </c>
      <c r="S432" s="27" t="str">
        <f>IF(I432="","",_xlfn.XLOOKUP(I432,Lists!$C:$C,Lists!$I:$I))</f>
        <v/>
      </c>
    </row>
    <row r="433" spans="3:19" x14ac:dyDescent="0.2">
      <c r="C433" s="26">
        <f>_xlfn.XLOOKUP(B433,Lists!B:B,Lists!A:A,"")</f>
        <v>0</v>
      </c>
      <c r="G433" s="26" t="str">
        <f t="shared" si="26"/>
        <v/>
      </c>
      <c r="H433" s="31" t="str">
        <f t="shared" si="27"/>
        <v/>
      </c>
      <c r="J433" s="27" t="str">
        <f>IF(I433="","",_xlfn.XLOOKUP(I433,Lists!$C:$C,Lists!$D:$D))</f>
        <v/>
      </c>
      <c r="N433" s="26" t="str">
        <f t="shared" si="28"/>
        <v/>
      </c>
      <c r="O433" s="27" t="str">
        <f>IF(I433="","",_xlfn.XLOOKUP(I433,Lists!$C:$C,Lists!$J:$J))</f>
        <v/>
      </c>
      <c r="P433" s="27" t="str">
        <f>IF(I433="","",_xlfn.XLOOKUP(I433,Lists!$C:$C,Lists!$E:$E))</f>
        <v/>
      </c>
      <c r="Q433" s="28" t="str">
        <f t="shared" si="29"/>
        <v/>
      </c>
      <c r="R433" s="26" t="str">
        <f t="shared" ca="1" si="30"/>
        <v/>
      </c>
      <c r="S433" s="27" t="str">
        <f>IF(I433="","",_xlfn.XLOOKUP(I433,Lists!$C:$C,Lists!$I:$I))</f>
        <v/>
      </c>
    </row>
    <row r="434" spans="3:19" x14ac:dyDescent="0.2">
      <c r="C434" s="26">
        <f>_xlfn.XLOOKUP(B434,Lists!B:B,Lists!A:A,"")</f>
        <v>0</v>
      </c>
      <c r="G434" s="26" t="str">
        <f t="shared" si="26"/>
        <v/>
      </c>
      <c r="H434" s="31" t="str">
        <f t="shared" si="27"/>
        <v/>
      </c>
      <c r="J434" s="27" t="str">
        <f>IF(I434="","",_xlfn.XLOOKUP(I434,Lists!$C:$C,Lists!$D:$D))</f>
        <v/>
      </c>
      <c r="N434" s="26" t="str">
        <f t="shared" si="28"/>
        <v/>
      </c>
      <c r="O434" s="27" t="str">
        <f>IF(I434="","",_xlfn.XLOOKUP(I434,Lists!$C:$C,Lists!$J:$J))</f>
        <v/>
      </c>
      <c r="P434" s="27" t="str">
        <f>IF(I434="","",_xlfn.XLOOKUP(I434,Lists!$C:$C,Lists!$E:$E))</f>
        <v/>
      </c>
      <c r="Q434" s="28" t="str">
        <f t="shared" si="29"/>
        <v/>
      </c>
      <c r="R434" s="26" t="str">
        <f t="shared" ca="1" si="30"/>
        <v/>
      </c>
      <c r="S434" s="27" t="str">
        <f>IF(I434="","",_xlfn.XLOOKUP(I434,Lists!$C:$C,Lists!$I:$I))</f>
        <v/>
      </c>
    </row>
    <row r="435" spans="3:19" x14ac:dyDescent="0.2">
      <c r="C435" s="26">
        <f>_xlfn.XLOOKUP(B435,Lists!B:B,Lists!A:A,"")</f>
        <v>0</v>
      </c>
      <c r="G435" s="26" t="str">
        <f t="shared" si="26"/>
        <v/>
      </c>
      <c r="H435" s="31" t="str">
        <f t="shared" si="27"/>
        <v/>
      </c>
      <c r="J435" s="27" t="str">
        <f>IF(I435="","",_xlfn.XLOOKUP(I435,Lists!$C:$C,Lists!$D:$D))</f>
        <v/>
      </c>
      <c r="N435" s="26" t="str">
        <f t="shared" si="28"/>
        <v/>
      </c>
      <c r="O435" s="27" t="str">
        <f>IF(I435="","",_xlfn.XLOOKUP(I435,Lists!$C:$C,Lists!$J:$J))</f>
        <v/>
      </c>
      <c r="P435" s="27" t="str">
        <f>IF(I435="","",_xlfn.XLOOKUP(I435,Lists!$C:$C,Lists!$E:$E))</f>
        <v/>
      </c>
      <c r="Q435" s="28" t="str">
        <f t="shared" si="29"/>
        <v/>
      </c>
      <c r="R435" s="26" t="str">
        <f t="shared" ca="1" si="30"/>
        <v/>
      </c>
      <c r="S435" s="27" t="str">
        <f>IF(I435="","",_xlfn.XLOOKUP(I435,Lists!$C:$C,Lists!$I:$I))</f>
        <v/>
      </c>
    </row>
    <row r="436" spans="3:19" x14ac:dyDescent="0.2">
      <c r="C436" s="26">
        <f>_xlfn.XLOOKUP(B436,Lists!B:B,Lists!A:A,"")</f>
        <v>0</v>
      </c>
      <c r="G436" s="26" t="str">
        <f t="shared" si="26"/>
        <v/>
      </c>
      <c r="H436" s="31" t="str">
        <f t="shared" si="27"/>
        <v/>
      </c>
      <c r="J436" s="27" t="str">
        <f>IF(I436="","",_xlfn.XLOOKUP(I436,Lists!$C:$C,Lists!$D:$D))</f>
        <v/>
      </c>
      <c r="N436" s="26" t="str">
        <f t="shared" si="28"/>
        <v/>
      </c>
      <c r="O436" s="27" t="str">
        <f>IF(I436="","",_xlfn.XLOOKUP(I436,Lists!$C:$C,Lists!$J:$J))</f>
        <v/>
      </c>
      <c r="P436" s="27" t="str">
        <f>IF(I436="","",_xlfn.XLOOKUP(I436,Lists!$C:$C,Lists!$E:$E))</f>
        <v/>
      </c>
      <c r="Q436" s="28" t="str">
        <f t="shared" si="29"/>
        <v/>
      </c>
      <c r="R436" s="26" t="str">
        <f t="shared" ca="1" si="30"/>
        <v/>
      </c>
      <c r="S436" s="27" t="str">
        <f>IF(I436="","",_xlfn.XLOOKUP(I436,Lists!$C:$C,Lists!$I:$I))</f>
        <v/>
      </c>
    </row>
    <row r="437" spans="3:19" x14ac:dyDescent="0.2">
      <c r="C437" s="26">
        <f>_xlfn.XLOOKUP(B437,Lists!B:B,Lists!A:A,"")</f>
        <v>0</v>
      </c>
      <c r="G437" s="26" t="str">
        <f t="shared" si="26"/>
        <v/>
      </c>
      <c r="H437" s="31" t="str">
        <f t="shared" si="27"/>
        <v/>
      </c>
      <c r="J437" s="27" t="str">
        <f>IF(I437="","",_xlfn.XLOOKUP(I437,Lists!$C:$C,Lists!$D:$D))</f>
        <v/>
      </c>
      <c r="N437" s="26" t="str">
        <f t="shared" si="28"/>
        <v/>
      </c>
      <c r="O437" s="27" t="str">
        <f>IF(I437="","",_xlfn.XLOOKUP(I437,Lists!$C:$C,Lists!$J:$J))</f>
        <v/>
      </c>
      <c r="P437" s="27" t="str">
        <f>IF(I437="","",_xlfn.XLOOKUP(I437,Lists!$C:$C,Lists!$E:$E))</f>
        <v/>
      </c>
      <c r="Q437" s="28" t="str">
        <f t="shared" si="29"/>
        <v/>
      </c>
      <c r="R437" s="26" t="str">
        <f t="shared" ca="1" si="30"/>
        <v/>
      </c>
      <c r="S437" s="27" t="str">
        <f>IF(I437="","",_xlfn.XLOOKUP(I437,Lists!$C:$C,Lists!$I:$I))</f>
        <v/>
      </c>
    </row>
    <row r="438" spans="3:19" x14ac:dyDescent="0.2">
      <c r="C438" s="26">
        <f>_xlfn.XLOOKUP(B438,Lists!B:B,Lists!A:A,"")</f>
        <v>0</v>
      </c>
      <c r="G438" s="26" t="str">
        <f t="shared" si="26"/>
        <v/>
      </c>
      <c r="H438" s="31" t="str">
        <f t="shared" si="27"/>
        <v/>
      </c>
      <c r="J438" s="27" t="str">
        <f>IF(I438="","",_xlfn.XLOOKUP(I438,Lists!$C:$C,Lists!$D:$D))</f>
        <v/>
      </c>
      <c r="N438" s="26" t="str">
        <f t="shared" si="28"/>
        <v/>
      </c>
      <c r="O438" s="27" t="str">
        <f>IF(I438="","",_xlfn.XLOOKUP(I438,Lists!$C:$C,Lists!$J:$J))</f>
        <v/>
      </c>
      <c r="P438" s="27" t="str">
        <f>IF(I438="","",_xlfn.XLOOKUP(I438,Lists!$C:$C,Lists!$E:$E))</f>
        <v/>
      </c>
      <c r="Q438" s="28" t="str">
        <f t="shared" si="29"/>
        <v/>
      </c>
      <c r="R438" s="26" t="str">
        <f t="shared" ca="1" si="30"/>
        <v/>
      </c>
      <c r="S438" s="27" t="str">
        <f>IF(I438="","",_xlfn.XLOOKUP(I438,Lists!$C:$C,Lists!$I:$I))</f>
        <v/>
      </c>
    </row>
    <row r="439" spans="3:19" x14ac:dyDescent="0.2">
      <c r="C439" s="26">
        <f>_xlfn.XLOOKUP(B439,Lists!B:B,Lists!A:A,"")</f>
        <v>0</v>
      </c>
      <c r="G439" s="26" t="str">
        <f t="shared" si="26"/>
        <v/>
      </c>
      <c r="H439" s="31" t="str">
        <f t="shared" si="27"/>
        <v/>
      </c>
      <c r="J439" s="27" t="str">
        <f>IF(I439="","",_xlfn.XLOOKUP(I439,Lists!$C:$C,Lists!$D:$D))</f>
        <v/>
      </c>
      <c r="N439" s="26" t="str">
        <f t="shared" si="28"/>
        <v/>
      </c>
      <c r="O439" s="27" t="str">
        <f>IF(I439="","",_xlfn.XLOOKUP(I439,Lists!$C:$C,Lists!$J:$J))</f>
        <v/>
      </c>
      <c r="P439" s="27" t="str">
        <f>IF(I439="","",_xlfn.XLOOKUP(I439,Lists!$C:$C,Lists!$E:$E))</f>
        <v/>
      </c>
      <c r="Q439" s="28" t="str">
        <f t="shared" si="29"/>
        <v/>
      </c>
      <c r="R439" s="26" t="str">
        <f t="shared" ca="1" si="30"/>
        <v/>
      </c>
      <c r="S439" s="27" t="str">
        <f>IF(I439="","",_xlfn.XLOOKUP(I439,Lists!$C:$C,Lists!$I:$I))</f>
        <v/>
      </c>
    </row>
    <row r="440" spans="3:19" x14ac:dyDescent="0.2">
      <c r="C440" s="26">
        <f>_xlfn.XLOOKUP(B440,Lists!B:B,Lists!A:A,"")</f>
        <v>0</v>
      </c>
      <c r="G440" s="26" t="str">
        <f t="shared" si="26"/>
        <v/>
      </c>
      <c r="H440" s="31" t="str">
        <f t="shared" si="27"/>
        <v/>
      </c>
      <c r="J440" s="27" t="str">
        <f>IF(I440="","",_xlfn.XLOOKUP(I440,Lists!$C:$C,Lists!$D:$D))</f>
        <v/>
      </c>
      <c r="N440" s="26" t="str">
        <f t="shared" si="28"/>
        <v/>
      </c>
      <c r="O440" s="27" t="str">
        <f>IF(I440="","",_xlfn.XLOOKUP(I440,Lists!$C:$C,Lists!$J:$J))</f>
        <v/>
      </c>
      <c r="P440" s="27" t="str">
        <f>IF(I440="","",_xlfn.XLOOKUP(I440,Lists!$C:$C,Lists!$E:$E))</f>
        <v/>
      </c>
      <c r="Q440" s="28" t="str">
        <f t="shared" si="29"/>
        <v/>
      </c>
      <c r="R440" s="26" t="str">
        <f t="shared" ca="1" si="30"/>
        <v/>
      </c>
      <c r="S440" s="27" t="str">
        <f>IF(I440="","",_xlfn.XLOOKUP(I440,Lists!$C:$C,Lists!$I:$I))</f>
        <v/>
      </c>
    </row>
    <row r="441" spans="3:19" x14ac:dyDescent="0.2">
      <c r="C441" s="26">
        <f>_xlfn.XLOOKUP(B441,Lists!B:B,Lists!A:A,"")</f>
        <v>0</v>
      </c>
      <c r="G441" s="26" t="str">
        <f t="shared" si="26"/>
        <v/>
      </c>
      <c r="H441" s="31" t="str">
        <f t="shared" si="27"/>
        <v/>
      </c>
      <c r="J441" s="27" t="str">
        <f>IF(I441="","",_xlfn.XLOOKUP(I441,Lists!$C:$C,Lists!$D:$D))</f>
        <v/>
      </c>
      <c r="N441" s="26" t="str">
        <f t="shared" si="28"/>
        <v/>
      </c>
      <c r="O441" s="27" t="str">
        <f>IF(I441="","",_xlfn.XLOOKUP(I441,Lists!$C:$C,Lists!$J:$J))</f>
        <v/>
      </c>
      <c r="P441" s="27" t="str">
        <f>IF(I441="","",_xlfn.XLOOKUP(I441,Lists!$C:$C,Lists!$E:$E))</f>
        <v/>
      </c>
      <c r="Q441" s="28" t="str">
        <f t="shared" si="29"/>
        <v/>
      </c>
      <c r="R441" s="26" t="str">
        <f t="shared" ca="1" si="30"/>
        <v/>
      </c>
      <c r="S441" s="27" t="str">
        <f>IF(I441="","",_xlfn.XLOOKUP(I441,Lists!$C:$C,Lists!$I:$I))</f>
        <v/>
      </c>
    </row>
    <row r="442" spans="3:19" x14ac:dyDescent="0.2">
      <c r="C442" s="26">
        <f>_xlfn.XLOOKUP(B442,Lists!B:B,Lists!A:A,"")</f>
        <v>0</v>
      </c>
      <c r="G442" s="26" t="str">
        <f t="shared" si="26"/>
        <v/>
      </c>
      <c r="H442" s="31" t="str">
        <f t="shared" si="27"/>
        <v/>
      </c>
      <c r="J442" s="27" t="str">
        <f>IF(I442="","",_xlfn.XLOOKUP(I442,Lists!$C:$C,Lists!$D:$D))</f>
        <v/>
      </c>
      <c r="N442" s="26" t="str">
        <f t="shared" si="28"/>
        <v/>
      </c>
      <c r="O442" s="27" t="str">
        <f>IF(I442="","",_xlfn.XLOOKUP(I442,Lists!$C:$C,Lists!$J:$J))</f>
        <v/>
      </c>
      <c r="P442" s="27" t="str">
        <f>IF(I442="","",_xlfn.XLOOKUP(I442,Lists!$C:$C,Lists!$E:$E))</f>
        <v/>
      </c>
      <c r="Q442" s="28" t="str">
        <f t="shared" si="29"/>
        <v/>
      </c>
      <c r="R442" s="26" t="str">
        <f t="shared" ca="1" si="30"/>
        <v/>
      </c>
      <c r="S442" s="27" t="str">
        <f>IF(I442="","",_xlfn.XLOOKUP(I442,Lists!$C:$C,Lists!$I:$I))</f>
        <v/>
      </c>
    </row>
    <row r="443" spans="3:19" x14ac:dyDescent="0.2">
      <c r="C443" s="26">
        <f>_xlfn.XLOOKUP(B443,Lists!B:B,Lists!A:A,"")</f>
        <v>0</v>
      </c>
      <c r="G443" s="26" t="str">
        <f t="shared" si="26"/>
        <v/>
      </c>
      <c r="H443" s="31" t="str">
        <f t="shared" si="27"/>
        <v/>
      </c>
      <c r="J443" s="27" t="str">
        <f>IF(I443="","",_xlfn.XLOOKUP(I443,Lists!$C:$C,Lists!$D:$D))</f>
        <v/>
      </c>
      <c r="N443" s="26" t="str">
        <f t="shared" si="28"/>
        <v/>
      </c>
      <c r="O443" s="27" t="str">
        <f>IF(I443="","",_xlfn.XLOOKUP(I443,Lists!$C:$C,Lists!$J:$J))</f>
        <v/>
      </c>
      <c r="P443" s="27" t="str">
        <f>IF(I443="","",_xlfn.XLOOKUP(I443,Lists!$C:$C,Lists!$E:$E))</f>
        <v/>
      </c>
      <c r="Q443" s="28" t="str">
        <f t="shared" si="29"/>
        <v/>
      </c>
      <c r="R443" s="26" t="str">
        <f t="shared" ca="1" si="30"/>
        <v/>
      </c>
      <c r="S443" s="27" t="str">
        <f>IF(I443="","",_xlfn.XLOOKUP(I443,Lists!$C:$C,Lists!$I:$I))</f>
        <v/>
      </c>
    </row>
    <row r="444" spans="3:19" x14ac:dyDescent="0.2">
      <c r="C444" s="26">
        <f>_xlfn.XLOOKUP(B444,Lists!B:B,Lists!A:A,"")</f>
        <v>0</v>
      </c>
      <c r="G444" s="26" t="str">
        <f t="shared" si="26"/>
        <v/>
      </c>
      <c r="H444" s="31" t="str">
        <f t="shared" si="27"/>
        <v/>
      </c>
      <c r="J444" s="27" t="str">
        <f>IF(I444="","",_xlfn.XLOOKUP(I444,Lists!$C:$C,Lists!$D:$D))</f>
        <v/>
      </c>
      <c r="N444" s="26" t="str">
        <f t="shared" si="28"/>
        <v/>
      </c>
      <c r="O444" s="27" t="str">
        <f>IF(I444="","",_xlfn.XLOOKUP(I444,Lists!$C:$C,Lists!$J:$J))</f>
        <v/>
      </c>
      <c r="P444" s="27" t="str">
        <f>IF(I444="","",_xlfn.XLOOKUP(I444,Lists!$C:$C,Lists!$E:$E))</f>
        <v/>
      </c>
      <c r="Q444" s="28" t="str">
        <f t="shared" si="29"/>
        <v/>
      </c>
      <c r="R444" s="26" t="str">
        <f t="shared" ca="1" si="30"/>
        <v/>
      </c>
      <c r="S444" s="27" t="str">
        <f>IF(I444="","",_xlfn.XLOOKUP(I444,Lists!$C:$C,Lists!$I:$I))</f>
        <v/>
      </c>
    </row>
    <row r="445" spans="3:19" x14ac:dyDescent="0.2">
      <c r="C445" s="26">
        <f>_xlfn.XLOOKUP(B445,Lists!B:B,Lists!A:A,"")</f>
        <v>0</v>
      </c>
      <c r="G445" s="26" t="str">
        <f t="shared" si="26"/>
        <v/>
      </c>
      <c r="H445" s="31" t="str">
        <f t="shared" si="27"/>
        <v/>
      </c>
      <c r="J445" s="27" t="str">
        <f>IF(I445="","",_xlfn.XLOOKUP(I445,Lists!$C:$C,Lists!$D:$D))</f>
        <v/>
      </c>
      <c r="N445" s="26" t="str">
        <f t="shared" si="28"/>
        <v/>
      </c>
      <c r="O445" s="27" t="str">
        <f>IF(I445="","",_xlfn.XLOOKUP(I445,Lists!$C:$C,Lists!$J:$J))</f>
        <v/>
      </c>
      <c r="P445" s="27" t="str">
        <f>IF(I445="","",_xlfn.XLOOKUP(I445,Lists!$C:$C,Lists!$E:$E))</f>
        <v/>
      </c>
      <c r="Q445" s="28" t="str">
        <f t="shared" si="29"/>
        <v/>
      </c>
      <c r="R445" s="26" t="str">
        <f t="shared" ca="1" si="30"/>
        <v/>
      </c>
      <c r="S445" s="27" t="str">
        <f>IF(I445="","",_xlfn.XLOOKUP(I445,Lists!$C:$C,Lists!$I:$I))</f>
        <v/>
      </c>
    </row>
    <row r="446" spans="3:19" x14ac:dyDescent="0.2">
      <c r="C446" s="26">
        <f>_xlfn.XLOOKUP(B446,Lists!B:B,Lists!A:A,"")</f>
        <v>0</v>
      </c>
      <c r="G446" s="26" t="str">
        <f t="shared" si="26"/>
        <v/>
      </c>
      <c r="H446" s="31" t="str">
        <f t="shared" si="27"/>
        <v/>
      </c>
      <c r="J446" s="27" t="str">
        <f>IF(I446="","",_xlfn.XLOOKUP(I446,Lists!$C:$C,Lists!$D:$D))</f>
        <v/>
      </c>
      <c r="N446" s="26" t="str">
        <f t="shared" si="28"/>
        <v/>
      </c>
      <c r="O446" s="27" t="str">
        <f>IF(I446="","",_xlfn.XLOOKUP(I446,Lists!$C:$C,Lists!$J:$J))</f>
        <v/>
      </c>
      <c r="P446" s="27" t="str">
        <f>IF(I446="","",_xlfn.XLOOKUP(I446,Lists!$C:$C,Lists!$E:$E))</f>
        <v/>
      </c>
      <c r="Q446" s="28" t="str">
        <f t="shared" si="29"/>
        <v/>
      </c>
      <c r="R446" s="26" t="str">
        <f t="shared" ca="1" si="30"/>
        <v/>
      </c>
      <c r="S446" s="27" t="str">
        <f>IF(I446="","",_xlfn.XLOOKUP(I446,Lists!$C:$C,Lists!$I:$I))</f>
        <v/>
      </c>
    </row>
    <row r="447" spans="3:19" x14ac:dyDescent="0.2">
      <c r="C447" s="26">
        <f>_xlfn.XLOOKUP(B447,Lists!B:B,Lists!A:A,"")</f>
        <v>0</v>
      </c>
      <c r="G447" s="26" t="str">
        <f t="shared" si="26"/>
        <v/>
      </c>
      <c r="H447" s="31" t="str">
        <f t="shared" si="27"/>
        <v/>
      </c>
      <c r="J447" s="27" t="str">
        <f>IF(I447="","",_xlfn.XLOOKUP(I447,Lists!$C:$C,Lists!$D:$D))</f>
        <v/>
      </c>
      <c r="N447" s="26" t="str">
        <f t="shared" si="28"/>
        <v/>
      </c>
      <c r="O447" s="27" t="str">
        <f>IF(I447="","",_xlfn.XLOOKUP(I447,Lists!$C:$C,Lists!$J:$J))</f>
        <v/>
      </c>
      <c r="P447" s="27" t="str">
        <f>IF(I447="","",_xlfn.XLOOKUP(I447,Lists!$C:$C,Lists!$E:$E))</f>
        <v/>
      </c>
      <c r="Q447" s="28" t="str">
        <f t="shared" si="29"/>
        <v/>
      </c>
      <c r="R447" s="26" t="str">
        <f t="shared" ca="1" si="30"/>
        <v/>
      </c>
      <c r="S447" s="27" t="str">
        <f>IF(I447="","",_xlfn.XLOOKUP(I447,Lists!$C:$C,Lists!$I:$I))</f>
        <v/>
      </c>
    </row>
    <row r="448" spans="3:19" x14ac:dyDescent="0.2">
      <c r="C448" s="26">
        <f>_xlfn.XLOOKUP(B448,Lists!B:B,Lists!A:A,"")</f>
        <v>0</v>
      </c>
      <c r="G448" s="26" t="str">
        <f t="shared" si="26"/>
        <v/>
      </c>
      <c r="H448" s="31" t="str">
        <f t="shared" si="27"/>
        <v/>
      </c>
      <c r="J448" s="27" t="str">
        <f>IF(I448="","",_xlfn.XLOOKUP(I448,Lists!$C:$C,Lists!$D:$D))</f>
        <v/>
      </c>
      <c r="N448" s="26" t="str">
        <f t="shared" si="28"/>
        <v/>
      </c>
      <c r="O448" s="27" t="str">
        <f>IF(I448="","",_xlfn.XLOOKUP(I448,Lists!$C:$C,Lists!$J:$J))</f>
        <v/>
      </c>
      <c r="P448" s="27" t="str">
        <f>IF(I448="","",_xlfn.XLOOKUP(I448,Lists!$C:$C,Lists!$E:$E))</f>
        <v/>
      </c>
      <c r="Q448" s="28" t="str">
        <f t="shared" si="29"/>
        <v/>
      </c>
      <c r="R448" s="26" t="str">
        <f t="shared" ca="1" si="30"/>
        <v/>
      </c>
      <c r="S448" s="27" t="str">
        <f>IF(I448="","",_xlfn.XLOOKUP(I448,Lists!$C:$C,Lists!$I:$I))</f>
        <v/>
      </c>
    </row>
    <row r="449" spans="3:19" x14ac:dyDescent="0.2">
      <c r="C449" s="26">
        <f>_xlfn.XLOOKUP(B449,Lists!B:B,Lists!A:A,"")</f>
        <v>0</v>
      </c>
      <c r="G449" s="26" t="str">
        <f t="shared" si="26"/>
        <v/>
      </c>
      <c r="H449" s="31" t="str">
        <f t="shared" si="27"/>
        <v/>
      </c>
      <c r="J449" s="27" t="str">
        <f>IF(I449="","",_xlfn.XLOOKUP(I449,Lists!$C:$C,Lists!$D:$D))</f>
        <v/>
      </c>
      <c r="N449" s="26" t="str">
        <f t="shared" si="28"/>
        <v/>
      </c>
      <c r="O449" s="27" t="str">
        <f>IF(I449="","",_xlfn.XLOOKUP(I449,Lists!$C:$C,Lists!$J:$J))</f>
        <v/>
      </c>
      <c r="P449" s="27" t="str">
        <f>IF(I449="","",_xlfn.XLOOKUP(I449,Lists!$C:$C,Lists!$E:$E))</f>
        <v/>
      </c>
      <c r="Q449" s="28" t="str">
        <f t="shared" si="29"/>
        <v/>
      </c>
      <c r="R449" s="26" t="str">
        <f t="shared" ca="1" si="30"/>
        <v/>
      </c>
      <c r="S449" s="27" t="str">
        <f>IF(I449="","",_xlfn.XLOOKUP(I449,Lists!$C:$C,Lists!$I:$I))</f>
        <v/>
      </c>
    </row>
    <row r="450" spans="3:19" x14ac:dyDescent="0.2">
      <c r="C450" s="26">
        <f>_xlfn.XLOOKUP(B450,Lists!B:B,Lists!A:A,"")</f>
        <v>0</v>
      </c>
      <c r="G450" s="26" t="str">
        <f t="shared" si="26"/>
        <v/>
      </c>
      <c r="H450" s="31" t="str">
        <f t="shared" si="27"/>
        <v/>
      </c>
      <c r="J450" s="27" t="str">
        <f>IF(I450="","",_xlfn.XLOOKUP(I450,Lists!$C:$C,Lists!$D:$D))</f>
        <v/>
      </c>
      <c r="N450" s="26" t="str">
        <f t="shared" si="28"/>
        <v/>
      </c>
      <c r="O450" s="27" t="str">
        <f>IF(I450="","",_xlfn.XLOOKUP(I450,Lists!$C:$C,Lists!$J:$J))</f>
        <v/>
      </c>
      <c r="P450" s="27" t="str">
        <f>IF(I450="","",_xlfn.XLOOKUP(I450,Lists!$C:$C,Lists!$E:$E))</f>
        <v/>
      </c>
      <c r="Q450" s="28" t="str">
        <f t="shared" si="29"/>
        <v/>
      </c>
      <c r="R450" s="26" t="str">
        <f t="shared" ca="1" si="30"/>
        <v/>
      </c>
      <c r="S450" s="27" t="str">
        <f>IF(I450="","",_xlfn.XLOOKUP(I450,Lists!$C:$C,Lists!$I:$I))</f>
        <v/>
      </c>
    </row>
    <row r="451" spans="3:19" x14ac:dyDescent="0.2">
      <c r="C451" s="26">
        <f>_xlfn.XLOOKUP(B451,Lists!B:B,Lists!A:A,"")</f>
        <v>0</v>
      </c>
      <c r="G451" s="26" t="str">
        <f t="shared" si="26"/>
        <v/>
      </c>
      <c r="H451" s="31" t="str">
        <f t="shared" si="27"/>
        <v/>
      </c>
      <c r="J451" s="27" t="str">
        <f>IF(I451="","",_xlfn.XLOOKUP(I451,Lists!$C:$C,Lists!$D:$D))</f>
        <v/>
      </c>
      <c r="N451" s="26" t="str">
        <f t="shared" si="28"/>
        <v/>
      </c>
      <c r="O451" s="27" t="str">
        <f>IF(I451="","",_xlfn.XLOOKUP(I451,Lists!$C:$C,Lists!$J:$J))</f>
        <v/>
      </c>
      <c r="P451" s="27" t="str">
        <f>IF(I451="","",_xlfn.XLOOKUP(I451,Lists!$C:$C,Lists!$E:$E))</f>
        <v/>
      </c>
      <c r="Q451" s="28" t="str">
        <f t="shared" si="29"/>
        <v/>
      </c>
      <c r="R451" s="26" t="str">
        <f t="shared" ca="1" si="30"/>
        <v/>
      </c>
      <c r="S451" s="27" t="str">
        <f>IF(I451="","",_xlfn.XLOOKUP(I451,Lists!$C:$C,Lists!$I:$I))</f>
        <v/>
      </c>
    </row>
    <row r="452" spans="3:19" x14ac:dyDescent="0.2">
      <c r="C452" s="26">
        <f>_xlfn.XLOOKUP(B452,Lists!B:B,Lists!A:A,"")</f>
        <v>0</v>
      </c>
      <c r="G452" s="26" t="str">
        <f t="shared" si="26"/>
        <v/>
      </c>
      <c r="H452" s="31" t="str">
        <f t="shared" si="27"/>
        <v/>
      </c>
      <c r="J452" s="27" t="str">
        <f>IF(I452="","",_xlfn.XLOOKUP(I452,Lists!$C:$C,Lists!$D:$D))</f>
        <v/>
      </c>
      <c r="N452" s="26" t="str">
        <f t="shared" si="28"/>
        <v/>
      </c>
      <c r="O452" s="27" t="str">
        <f>IF(I452="","",_xlfn.XLOOKUP(I452,Lists!$C:$C,Lists!$J:$J))</f>
        <v/>
      </c>
      <c r="P452" s="27" t="str">
        <f>IF(I452="","",_xlfn.XLOOKUP(I452,Lists!$C:$C,Lists!$E:$E))</f>
        <v/>
      </c>
      <c r="Q452" s="28" t="str">
        <f t="shared" si="29"/>
        <v/>
      </c>
      <c r="R452" s="26" t="str">
        <f t="shared" ca="1" si="30"/>
        <v/>
      </c>
      <c r="S452" s="27" t="str">
        <f>IF(I452="","",_xlfn.XLOOKUP(I452,Lists!$C:$C,Lists!$I:$I))</f>
        <v/>
      </c>
    </row>
    <row r="453" spans="3:19" x14ac:dyDescent="0.2">
      <c r="C453" s="26">
        <f>_xlfn.XLOOKUP(B453,Lists!B:B,Lists!A:A,"")</f>
        <v>0</v>
      </c>
      <c r="G453" s="26" t="str">
        <f t="shared" si="26"/>
        <v/>
      </c>
      <c r="H453" s="31" t="str">
        <f t="shared" si="27"/>
        <v/>
      </c>
      <c r="J453" s="27" t="str">
        <f>IF(I453="","",_xlfn.XLOOKUP(I453,Lists!$C:$C,Lists!$D:$D))</f>
        <v/>
      </c>
      <c r="N453" s="26" t="str">
        <f t="shared" si="28"/>
        <v/>
      </c>
      <c r="O453" s="27" t="str">
        <f>IF(I453="","",_xlfn.XLOOKUP(I453,Lists!$C:$C,Lists!$J:$J))</f>
        <v/>
      </c>
      <c r="P453" s="27" t="str">
        <f>IF(I453="","",_xlfn.XLOOKUP(I453,Lists!$C:$C,Lists!$E:$E))</f>
        <v/>
      </c>
      <c r="Q453" s="28" t="str">
        <f t="shared" si="29"/>
        <v/>
      </c>
      <c r="R453" s="26" t="str">
        <f t="shared" ca="1" si="30"/>
        <v/>
      </c>
      <c r="S453" s="27" t="str">
        <f>IF(I453="","",_xlfn.XLOOKUP(I453,Lists!$C:$C,Lists!$I:$I))</f>
        <v/>
      </c>
    </row>
    <row r="454" spans="3:19" x14ac:dyDescent="0.2">
      <c r="C454" s="26">
        <f>_xlfn.XLOOKUP(B454,Lists!B:B,Lists!A:A,"")</f>
        <v>0</v>
      </c>
      <c r="G454" s="26" t="str">
        <f t="shared" si="26"/>
        <v/>
      </c>
      <c r="H454" s="31" t="str">
        <f t="shared" si="27"/>
        <v/>
      </c>
      <c r="J454" s="27" t="str">
        <f>IF(I454="","",_xlfn.XLOOKUP(I454,Lists!$C:$C,Lists!$D:$D))</f>
        <v/>
      </c>
      <c r="N454" s="26" t="str">
        <f t="shared" si="28"/>
        <v/>
      </c>
      <c r="O454" s="27" t="str">
        <f>IF(I454="","",_xlfn.XLOOKUP(I454,Lists!$C:$C,Lists!$J:$J))</f>
        <v/>
      </c>
      <c r="P454" s="27" t="str">
        <f>IF(I454="","",_xlfn.XLOOKUP(I454,Lists!$C:$C,Lists!$E:$E))</f>
        <v/>
      </c>
      <c r="Q454" s="28" t="str">
        <f t="shared" si="29"/>
        <v/>
      </c>
      <c r="R454" s="26" t="str">
        <f t="shared" ca="1" si="30"/>
        <v/>
      </c>
      <c r="S454" s="27" t="str">
        <f>IF(I454="","",_xlfn.XLOOKUP(I454,Lists!$C:$C,Lists!$I:$I))</f>
        <v/>
      </c>
    </row>
    <row r="455" spans="3:19" x14ac:dyDescent="0.2">
      <c r="C455" s="26">
        <f>_xlfn.XLOOKUP(B455,Lists!B:B,Lists!A:A,"")</f>
        <v>0</v>
      </c>
      <c r="G455" s="26" t="str">
        <f t="shared" si="26"/>
        <v/>
      </c>
      <c r="H455" s="31" t="str">
        <f t="shared" si="27"/>
        <v/>
      </c>
      <c r="J455" s="27" t="str">
        <f>IF(I455="","",_xlfn.XLOOKUP(I455,Lists!$C:$C,Lists!$D:$D))</f>
        <v/>
      </c>
      <c r="N455" s="26" t="str">
        <f t="shared" si="28"/>
        <v/>
      </c>
      <c r="O455" s="27" t="str">
        <f>IF(I455="","",_xlfn.XLOOKUP(I455,Lists!$C:$C,Lists!$J:$J))</f>
        <v/>
      </c>
      <c r="P455" s="27" t="str">
        <f>IF(I455="","",_xlfn.XLOOKUP(I455,Lists!$C:$C,Lists!$E:$E))</f>
        <v/>
      </c>
      <c r="Q455" s="28" t="str">
        <f t="shared" si="29"/>
        <v/>
      </c>
      <c r="R455" s="26" t="str">
        <f t="shared" ca="1" si="30"/>
        <v/>
      </c>
      <c r="S455" s="27" t="str">
        <f>IF(I455="","",_xlfn.XLOOKUP(I455,Lists!$C:$C,Lists!$I:$I))</f>
        <v/>
      </c>
    </row>
    <row r="456" spans="3:19" x14ac:dyDescent="0.2">
      <c r="C456" s="26">
        <f>_xlfn.XLOOKUP(B456,Lists!B:B,Lists!A:A,"")</f>
        <v>0</v>
      </c>
      <c r="G456" s="26" t="str">
        <f t="shared" si="26"/>
        <v/>
      </c>
      <c r="H456" s="31" t="str">
        <f t="shared" si="27"/>
        <v/>
      </c>
      <c r="J456" s="27" t="str">
        <f>IF(I456="","",_xlfn.XLOOKUP(I456,Lists!$C:$C,Lists!$D:$D))</f>
        <v/>
      </c>
      <c r="N456" s="26" t="str">
        <f t="shared" si="28"/>
        <v/>
      </c>
      <c r="O456" s="27" t="str">
        <f>IF(I456="","",_xlfn.XLOOKUP(I456,Lists!$C:$C,Lists!$J:$J))</f>
        <v/>
      </c>
      <c r="P456" s="27" t="str">
        <f>IF(I456="","",_xlfn.XLOOKUP(I456,Lists!$C:$C,Lists!$E:$E))</f>
        <v/>
      </c>
      <c r="Q456" s="28" t="str">
        <f t="shared" si="29"/>
        <v/>
      </c>
      <c r="R456" s="26" t="str">
        <f t="shared" ca="1" si="30"/>
        <v/>
      </c>
      <c r="S456" s="27" t="str">
        <f>IF(I456="","",_xlfn.XLOOKUP(I456,Lists!$C:$C,Lists!$I:$I))</f>
        <v/>
      </c>
    </row>
    <row r="457" spans="3:19" x14ac:dyDescent="0.2">
      <c r="C457" s="26">
        <f>_xlfn.XLOOKUP(B457,Lists!B:B,Lists!A:A,"")</f>
        <v>0</v>
      </c>
      <c r="G457" s="26" t="str">
        <f t="shared" si="26"/>
        <v/>
      </c>
      <c r="H457" s="31" t="str">
        <f t="shared" si="27"/>
        <v/>
      </c>
      <c r="J457" s="27" t="str">
        <f>IF(I457="","",_xlfn.XLOOKUP(I457,Lists!$C:$C,Lists!$D:$D))</f>
        <v/>
      </c>
      <c r="N457" s="26" t="str">
        <f t="shared" si="28"/>
        <v/>
      </c>
      <c r="O457" s="27" t="str">
        <f>IF(I457="","",_xlfn.XLOOKUP(I457,Lists!$C:$C,Lists!$J:$J))</f>
        <v/>
      </c>
      <c r="P457" s="27" t="str">
        <f>IF(I457="","",_xlfn.XLOOKUP(I457,Lists!$C:$C,Lists!$E:$E))</f>
        <v/>
      </c>
      <c r="Q457" s="28" t="str">
        <f t="shared" si="29"/>
        <v/>
      </c>
      <c r="R457" s="26" t="str">
        <f t="shared" ca="1" si="30"/>
        <v/>
      </c>
      <c r="S457" s="27" t="str">
        <f>IF(I457="","",_xlfn.XLOOKUP(I457,Lists!$C:$C,Lists!$I:$I))</f>
        <v/>
      </c>
    </row>
    <row r="458" spans="3:19" x14ac:dyDescent="0.2">
      <c r="C458" s="26">
        <f>_xlfn.XLOOKUP(B458,Lists!B:B,Lists!A:A,"")</f>
        <v>0</v>
      </c>
      <c r="G458" s="26" t="str">
        <f t="shared" si="26"/>
        <v/>
      </c>
      <c r="H458" s="31" t="str">
        <f t="shared" si="27"/>
        <v/>
      </c>
      <c r="J458" s="27" t="str">
        <f>IF(I458="","",_xlfn.XLOOKUP(I458,Lists!$C:$C,Lists!$D:$D))</f>
        <v/>
      </c>
      <c r="N458" s="26" t="str">
        <f t="shared" si="28"/>
        <v/>
      </c>
      <c r="O458" s="27" t="str">
        <f>IF(I458="","",_xlfn.XLOOKUP(I458,Lists!$C:$C,Lists!$J:$J))</f>
        <v/>
      </c>
      <c r="P458" s="27" t="str">
        <f>IF(I458="","",_xlfn.XLOOKUP(I458,Lists!$C:$C,Lists!$E:$E))</f>
        <v/>
      </c>
      <c r="Q458" s="28" t="str">
        <f t="shared" si="29"/>
        <v/>
      </c>
      <c r="R458" s="26" t="str">
        <f t="shared" ca="1" si="30"/>
        <v/>
      </c>
      <c r="S458" s="27" t="str">
        <f>IF(I458="","",_xlfn.XLOOKUP(I458,Lists!$C:$C,Lists!$I:$I))</f>
        <v/>
      </c>
    </row>
    <row r="459" spans="3:19" x14ac:dyDescent="0.2">
      <c r="C459" s="26">
        <f>_xlfn.XLOOKUP(B459,Lists!B:B,Lists!A:A,"")</f>
        <v>0</v>
      </c>
      <c r="G459" s="26" t="str">
        <f t="shared" si="26"/>
        <v/>
      </c>
      <c r="H459" s="31" t="str">
        <f t="shared" si="27"/>
        <v/>
      </c>
      <c r="J459" s="27" t="str">
        <f>IF(I459="","",_xlfn.XLOOKUP(I459,Lists!$C:$C,Lists!$D:$D))</f>
        <v/>
      </c>
      <c r="N459" s="26" t="str">
        <f t="shared" si="28"/>
        <v/>
      </c>
      <c r="O459" s="27" t="str">
        <f>IF(I459="","",_xlfn.XLOOKUP(I459,Lists!$C:$C,Lists!$J:$J))</f>
        <v/>
      </c>
      <c r="P459" s="27" t="str">
        <f>IF(I459="","",_xlfn.XLOOKUP(I459,Lists!$C:$C,Lists!$E:$E))</f>
        <v/>
      </c>
      <c r="Q459" s="28" t="str">
        <f t="shared" si="29"/>
        <v/>
      </c>
      <c r="R459" s="26" t="str">
        <f t="shared" ca="1" si="30"/>
        <v/>
      </c>
      <c r="S459" s="27" t="str">
        <f>IF(I459="","",_xlfn.XLOOKUP(I459,Lists!$C:$C,Lists!$I:$I))</f>
        <v/>
      </c>
    </row>
    <row r="460" spans="3:19" x14ac:dyDescent="0.2">
      <c r="C460" s="26">
        <f>_xlfn.XLOOKUP(B460,Lists!B:B,Lists!A:A,"")</f>
        <v>0</v>
      </c>
      <c r="G460" s="26" t="str">
        <f t="shared" si="26"/>
        <v/>
      </c>
      <c r="H460" s="31" t="str">
        <f t="shared" si="27"/>
        <v/>
      </c>
      <c r="J460" s="27" t="str">
        <f>IF(I460="","",_xlfn.XLOOKUP(I460,Lists!$C:$C,Lists!$D:$D))</f>
        <v/>
      </c>
      <c r="N460" s="26" t="str">
        <f t="shared" si="28"/>
        <v/>
      </c>
      <c r="O460" s="27" t="str">
        <f>IF(I460="","",_xlfn.XLOOKUP(I460,Lists!$C:$C,Lists!$J:$J))</f>
        <v/>
      </c>
      <c r="P460" s="27" t="str">
        <f>IF(I460="","",_xlfn.XLOOKUP(I460,Lists!$C:$C,Lists!$E:$E))</f>
        <v/>
      </c>
      <c r="Q460" s="28" t="str">
        <f t="shared" si="29"/>
        <v/>
      </c>
      <c r="R460" s="26" t="str">
        <f t="shared" ca="1" si="30"/>
        <v/>
      </c>
      <c r="S460" s="27" t="str">
        <f>IF(I460="","",_xlfn.XLOOKUP(I460,Lists!$C:$C,Lists!$I:$I))</f>
        <v/>
      </c>
    </row>
    <row r="461" spans="3:19" x14ac:dyDescent="0.2">
      <c r="C461" s="26">
        <f>_xlfn.XLOOKUP(B461,Lists!B:B,Lists!A:A,"")</f>
        <v>0</v>
      </c>
      <c r="G461" s="26" t="str">
        <f t="shared" si="26"/>
        <v/>
      </c>
      <c r="H461" s="31" t="str">
        <f t="shared" si="27"/>
        <v/>
      </c>
      <c r="J461" s="27" t="str">
        <f>IF(I461="","",_xlfn.XLOOKUP(I461,Lists!$C:$C,Lists!$D:$D))</f>
        <v/>
      </c>
      <c r="N461" s="26" t="str">
        <f t="shared" si="28"/>
        <v/>
      </c>
      <c r="O461" s="27" t="str">
        <f>IF(I461="","",_xlfn.XLOOKUP(I461,Lists!$C:$C,Lists!$J:$J))</f>
        <v/>
      </c>
      <c r="P461" s="27" t="str">
        <f>IF(I461="","",_xlfn.XLOOKUP(I461,Lists!$C:$C,Lists!$E:$E))</f>
        <v/>
      </c>
      <c r="Q461" s="28" t="str">
        <f t="shared" si="29"/>
        <v/>
      </c>
      <c r="R461" s="26" t="str">
        <f t="shared" ca="1" si="30"/>
        <v/>
      </c>
      <c r="S461" s="27" t="str">
        <f>IF(I461="","",_xlfn.XLOOKUP(I461,Lists!$C:$C,Lists!$I:$I))</f>
        <v/>
      </c>
    </row>
    <row r="462" spans="3:19" x14ac:dyDescent="0.2">
      <c r="C462" s="26">
        <f>_xlfn.XLOOKUP(B462,Lists!B:B,Lists!A:A,"")</f>
        <v>0</v>
      </c>
      <c r="G462" s="26" t="str">
        <f t="shared" si="26"/>
        <v/>
      </c>
      <c r="H462" s="31" t="str">
        <f t="shared" si="27"/>
        <v/>
      </c>
      <c r="J462" s="27" t="str">
        <f>IF(I462="","",_xlfn.XLOOKUP(I462,Lists!$C:$C,Lists!$D:$D))</f>
        <v/>
      </c>
      <c r="N462" s="26" t="str">
        <f t="shared" si="28"/>
        <v/>
      </c>
      <c r="O462" s="27" t="str">
        <f>IF(I462="","",_xlfn.XLOOKUP(I462,Lists!$C:$C,Lists!$J:$J))</f>
        <v/>
      </c>
      <c r="P462" s="27" t="str">
        <f>IF(I462="","",_xlfn.XLOOKUP(I462,Lists!$C:$C,Lists!$E:$E))</f>
        <v/>
      </c>
      <c r="Q462" s="28" t="str">
        <f t="shared" si="29"/>
        <v/>
      </c>
      <c r="R462" s="26" t="str">
        <f t="shared" ca="1" si="30"/>
        <v/>
      </c>
      <c r="S462" s="27" t="str">
        <f>IF(I462="","",_xlfn.XLOOKUP(I462,Lists!$C:$C,Lists!$I:$I))</f>
        <v/>
      </c>
    </row>
    <row r="463" spans="3:19" x14ac:dyDescent="0.2">
      <c r="C463" s="26">
        <f>_xlfn.XLOOKUP(B463,Lists!B:B,Lists!A:A,"")</f>
        <v>0</v>
      </c>
      <c r="G463" s="26" t="str">
        <f t="shared" si="26"/>
        <v/>
      </c>
      <c r="H463" s="31" t="str">
        <f t="shared" si="27"/>
        <v/>
      </c>
      <c r="J463" s="27" t="str">
        <f>IF(I463="","",_xlfn.XLOOKUP(I463,Lists!$C:$C,Lists!$D:$D))</f>
        <v/>
      </c>
      <c r="N463" s="26" t="str">
        <f t="shared" si="28"/>
        <v/>
      </c>
      <c r="O463" s="27" t="str">
        <f>IF(I463="","",_xlfn.XLOOKUP(I463,Lists!$C:$C,Lists!$J:$J))</f>
        <v/>
      </c>
      <c r="P463" s="27" t="str">
        <f>IF(I463="","",_xlfn.XLOOKUP(I463,Lists!$C:$C,Lists!$E:$E))</f>
        <v/>
      </c>
      <c r="Q463" s="28" t="str">
        <f t="shared" si="29"/>
        <v/>
      </c>
      <c r="R463" s="26" t="str">
        <f t="shared" ca="1" si="30"/>
        <v/>
      </c>
      <c r="S463" s="27" t="str">
        <f>IF(I463="","",_xlfn.XLOOKUP(I463,Lists!$C:$C,Lists!$I:$I))</f>
        <v/>
      </c>
    </row>
    <row r="464" spans="3:19" x14ac:dyDescent="0.2">
      <c r="C464" s="26">
        <f>_xlfn.XLOOKUP(B464,Lists!B:B,Lists!A:A,"")</f>
        <v>0</v>
      </c>
      <c r="G464" s="26" t="str">
        <f t="shared" si="26"/>
        <v/>
      </c>
      <c r="H464" s="31" t="str">
        <f t="shared" si="27"/>
        <v/>
      </c>
      <c r="J464" s="27" t="str">
        <f>IF(I464="","",_xlfn.XLOOKUP(I464,Lists!$C:$C,Lists!$D:$D))</f>
        <v/>
      </c>
      <c r="N464" s="26" t="str">
        <f t="shared" si="28"/>
        <v/>
      </c>
      <c r="O464" s="27" t="str">
        <f>IF(I464="","",_xlfn.XLOOKUP(I464,Lists!$C:$C,Lists!$J:$J))</f>
        <v/>
      </c>
      <c r="P464" s="27" t="str">
        <f>IF(I464="","",_xlfn.XLOOKUP(I464,Lists!$C:$C,Lists!$E:$E))</f>
        <v/>
      </c>
      <c r="Q464" s="28" t="str">
        <f t="shared" si="29"/>
        <v/>
      </c>
      <c r="R464" s="26" t="str">
        <f t="shared" ca="1" si="30"/>
        <v/>
      </c>
      <c r="S464" s="27" t="str">
        <f>IF(I464="","",_xlfn.XLOOKUP(I464,Lists!$C:$C,Lists!$I:$I))</f>
        <v/>
      </c>
    </row>
    <row r="465" spans="3:19" x14ac:dyDescent="0.2">
      <c r="C465" s="26">
        <f>_xlfn.XLOOKUP(B465,Lists!B:B,Lists!A:A,"")</f>
        <v>0</v>
      </c>
      <c r="G465" s="26" t="str">
        <f t="shared" si="26"/>
        <v/>
      </c>
      <c r="H465" s="31" t="str">
        <f t="shared" si="27"/>
        <v/>
      </c>
      <c r="J465" s="27" t="str">
        <f>IF(I465="","",_xlfn.XLOOKUP(I465,Lists!$C:$C,Lists!$D:$D))</f>
        <v/>
      </c>
      <c r="N465" s="26" t="str">
        <f t="shared" si="28"/>
        <v/>
      </c>
      <c r="O465" s="27" t="str">
        <f>IF(I465="","",_xlfn.XLOOKUP(I465,Lists!$C:$C,Lists!$J:$J))</f>
        <v/>
      </c>
      <c r="P465" s="27" t="str">
        <f>IF(I465="","",_xlfn.XLOOKUP(I465,Lists!$C:$C,Lists!$E:$E))</f>
        <v/>
      </c>
      <c r="Q465" s="28" t="str">
        <f t="shared" si="29"/>
        <v/>
      </c>
      <c r="R465" s="26" t="str">
        <f t="shared" ca="1" si="30"/>
        <v/>
      </c>
      <c r="S465" s="27" t="str">
        <f>IF(I465="","",_xlfn.XLOOKUP(I465,Lists!$C:$C,Lists!$I:$I))</f>
        <v/>
      </c>
    </row>
    <row r="466" spans="3:19" x14ac:dyDescent="0.2">
      <c r="C466" s="26">
        <f>_xlfn.XLOOKUP(B466,Lists!B:B,Lists!A:A,"")</f>
        <v>0</v>
      </c>
      <c r="G466" s="26" t="str">
        <f t="shared" si="26"/>
        <v/>
      </c>
      <c r="H466" s="31" t="str">
        <f t="shared" si="27"/>
        <v/>
      </c>
      <c r="J466" s="27" t="str">
        <f>IF(I466="","",_xlfn.XLOOKUP(I466,Lists!$C:$C,Lists!$D:$D))</f>
        <v/>
      </c>
      <c r="N466" s="26" t="str">
        <f t="shared" si="28"/>
        <v/>
      </c>
      <c r="O466" s="27" t="str">
        <f>IF(I466="","",_xlfn.XLOOKUP(I466,Lists!$C:$C,Lists!$J:$J))</f>
        <v/>
      </c>
      <c r="P466" s="27" t="str">
        <f>IF(I466="","",_xlfn.XLOOKUP(I466,Lists!$C:$C,Lists!$E:$E))</f>
        <v/>
      </c>
      <c r="Q466" s="28" t="str">
        <f t="shared" si="29"/>
        <v/>
      </c>
      <c r="R466" s="26" t="str">
        <f t="shared" ca="1" si="30"/>
        <v/>
      </c>
      <c r="S466" s="27" t="str">
        <f>IF(I466="","",_xlfn.XLOOKUP(I466,Lists!$C:$C,Lists!$I:$I))</f>
        <v/>
      </c>
    </row>
    <row r="467" spans="3:19" x14ac:dyDescent="0.2">
      <c r="C467" s="26">
        <f>_xlfn.XLOOKUP(B467,Lists!B:B,Lists!A:A,"")</f>
        <v>0</v>
      </c>
      <c r="G467" s="26" t="str">
        <f t="shared" si="26"/>
        <v/>
      </c>
      <c r="H467" s="31" t="str">
        <f t="shared" si="27"/>
        <v/>
      </c>
      <c r="J467" s="27" t="str">
        <f>IF(I467="","",_xlfn.XLOOKUP(I467,Lists!$C:$C,Lists!$D:$D))</f>
        <v/>
      </c>
      <c r="N467" s="26" t="str">
        <f t="shared" si="28"/>
        <v/>
      </c>
      <c r="O467" s="27" t="str">
        <f>IF(I467="","",_xlfn.XLOOKUP(I467,Lists!$C:$C,Lists!$J:$J))</f>
        <v/>
      </c>
      <c r="P467" s="27" t="str">
        <f>IF(I467="","",_xlfn.XLOOKUP(I467,Lists!$C:$C,Lists!$E:$E))</f>
        <v/>
      </c>
      <c r="Q467" s="28" t="str">
        <f t="shared" si="29"/>
        <v/>
      </c>
      <c r="R467" s="26" t="str">
        <f t="shared" ca="1" si="30"/>
        <v/>
      </c>
      <c r="S467" s="27" t="str">
        <f>IF(I467="","",_xlfn.XLOOKUP(I467,Lists!$C:$C,Lists!$I:$I))</f>
        <v/>
      </c>
    </row>
    <row r="468" spans="3:19" x14ac:dyDescent="0.2">
      <c r="C468" s="26">
        <f>_xlfn.XLOOKUP(B468,Lists!B:B,Lists!A:A,"")</f>
        <v>0</v>
      </c>
      <c r="G468" s="26" t="str">
        <f t="shared" si="26"/>
        <v/>
      </c>
      <c r="H468" s="31" t="str">
        <f t="shared" si="27"/>
        <v/>
      </c>
      <c r="J468" s="27" t="str">
        <f>IF(I468="","",_xlfn.XLOOKUP(I468,Lists!$C:$C,Lists!$D:$D))</f>
        <v/>
      </c>
      <c r="N468" s="26" t="str">
        <f t="shared" si="28"/>
        <v/>
      </c>
      <c r="O468" s="27" t="str">
        <f>IF(I468="","",_xlfn.XLOOKUP(I468,Lists!$C:$C,Lists!$J:$J))</f>
        <v/>
      </c>
      <c r="P468" s="27" t="str">
        <f>IF(I468="","",_xlfn.XLOOKUP(I468,Lists!$C:$C,Lists!$E:$E))</f>
        <v/>
      </c>
      <c r="Q468" s="28" t="str">
        <f t="shared" si="29"/>
        <v/>
      </c>
      <c r="R468" s="26" t="str">
        <f t="shared" ca="1" si="30"/>
        <v/>
      </c>
      <c r="S468" s="27" t="str">
        <f>IF(I468="","",_xlfn.XLOOKUP(I468,Lists!$C:$C,Lists!$I:$I))</f>
        <v/>
      </c>
    </row>
    <row r="469" spans="3:19" x14ac:dyDescent="0.2">
      <c r="C469" s="26">
        <f>_xlfn.XLOOKUP(B469,Lists!B:B,Lists!A:A,"")</f>
        <v>0</v>
      </c>
      <c r="G469" s="26" t="str">
        <f t="shared" si="26"/>
        <v/>
      </c>
      <c r="H469" s="31" t="str">
        <f t="shared" si="27"/>
        <v/>
      </c>
      <c r="J469" s="27" t="str">
        <f>IF(I469="","",_xlfn.XLOOKUP(I469,Lists!$C:$C,Lists!$D:$D))</f>
        <v/>
      </c>
      <c r="N469" s="26" t="str">
        <f t="shared" si="28"/>
        <v/>
      </c>
      <c r="O469" s="27" t="str">
        <f>IF(I469="","",_xlfn.XLOOKUP(I469,Lists!$C:$C,Lists!$J:$J))</f>
        <v/>
      </c>
      <c r="P469" s="27" t="str">
        <f>IF(I469="","",_xlfn.XLOOKUP(I469,Lists!$C:$C,Lists!$E:$E))</f>
        <v/>
      </c>
      <c r="Q469" s="28" t="str">
        <f t="shared" si="29"/>
        <v/>
      </c>
      <c r="R469" s="26" t="str">
        <f t="shared" ca="1" si="30"/>
        <v/>
      </c>
      <c r="S469" s="27" t="str">
        <f>IF(I469="","",_xlfn.XLOOKUP(I469,Lists!$C:$C,Lists!$I:$I))</f>
        <v/>
      </c>
    </row>
    <row r="470" spans="3:19" x14ac:dyDescent="0.2">
      <c r="C470" s="26">
        <f>_xlfn.XLOOKUP(B470,Lists!B:B,Lists!A:A,"")</f>
        <v>0</v>
      </c>
      <c r="G470" s="26" t="str">
        <f t="shared" si="26"/>
        <v/>
      </c>
      <c r="H470" s="31" t="str">
        <f t="shared" si="27"/>
        <v/>
      </c>
      <c r="J470" s="27" t="str">
        <f>IF(I470="","",_xlfn.XLOOKUP(I470,Lists!$C:$C,Lists!$D:$D))</f>
        <v/>
      </c>
      <c r="N470" s="26" t="str">
        <f t="shared" si="28"/>
        <v/>
      </c>
      <c r="O470" s="27" t="str">
        <f>IF(I470="","",_xlfn.XLOOKUP(I470,Lists!$C:$C,Lists!$J:$J))</f>
        <v/>
      </c>
      <c r="P470" s="27" t="str">
        <f>IF(I470="","",_xlfn.XLOOKUP(I470,Lists!$C:$C,Lists!$E:$E))</f>
        <v/>
      </c>
      <c r="Q470" s="28" t="str">
        <f t="shared" si="29"/>
        <v/>
      </c>
      <c r="R470" s="26" t="str">
        <f t="shared" ca="1" si="30"/>
        <v/>
      </c>
      <c r="S470" s="27" t="str">
        <f>IF(I470="","",_xlfn.XLOOKUP(I470,Lists!$C:$C,Lists!$I:$I))</f>
        <v/>
      </c>
    </row>
    <row r="471" spans="3:19" x14ac:dyDescent="0.2">
      <c r="C471" s="26">
        <f>_xlfn.XLOOKUP(B471,Lists!B:B,Lists!A:A,"")</f>
        <v>0</v>
      </c>
      <c r="G471" s="26" t="str">
        <f t="shared" si="26"/>
        <v/>
      </c>
      <c r="H471" s="31" t="str">
        <f t="shared" si="27"/>
        <v/>
      </c>
      <c r="J471" s="27" t="str">
        <f>IF(I471="","",_xlfn.XLOOKUP(I471,Lists!$C:$C,Lists!$D:$D))</f>
        <v/>
      </c>
      <c r="N471" s="26" t="str">
        <f t="shared" si="28"/>
        <v/>
      </c>
      <c r="O471" s="27" t="str">
        <f>IF(I471="","",_xlfn.XLOOKUP(I471,Lists!$C:$C,Lists!$J:$J))</f>
        <v/>
      </c>
      <c r="P471" s="27" t="str">
        <f>IF(I471="","",_xlfn.XLOOKUP(I471,Lists!$C:$C,Lists!$E:$E))</f>
        <v/>
      </c>
      <c r="Q471" s="28" t="str">
        <f t="shared" si="29"/>
        <v/>
      </c>
      <c r="R471" s="26" t="str">
        <f t="shared" ca="1" si="30"/>
        <v/>
      </c>
      <c r="S471" s="27" t="str">
        <f>IF(I471="","",_xlfn.XLOOKUP(I471,Lists!$C:$C,Lists!$I:$I))</f>
        <v/>
      </c>
    </row>
    <row r="472" spans="3:19" x14ac:dyDescent="0.2">
      <c r="C472" s="26">
        <f>_xlfn.XLOOKUP(B472,Lists!B:B,Lists!A:A,"")</f>
        <v>0</v>
      </c>
      <c r="G472" s="26" t="str">
        <f t="shared" si="26"/>
        <v/>
      </c>
      <c r="H472" s="31" t="str">
        <f t="shared" si="27"/>
        <v/>
      </c>
      <c r="J472" s="27" t="str">
        <f>IF(I472="","",_xlfn.XLOOKUP(I472,Lists!$C:$C,Lists!$D:$D))</f>
        <v/>
      </c>
      <c r="N472" s="26" t="str">
        <f t="shared" si="28"/>
        <v/>
      </c>
      <c r="O472" s="27" t="str">
        <f>IF(I472="","",_xlfn.XLOOKUP(I472,Lists!$C:$C,Lists!$J:$J))</f>
        <v/>
      </c>
      <c r="P472" s="27" t="str">
        <f>IF(I472="","",_xlfn.XLOOKUP(I472,Lists!$C:$C,Lists!$E:$E))</f>
        <v/>
      </c>
      <c r="Q472" s="28" t="str">
        <f t="shared" si="29"/>
        <v/>
      </c>
      <c r="R472" s="26" t="str">
        <f t="shared" ca="1" si="30"/>
        <v/>
      </c>
      <c r="S472" s="27" t="str">
        <f>IF(I472="","",_xlfn.XLOOKUP(I472,Lists!$C:$C,Lists!$I:$I))</f>
        <v/>
      </c>
    </row>
    <row r="473" spans="3:19" x14ac:dyDescent="0.2">
      <c r="C473" s="26">
        <f>_xlfn.XLOOKUP(B473,Lists!B:B,Lists!A:A,"")</f>
        <v>0</v>
      </c>
      <c r="G473" s="26" t="str">
        <f t="shared" si="26"/>
        <v/>
      </c>
      <c r="H473" s="31" t="str">
        <f t="shared" si="27"/>
        <v/>
      </c>
      <c r="J473" s="27" t="str">
        <f>IF(I473="","",_xlfn.XLOOKUP(I473,Lists!$C:$C,Lists!$D:$D))</f>
        <v/>
      </c>
      <c r="N473" s="26" t="str">
        <f t="shared" si="28"/>
        <v/>
      </c>
      <c r="O473" s="27" t="str">
        <f>IF(I473="","",_xlfn.XLOOKUP(I473,Lists!$C:$C,Lists!$J:$J))</f>
        <v/>
      </c>
      <c r="P473" s="27" t="str">
        <f>IF(I473="","",_xlfn.XLOOKUP(I473,Lists!$C:$C,Lists!$E:$E))</f>
        <v/>
      </c>
      <c r="Q473" s="28" t="str">
        <f t="shared" si="29"/>
        <v/>
      </c>
      <c r="R473" s="26" t="str">
        <f t="shared" ca="1" si="30"/>
        <v/>
      </c>
      <c r="S473" s="27" t="str">
        <f>IF(I473="","",_xlfn.XLOOKUP(I473,Lists!$C:$C,Lists!$I:$I))</f>
        <v/>
      </c>
    </row>
    <row r="474" spans="3:19" x14ac:dyDescent="0.2">
      <c r="C474" s="26">
        <f>_xlfn.XLOOKUP(B474,Lists!B:B,Lists!A:A,"")</f>
        <v>0</v>
      </c>
      <c r="G474" s="26" t="str">
        <f t="shared" si="26"/>
        <v/>
      </c>
      <c r="H474" s="31" t="str">
        <f t="shared" si="27"/>
        <v/>
      </c>
      <c r="J474" s="27" t="str">
        <f>IF(I474="","",_xlfn.XLOOKUP(I474,Lists!$C:$C,Lists!$D:$D))</f>
        <v/>
      </c>
      <c r="N474" s="26" t="str">
        <f t="shared" si="28"/>
        <v/>
      </c>
      <c r="O474" s="27" t="str">
        <f>IF(I474="","",_xlfn.XLOOKUP(I474,Lists!$C:$C,Lists!$J:$J))</f>
        <v/>
      </c>
      <c r="P474" s="27" t="str">
        <f>IF(I474="","",_xlfn.XLOOKUP(I474,Lists!$C:$C,Lists!$E:$E))</f>
        <v/>
      </c>
      <c r="Q474" s="28" t="str">
        <f t="shared" si="29"/>
        <v/>
      </c>
      <c r="R474" s="26" t="str">
        <f t="shared" ca="1" si="30"/>
        <v/>
      </c>
      <c r="S474" s="27" t="str">
        <f>IF(I474="","",_xlfn.XLOOKUP(I474,Lists!$C:$C,Lists!$I:$I))</f>
        <v/>
      </c>
    </row>
    <row r="475" spans="3:19" x14ac:dyDescent="0.2">
      <c r="C475" s="26">
        <f>_xlfn.XLOOKUP(B475,Lists!B:B,Lists!A:A,"")</f>
        <v>0</v>
      </c>
      <c r="G475" s="26" t="str">
        <f t="shared" ref="G475:G538" si="31">IF(OR(E475="",F475=""),"",F475-E475+1)</f>
        <v/>
      </c>
      <c r="H475" s="31" t="str">
        <f t="shared" ref="H475:H538" si="32">IF(D475="","",IF(OR(D475="A",D475="B"),G475/80,IF(D475="A&amp;B",G475/160,"")))</f>
        <v/>
      </c>
      <c r="J475" s="27" t="str">
        <f>IF(I475="","",_xlfn.XLOOKUP(I475,Lists!$C:$C,Lists!$D:$D))</f>
        <v/>
      </c>
      <c r="N475" s="26" t="str">
        <f t="shared" ref="N475:N538" si="33">IF(OR(M475="",L475=""),"",(M475*L475)/100000)</f>
        <v/>
      </c>
      <c r="O475" s="27" t="str">
        <f>IF(I475="","",_xlfn.XLOOKUP(I475,Lists!$C:$C,Lists!$J:$J))</f>
        <v/>
      </c>
      <c r="P475" s="27" t="str">
        <f>IF(I475="","",_xlfn.XLOOKUP(I475,Lists!$C:$C,Lists!$E:$E))</f>
        <v/>
      </c>
      <c r="Q475" s="28" t="str">
        <f t="shared" ref="Q475:Q538" si="34">IF(OR(A475="",P475=""),"",A475+P475+1)</f>
        <v/>
      </c>
      <c r="R475" s="26" t="str">
        <f t="shared" ref="R475:R538" ca="1" si="35">IF(Q475="","",IF(Q475&lt;=TODAY(),"Allow","Not Allow"))</f>
        <v/>
      </c>
      <c r="S475" s="27" t="str">
        <f>IF(I475="","",_xlfn.XLOOKUP(I475,Lists!$C:$C,Lists!$I:$I))</f>
        <v/>
      </c>
    </row>
    <row r="476" spans="3:19" x14ac:dyDescent="0.2">
      <c r="C476" s="26">
        <f>_xlfn.XLOOKUP(B476,Lists!B:B,Lists!A:A,"")</f>
        <v>0</v>
      </c>
      <c r="G476" s="26" t="str">
        <f t="shared" si="31"/>
        <v/>
      </c>
      <c r="H476" s="31" t="str">
        <f t="shared" si="32"/>
        <v/>
      </c>
      <c r="J476" s="27" t="str">
        <f>IF(I476="","",_xlfn.XLOOKUP(I476,Lists!$C:$C,Lists!$D:$D))</f>
        <v/>
      </c>
      <c r="N476" s="26" t="str">
        <f t="shared" si="33"/>
        <v/>
      </c>
      <c r="O476" s="27" t="str">
        <f>IF(I476="","",_xlfn.XLOOKUP(I476,Lists!$C:$C,Lists!$J:$J))</f>
        <v/>
      </c>
      <c r="P476" s="27" t="str">
        <f>IF(I476="","",_xlfn.XLOOKUP(I476,Lists!$C:$C,Lists!$E:$E))</f>
        <v/>
      </c>
      <c r="Q476" s="28" t="str">
        <f t="shared" si="34"/>
        <v/>
      </c>
      <c r="R476" s="26" t="str">
        <f t="shared" ca="1" si="35"/>
        <v/>
      </c>
      <c r="S476" s="27" t="str">
        <f>IF(I476="","",_xlfn.XLOOKUP(I476,Lists!$C:$C,Lists!$I:$I))</f>
        <v/>
      </c>
    </row>
    <row r="477" spans="3:19" x14ac:dyDescent="0.2">
      <c r="C477" s="26">
        <f>_xlfn.XLOOKUP(B477,Lists!B:B,Lists!A:A,"")</f>
        <v>0</v>
      </c>
      <c r="G477" s="26" t="str">
        <f t="shared" si="31"/>
        <v/>
      </c>
      <c r="H477" s="31" t="str">
        <f t="shared" si="32"/>
        <v/>
      </c>
      <c r="J477" s="27" t="str">
        <f>IF(I477="","",_xlfn.XLOOKUP(I477,Lists!$C:$C,Lists!$D:$D))</f>
        <v/>
      </c>
      <c r="N477" s="26" t="str">
        <f t="shared" si="33"/>
        <v/>
      </c>
      <c r="O477" s="27" t="str">
        <f>IF(I477="","",_xlfn.XLOOKUP(I477,Lists!$C:$C,Lists!$J:$J))</f>
        <v/>
      </c>
      <c r="P477" s="27" t="str">
        <f>IF(I477="","",_xlfn.XLOOKUP(I477,Lists!$C:$C,Lists!$E:$E))</f>
        <v/>
      </c>
      <c r="Q477" s="28" t="str">
        <f t="shared" si="34"/>
        <v/>
      </c>
      <c r="R477" s="26" t="str">
        <f t="shared" ca="1" si="35"/>
        <v/>
      </c>
      <c r="S477" s="27" t="str">
        <f>IF(I477="","",_xlfn.XLOOKUP(I477,Lists!$C:$C,Lists!$I:$I))</f>
        <v/>
      </c>
    </row>
    <row r="478" spans="3:19" x14ac:dyDescent="0.2">
      <c r="C478" s="26">
        <f>_xlfn.XLOOKUP(B478,Lists!B:B,Lists!A:A,"")</f>
        <v>0</v>
      </c>
      <c r="G478" s="26" t="str">
        <f t="shared" si="31"/>
        <v/>
      </c>
      <c r="H478" s="31" t="str">
        <f t="shared" si="32"/>
        <v/>
      </c>
      <c r="J478" s="27" t="str">
        <f>IF(I478="","",_xlfn.XLOOKUP(I478,Lists!$C:$C,Lists!$D:$D))</f>
        <v/>
      </c>
      <c r="N478" s="26" t="str">
        <f t="shared" si="33"/>
        <v/>
      </c>
      <c r="O478" s="27" t="str">
        <f>IF(I478="","",_xlfn.XLOOKUP(I478,Lists!$C:$C,Lists!$J:$J))</f>
        <v/>
      </c>
      <c r="P478" s="27" t="str">
        <f>IF(I478="","",_xlfn.XLOOKUP(I478,Lists!$C:$C,Lists!$E:$E))</f>
        <v/>
      </c>
      <c r="Q478" s="28" t="str">
        <f t="shared" si="34"/>
        <v/>
      </c>
      <c r="R478" s="26" t="str">
        <f t="shared" ca="1" si="35"/>
        <v/>
      </c>
      <c r="S478" s="27" t="str">
        <f>IF(I478="","",_xlfn.XLOOKUP(I478,Lists!$C:$C,Lists!$I:$I))</f>
        <v/>
      </c>
    </row>
    <row r="479" spans="3:19" x14ac:dyDescent="0.2">
      <c r="C479" s="26">
        <f>_xlfn.XLOOKUP(B479,Lists!B:B,Lists!A:A,"")</f>
        <v>0</v>
      </c>
      <c r="G479" s="26" t="str">
        <f t="shared" si="31"/>
        <v/>
      </c>
      <c r="H479" s="31" t="str">
        <f t="shared" si="32"/>
        <v/>
      </c>
      <c r="J479" s="27" t="str">
        <f>IF(I479="","",_xlfn.XLOOKUP(I479,Lists!$C:$C,Lists!$D:$D))</f>
        <v/>
      </c>
      <c r="N479" s="26" t="str">
        <f t="shared" si="33"/>
        <v/>
      </c>
      <c r="O479" s="27" t="str">
        <f>IF(I479="","",_xlfn.XLOOKUP(I479,Lists!$C:$C,Lists!$J:$J))</f>
        <v/>
      </c>
      <c r="P479" s="27" t="str">
        <f>IF(I479="","",_xlfn.XLOOKUP(I479,Lists!$C:$C,Lists!$E:$E))</f>
        <v/>
      </c>
      <c r="Q479" s="28" t="str">
        <f t="shared" si="34"/>
        <v/>
      </c>
      <c r="R479" s="26" t="str">
        <f t="shared" ca="1" si="35"/>
        <v/>
      </c>
      <c r="S479" s="27" t="str">
        <f>IF(I479="","",_xlfn.XLOOKUP(I479,Lists!$C:$C,Lists!$I:$I))</f>
        <v/>
      </c>
    </row>
    <row r="480" spans="3:19" x14ac:dyDescent="0.2">
      <c r="C480" s="26">
        <f>_xlfn.XLOOKUP(B480,Lists!B:B,Lists!A:A,"")</f>
        <v>0</v>
      </c>
      <c r="G480" s="26" t="str">
        <f t="shared" si="31"/>
        <v/>
      </c>
      <c r="H480" s="31" t="str">
        <f t="shared" si="32"/>
        <v/>
      </c>
      <c r="J480" s="27" t="str">
        <f>IF(I480="","",_xlfn.XLOOKUP(I480,Lists!$C:$C,Lists!$D:$D))</f>
        <v/>
      </c>
      <c r="N480" s="26" t="str">
        <f t="shared" si="33"/>
        <v/>
      </c>
      <c r="O480" s="27" t="str">
        <f>IF(I480="","",_xlfn.XLOOKUP(I480,Lists!$C:$C,Lists!$J:$J))</f>
        <v/>
      </c>
      <c r="P480" s="27" t="str">
        <f>IF(I480="","",_xlfn.XLOOKUP(I480,Lists!$C:$C,Lists!$E:$E))</f>
        <v/>
      </c>
      <c r="Q480" s="28" t="str">
        <f t="shared" si="34"/>
        <v/>
      </c>
      <c r="R480" s="26" t="str">
        <f t="shared" ca="1" si="35"/>
        <v/>
      </c>
      <c r="S480" s="27" t="str">
        <f>IF(I480="","",_xlfn.XLOOKUP(I480,Lists!$C:$C,Lists!$I:$I))</f>
        <v/>
      </c>
    </row>
    <row r="481" spans="3:19" x14ac:dyDescent="0.2">
      <c r="C481" s="26">
        <f>_xlfn.XLOOKUP(B481,Lists!B:B,Lists!A:A,"")</f>
        <v>0</v>
      </c>
      <c r="G481" s="26" t="str">
        <f t="shared" si="31"/>
        <v/>
      </c>
      <c r="H481" s="31" t="str">
        <f t="shared" si="32"/>
        <v/>
      </c>
      <c r="J481" s="27" t="str">
        <f>IF(I481="","",_xlfn.XLOOKUP(I481,Lists!$C:$C,Lists!$D:$D))</f>
        <v/>
      </c>
      <c r="N481" s="26" t="str">
        <f t="shared" si="33"/>
        <v/>
      </c>
      <c r="O481" s="27" t="str">
        <f>IF(I481="","",_xlfn.XLOOKUP(I481,Lists!$C:$C,Lists!$J:$J))</f>
        <v/>
      </c>
      <c r="P481" s="27" t="str">
        <f>IF(I481="","",_xlfn.XLOOKUP(I481,Lists!$C:$C,Lists!$E:$E))</f>
        <v/>
      </c>
      <c r="Q481" s="28" t="str">
        <f t="shared" si="34"/>
        <v/>
      </c>
      <c r="R481" s="26" t="str">
        <f t="shared" ca="1" si="35"/>
        <v/>
      </c>
      <c r="S481" s="27" t="str">
        <f>IF(I481="","",_xlfn.XLOOKUP(I481,Lists!$C:$C,Lists!$I:$I))</f>
        <v/>
      </c>
    </row>
    <row r="482" spans="3:19" x14ac:dyDescent="0.2">
      <c r="C482" s="26">
        <f>_xlfn.XLOOKUP(B482,Lists!B:B,Lists!A:A,"")</f>
        <v>0</v>
      </c>
      <c r="G482" s="26" t="str">
        <f t="shared" si="31"/>
        <v/>
      </c>
      <c r="H482" s="31" t="str">
        <f t="shared" si="32"/>
        <v/>
      </c>
      <c r="J482" s="27" t="str">
        <f>IF(I482="","",_xlfn.XLOOKUP(I482,Lists!$C:$C,Lists!$D:$D))</f>
        <v/>
      </c>
      <c r="N482" s="26" t="str">
        <f t="shared" si="33"/>
        <v/>
      </c>
      <c r="O482" s="27" t="str">
        <f>IF(I482="","",_xlfn.XLOOKUP(I482,Lists!$C:$C,Lists!$J:$J))</f>
        <v/>
      </c>
      <c r="P482" s="27" t="str">
        <f>IF(I482="","",_xlfn.XLOOKUP(I482,Lists!$C:$C,Lists!$E:$E))</f>
        <v/>
      </c>
      <c r="Q482" s="28" t="str">
        <f t="shared" si="34"/>
        <v/>
      </c>
      <c r="R482" s="26" t="str">
        <f t="shared" ca="1" si="35"/>
        <v/>
      </c>
      <c r="S482" s="27" t="str">
        <f>IF(I482="","",_xlfn.XLOOKUP(I482,Lists!$C:$C,Lists!$I:$I))</f>
        <v/>
      </c>
    </row>
    <row r="483" spans="3:19" x14ac:dyDescent="0.2">
      <c r="C483" s="26">
        <f>_xlfn.XLOOKUP(B483,Lists!B:B,Lists!A:A,"")</f>
        <v>0</v>
      </c>
      <c r="G483" s="26" t="str">
        <f t="shared" si="31"/>
        <v/>
      </c>
      <c r="H483" s="31" t="str">
        <f t="shared" si="32"/>
        <v/>
      </c>
      <c r="J483" s="27" t="str">
        <f>IF(I483="","",_xlfn.XLOOKUP(I483,Lists!$C:$C,Lists!$D:$D))</f>
        <v/>
      </c>
      <c r="N483" s="26" t="str">
        <f t="shared" si="33"/>
        <v/>
      </c>
      <c r="O483" s="27" t="str">
        <f>IF(I483="","",_xlfn.XLOOKUP(I483,Lists!$C:$C,Lists!$J:$J))</f>
        <v/>
      </c>
      <c r="P483" s="27" t="str">
        <f>IF(I483="","",_xlfn.XLOOKUP(I483,Lists!$C:$C,Lists!$E:$E))</f>
        <v/>
      </c>
      <c r="Q483" s="28" t="str">
        <f t="shared" si="34"/>
        <v/>
      </c>
      <c r="R483" s="26" t="str">
        <f t="shared" ca="1" si="35"/>
        <v/>
      </c>
      <c r="S483" s="27" t="str">
        <f>IF(I483="","",_xlfn.XLOOKUP(I483,Lists!$C:$C,Lists!$I:$I))</f>
        <v/>
      </c>
    </row>
    <row r="484" spans="3:19" x14ac:dyDescent="0.2">
      <c r="C484" s="26">
        <f>_xlfn.XLOOKUP(B484,Lists!B:B,Lists!A:A,"")</f>
        <v>0</v>
      </c>
      <c r="G484" s="26" t="str">
        <f t="shared" si="31"/>
        <v/>
      </c>
      <c r="H484" s="31" t="str">
        <f t="shared" si="32"/>
        <v/>
      </c>
      <c r="J484" s="27" t="str">
        <f>IF(I484="","",_xlfn.XLOOKUP(I484,Lists!$C:$C,Lists!$D:$D))</f>
        <v/>
      </c>
      <c r="N484" s="26" t="str">
        <f t="shared" si="33"/>
        <v/>
      </c>
      <c r="O484" s="27" t="str">
        <f>IF(I484="","",_xlfn.XLOOKUP(I484,Lists!$C:$C,Lists!$J:$J))</f>
        <v/>
      </c>
      <c r="P484" s="27" t="str">
        <f>IF(I484="","",_xlfn.XLOOKUP(I484,Lists!$C:$C,Lists!$E:$E))</f>
        <v/>
      </c>
      <c r="Q484" s="28" t="str">
        <f t="shared" si="34"/>
        <v/>
      </c>
      <c r="R484" s="26" t="str">
        <f t="shared" ca="1" si="35"/>
        <v/>
      </c>
      <c r="S484" s="27" t="str">
        <f>IF(I484="","",_xlfn.XLOOKUP(I484,Lists!$C:$C,Lists!$I:$I))</f>
        <v/>
      </c>
    </row>
    <row r="485" spans="3:19" x14ac:dyDescent="0.2">
      <c r="C485" s="26">
        <f>_xlfn.XLOOKUP(B485,Lists!B:B,Lists!A:A,"")</f>
        <v>0</v>
      </c>
      <c r="G485" s="26" t="str">
        <f t="shared" si="31"/>
        <v/>
      </c>
      <c r="H485" s="31" t="str">
        <f t="shared" si="32"/>
        <v/>
      </c>
      <c r="J485" s="27" t="str">
        <f>IF(I485="","",_xlfn.XLOOKUP(I485,Lists!$C:$C,Lists!$D:$D))</f>
        <v/>
      </c>
      <c r="N485" s="26" t="str">
        <f t="shared" si="33"/>
        <v/>
      </c>
      <c r="O485" s="27" t="str">
        <f>IF(I485="","",_xlfn.XLOOKUP(I485,Lists!$C:$C,Lists!$J:$J))</f>
        <v/>
      </c>
      <c r="P485" s="27" t="str">
        <f>IF(I485="","",_xlfn.XLOOKUP(I485,Lists!$C:$C,Lists!$E:$E))</f>
        <v/>
      </c>
      <c r="Q485" s="28" t="str">
        <f t="shared" si="34"/>
        <v/>
      </c>
      <c r="R485" s="26" t="str">
        <f t="shared" ca="1" si="35"/>
        <v/>
      </c>
      <c r="S485" s="27" t="str">
        <f>IF(I485="","",_xlfn.XLOOKUP(I485,Lists!$C:$C,Lists!$I:$I))</f>
        <v/>
      </c>
    </row>
    <row r="486" spans="3:19" x14ac:dyDescent="0.2">
      <c r="C486" s="26">
        <f>_xlfn.XLOOKUP(B486,Lists!B:B,Lists!A:A,"")</f>
        <v>0</v>
      </c>
      <c r="G486" s="26" t="str">
        <f t="shared" si="31"/>
        <v/>
      </c>
      <c r="H486" s="31" t="str">
        <f t="shared" si="32"/>
        <v/>
      </c>
      <c r="J486" s="27" t="str">
        <f>IF(I486="","",_xlfn.XLOOKUP(I486,Lists!$C:$C,Lists!$D:$D))</f>
        <v/>
      </c>
      <c r="N486" s="26" t="str">
        <f t="shared" si="33"/>
        <v/>
      </c>
      <c r="O486" s="27" t="str">
        <f>IF(I486="","",_xlfn.XLOOKUP(I486,Lists!$C:$C,Lists!$J:$J))</f>
        <v/>
      </c>
      <c r="P486" s="27" t="str">
        <f>IF(I486="","",_xlfn.XLOOKUP(I486,Lists!$C:$C,Lists!$E:$E))</f>
        <v/>
      </c>
      <c r="Q486" s="28" t="str">
        <f t="shared" si="34"/>
        <v/>
      </c>
      <c r="R486" s="26" t="str">
        <f t="shared" ca="1" si="35"/>
        <v/>
      </c>
      <c r="S486" s="27" t="str">
        <f>IF(I486="","",_xlfn.XLOOKUP(I486,Lists!$C:$C,Lists!$I:$I))</f>
        <v/>
      </c>
    </row>
    <row r="487" spans="3:19" x14ac:dyDescent="0.2">
      <c r="C487" s="26">
        <f>_xlfn.XLOOKUP(B487,Lists!B:B,Lists!A:A,"")</f>
        <v>0</v>
      </c>
      <c r="G487" s="26" t="str">
        <f t="shared" si="31"/>
        <v/>
      </c>
      <c r="H487" s="31" t="str">
        <f t="shared" si="32"/>
        <v/>
      </c>
      <c r="J487" s="27" t="str">
        <f>IF(I487="","",_xlfn.XLOOKUP(I487,Lists!$C:$C,Lists!$D:$D))</f>
        <v/>
      </c>
      <c r="N487" s="26" t="str">
        <f t="shared" si="33"/>
        <v/>
      </c>
      <c r="O487" s="27" t="str">
        <f>IF(I487="","",_xlfn.XLOOKUP(I487,Lists!$C:$C,Lists!$J:$J))</f>
        <v/>
      </c>
      <c r="P487" s="27" t="str">
        <f>IF(I487="","",_xlfn.XLOOKUP(I487,Lists!$C:$C,Lists!$E:$E))</f>
        <v/>
      </c>
      <c r="Q487" s="28" t="str">
        <f t="shared" si="34"/>
        <v/>
      </c>
      <c r="R487" s="26" t="str">
        <f t="shared" ca="1" si="35"/>
        <v/>
      </c>
      <c r="S487" s="27" t="str">
        <f>IF(I487="","",_xlfn.XLOOKUP(I487,Lists!$C:$C,Lists!$I:$I))</f>
        <v/>
      </c>
    </row>
    <row r="488" spans="3:19" x14ac:dyDescent="0.2">
      <c r="C488" s="26">
        <f>_xlfn.XLOOKUP(B488,Lists!B:B,Lists!A:A,"")</f>
        <v>0</v>
      </c>
      <c r="G488" s="26" t="str">
        <f t="shared" si="31"/>
        <v/>
      </c>
      <c r="H488" s="31" t="str">
        <f t="shared" si="32"/>
        <v/>
      </c>
      <c r="J488" s="27" t="str">
        <f>IF(I488="","",_xlfn.XLOOKUP(I488,Lists!$C:$C,Lists!$D:$D))</f>
        <v/>
      </c>
      <c r="N488" s="26" t="str">
        <f t="shared" si="33"/>
        <v/>
      </c>
      <c r="O488" s="27" t="str">
        <f>IF(I488="","",_xlfn.XLOOKUP(I488,Lists!$C:$C,Lists!$J:$J))</f>
        <v/>
      </c>
      <c r="P488" s="27" t="str">
        <f>IF(I488="","",_xlfn.XLOOKUP(I488,Lists!$C:$C,Lists!$E:$E))</f>
        <v/>
      </c>
      <c r="Q488" s="28" t="str">
        <f t="shared" si="34"/>
        <v/>
      </c>
      <c r="R488" s="26" t="str">
        <f t="shared" ca="1" si="35"/>
        <v/>
      </c>
      <c r="S488" s="27" t="str">
        <f>IF(I488="","",_xlfn.XLOOKUP(I488,Lists!$C:$C,Lists!$I:$I))</f>
        <v/>
      </c>
    </row>
    <row r="489" spans="3:19" x14ac:dyDescent="0.2">
      <c r="C489" s="26">
        <f>_xlfn.XLOOKUP(B489,Lists!B:B,Lists!A:A,"")</f>
        <v>0</v>
      </c>
      <c r="G489" s="26" t="str">
        <f t="shared" si="31"/>
        <v/>
      </c>
      <c r="H489" s="31" t="str">
        <f t="shared" si="32"/>
        <v/>
      </c>
      <c r="J489" s="27" t="str">
        <f>IF(I489="","",_xlfn.XLOOKUP(I489,Lists!$C:$C,Lists!$D:$D))</f>
        <v/>
      </c>
      <c r="N489" s="26" t="str">
        <f t="shared" si="33"/>
        <v/>
      </c>
      <c r="O489" s="27" t="str">
        <f>IF(I489="","",_xlfn.XLOOKUP(I489,Lists!$C:$C,Lists!$J:$J))</f>
        <v/>
      </c>
      <c r="P489" s="27" t="str">
        <f>IF(I489="","",_xlfn.XLOOKUP(I489,Lists!$C:$C,Lists!$E:$E))</f>
        <v/>
      </c>
      <c r="Q489" s="28" t="str">
        <f t="shared" si="34"/>
        <v/>
      </c>
      <c r="R489" s="26" t="str">
        <f t="shared" ca="1" si="35"/>
        <v/>
      </c>
      <c r="S489" s="27" t="str">
        <f>IF(I489="","",_xlfn.XLOOKUP(I489,Lists!$C:$C,Lists!$I:$I))</f>
        <v/>
      </c>
    </row>
    <row r="490" spans="3:19" x14ac:dyDescent="0.2">
      <c r="C490" s="26">
        <f>_xlfn.XLOOKUP(B490,Lists!B:B,Lists!A:A,"")</f>
        <v>0</v>
      </c>
      <c r="G490" s="26" t="str">
        <f t="shared" si="31"/>
        <v/>
      </c>
      <c r="H490" s="31" t="str">
        <f t="shared" si="32"/>
        <v/>
      </c>
      <c r="J490" s="27" t="str">
        <f>IF(I490="","",_xlfn.XLOOKUP(I490,Lists!$C:$C,Lists!$D:$D))</f>
        <v/>
      </c>
      <c r="N490" s="26" t="str">
        <f t="shared" si="33"/>
        <v/>
      </c>
      <c r="O490" s="27" t="str">
        <f>IF(I490="","",_xlfn.XLOOKUP(I490,Lists!$C:$C,Lists!$J:$J))</f>
        <v/>
      </c>
      <c r="P490" s="27" t="str">
        <f>IF(I490="","",_xlfn.XLOOKUP(I490,Lists!$C:$C,Lists!$E:$E))</f>
        <v/>
      </c>
      <c r="Q490" s="28" t="str">
        <f t="shared" si="34"/>
        <v/>
      </c>
      <c r="R490" s="26" t="str">
        <f t="shared" ca="1" si="35"/>
        <v/>
      </c>
      <c r="S490" s="27" t="str">
        <f>IF(I490="","",_xlfn.XLOOKUP(I490,Lists!$C:$C,Lists!$I:$I))</f>
        <v/>
      </c>
    </row>
    <row r="491" spans="3:19" x14ac:dyDescent="0.2">
      <c r="C491" s="26">
        <f>_xlfn.XLOOKUP(B491,Lists!B:B,Lists!A:A,"")</f>
        <v>0</v>
      </c>
      <c r="G491" s="26" t="str">
        <f t="shared" si="31"/>
        <v/>
      </c>
      <c r="H491" s="31" t="str">
        <f t="shared" si="32"/>
        <v/>
      </c>
      <c r="J491" s="27" t="str">
        <f>IF(I491="","",_xlfn.XLOOKUP(I491,Lists!$C:$C,Lists!$D:$D))</f>
        <v/>
      </c>
      <c r="N491" s="26" t="str">
        <f t="shared" si="33"/>
        <v/>
      </c>
      <c r="O491" s="27" t="str">
        <f>IF(I491="","",_xlfn.XLOOKUP(I491,Lists!$C:$C,Lists!$J:$J))</f>
        <v/>
      </c>
      <c r="P491" s="27" t="str">
        <f>IF(I491="","",_xlfn.XLOOKUP(I491,Lists!$C:$C,Lists!$E:$E))</f>
        <v/>
      </c>
      <c r="Q491" s="28" t="str">
        <f t="shared" si="34"/>
        <v/>
      </c>
      <c r="R491" s="26" t="str">
        <f t="shared" ca="1" si="35"/>
        <v/>
      </c>
      <c r="S491" s="27" t="str">
        <f>IF(I491="","",_xlfn.XLOOKUP(I491,Lists!$C:$C,Lists!$I:$I))</f>
        <v/>
      </c>
    </row>
    <row r="492" spans="3:19" x14ac:dyDescent="0.2">
      <c r="C492" s="26">
        <f>_xlfn.XLOOKUP(B492,Lists!B:B,Lists!A:A,"")</f>
        <v>0</v>
      </c>
      <c r="G492" s="26" t="str">
        <f t="shared" si="31"/>
        <v/>
      </c>
      <c r="H492" s="31" t="str">
        <f t="shared" si="32"/>
        <v/>
      </c>
      <c r="J492" s="27" t="str">
        <f>IF(I492="","",_xlfn.XLOOKUP(I492,Lists!$C:$C,Lists!$D:$D))</f>
        <v/>
      </c>
      <c r="N492" s="26" t="str">
        <f t="shared" si="33"/>
        <v/>
      </c>
      <c r="O492" s="27" t="str">
        <f>IF(I492="","",_xlfn.XLOOKUP(I492,Lists!$C:$C,Lists!$J:$J))</f>
        <v/>
      </c>
      <c r="P492" s="27" t="str">
        <f>IF(I492="","",_xlfn.XLOOKUP(I492,Lists!$C:$C,Lists!$E:$E))</f>
        <v/>
      </c>
      <c r="Q492" s="28" t="str">
        <f t="shared" si="34"/>
        <v/>
      </c>
      <c r="R492" s="26" t="str">
        <f t="shared" ca="1" si="35"/>
        <v/>
      </c>
      <c r="S492" s="27" t="str">
        <f>IF(I492="","",_xlfn.XLOOKUP(I492,Lists!$C:$C,Lists!$I:$I))</f>
        <v/>
      </c>
    </row>
    <row r="493" spans="3:19" x14ac:dyDescent="0.2">
      <c r="C493" s="26">
        <f>_xlfn.XLOOKUP(B493,Lists!B:B,Lists!A:A,"")</f>
        <v>0</v>
      </c>
      <c r="G493" s="26" t="str">
        <f t="shared" si="31"/>
        <v/>
      </c>
      <c r="H493" s="31" t="str">
        <f t="shared" si="32"/>
        <v/>
      </c>
      <c r="J493" s="27" t="str">
        <f>IF(I493="","",_xlfn.XLOOKUP(I493,Lists!$C:$C,Lists!$D:$D))</f>
        <v/>
      </c>
      <c r="N493" s="26" t="str">
        <f t="shared" si="33"/>
        <v/>
      </c>
      <c r="O493" s="27" t="str">
        <f>IF(I493="","",_xlfn.XLOOKUP(I493,Lists!$C:$C,Lists!$J:$J))</f>
        <v/>
      </c>
      <c r="P493" s="27" t="str">
        <f>IF(I493="","",_xlfn.XLOOKUP(I493,Lists!$C:$C,Lists!$E:$E))</f>
        <v/>
      </c>
      <c r="Q493" s="28" t="str">
        <f t="shared" si="34"/>
        <v/>
      </c>
      <c r="R493" s="26" t="str">
        <f t="shared" ca="1" si="35"/>
        <v/>
      </c>
      <c r="S493" s="27" t="str">
        <f>IF(I493="","",_xlfn.XLOOKUP(I493,Lists!$C:$C,Lists!$I:$I))</f>
        <v/>
      </c>
    </row>
    <row r="494" spans="3:19" x14ac:dyDescent="0.2">
      <c r="C494" s="26">
        <f>_xlfn.XLOOKUP(B494,Lists!B:B,Lists!A:A,"")</f>
        <v>0</v>
      </c>
      <c r="G494" s="26" t="str">
        <f t="shared" si="31"/>
        <v/>
      </c>
      <c r="H494" s="31" t="str">
        <f t="shared" si="32"/>
        <v/>
      </c>
      <c r="J494" s="27" t="str">
        <f>IF(I494="","",_xlfn.XLOOKUP(I494,Lists!$C:$C,Lists!$D:$D))</f>
        <v/>
      </c>
      <c r="N494" s="26" t="str">
        <f t="shared" si="33"/>
        <v/>
      </c>
      <c r="O494" s="27" t="str">
        <f>IF(I494="","",_xlfn.XLOOKUP(I494,Lists!$C:$C,Lists!$J:$J))</f>
        <v/>
      </c>
      <c r="P494" s="27" t="str">
        <f>IF(I494="","",_xlfn.XLOOKUP(I494,Lists!$C:$C,Lists!$E:$E))</f>
        <v/>
      </c>
      <c r="Q494" s="28" t="str">
        <f t="shared" si="34"/>
        <v/>
      </c>
      <c r="R494" s="26" t="str">
        <f t="shared" ca="1" si="35"/>
        <v/>
      </c>
      <c r="S494" s="27" t="str">
        <f>IF(I494="","",_xlfn.XLOOKUP(I494,Lists!$C:$C,Lists!$I:$I))</f>
        <v/>
      </c>
    </row>
    <row r="495" spans="3:19" x14ac:dyDescent="0.2">
      <c r="C495" s="26">
        <f>_xlfn.XLOOKUP(B495,Lists!B:B,Lists!A:A,"")</f>
        <v>0</v>
      </c>
      <c r="G495" s="26" t="str">
        <f t="shared" si="31"/>
        <v/>
      </c>
      <c r="H495" s="31" t="str">
        <f t="shared" si="32"/>
        <v/>
      </c>
      <c r="J495" s="27" t="str">
        <f>IF(I495="","",_xlfn.XLOOKUP(I495,Lists!$C:$C,Lists!$D:$D))</f>
        <v/>
      </c>
      <c r="N495" s="26" t="str">
        <f t="shared" si="33"/>
        <v/>
      </c>
      <c r="O495" s="27" t="str">
        <f>IF(I495="","",_xlfn.XLOOKUP(I495,Lists!$C:$C,Lists!$J:$J))</f>
        <v/>
      </c>
      <c r="P495" s="27" t="str">
        <f>IF(I495="","",_xlfn.XLOOKUP(I495,Lists!$C:$C,Lists!$E:$E))</f>
        <v/>
      </c>
      <c r="Q495" s="28" t="str">
        <f t="shared" si="34"/>
        <v/>
      </c>
      <c r="R495" s="26" t="str">
        <f t="shared" ca="1" si="35"/>
        <v/>
      </c>
      <c r="S495" s="27" t="str">
        <f>IF(I495="","",_xlfn.XLOOKUP(I495,Lists!$C:$C,Lists!$I:$I))</f>
        <v/>
      </c>
    </row>
    <row r="496" spans="3:19" x14ac:dyDescent="0.2">
      <c r="C496" s="26">
        <f>_xlfn.XLOOKUP(B496,Lists!B:B,Lists!A:A,"")</f>
        <v>0</v>
      </c>
      <c r="G496" s="26" t="str">
        <f t="shared" si="31"/>
        <v/>
      </c>
      <c r="H496" s="31" t="str">
        <f t="shared" si="32"/>
        <v/>
      </c>
      <c r="J496" s="27" t="str">
        <f>IF(I496="","",_xlfn.XLOOKUP(I496,Lists!$C:$C,Lists!$D:$D))</f>
        <v/>
      </c>
      <c r="N496" s="26" t="str">
        <f t="shared" si="33"/>
        <v/>
      </c>
      <c r="O496" s="27" t="str">
        <f>IF(I496="","",_xlfn.XLOOKUP(I496,Lists!$C:$C,Lists!$J:$J))</f>
        <v/>
      </c>
      <c r="P496" s="27" t="str">
        <f>IF(I496="","",_xlfn.XLOOKUP(I496,Lists!$C:$C,Lists!$E:$E))</f>
        <v/>
      </c>
      <c r="Q496" s="28" t="str">
        <f t="shared" si="34"/>
        <v/>
      </c>
      <c r="R496" s="26" t="str">
        <f t="shared" ca="1" si="35"/>
        <v/>
      </c>
      <c r="S496" s="27" t="str">
        <f>IF(I496="","",_xlfn.XLOOKUP(I496,Lists!$C:$C,Lists!$I:$I))</f>
        <v/>
      </c>
    </row>
    <row r="497" spans="3:19" x14ac:dyDescent="0.2">
      <c r="C497" s="26">
        <f>_xlfn.XLOOKUP(B497,Lists!B:B,Lists!A:A,"")</f>
        <v>0</v>
      </c>
      <c r="G497" s="26" t="str">
        <f t="shared" si="31"/>
        <v/>
      </c>
      <c r="H497" s="31" t="str">
        <f t="shared" si="32"/>
        <v/>
      </c>
      <c r="J497" s="27" t="str">
        <f>IF(I497="","",_xlfn.XLOOKUP(I497,Lists!$C:$C,Lists!$D:$D))</f>
        <v/>
      </c>
      <c r="N497" s="26" t="str">
        <f t="shared" si="33"/>
        <v/>
      </c>
      <c r="O497" s="27" t="str">
        <f>IF(I497="","",_xlfn.XLOOKUP(I497,Lists!$C:$C,Lists!$J:$J))</f>
        <v/>
      </c>
      <c r="P497" s="27" t="str">
        <f>IF(I497="","",_xlfn.XLOOKUP(I497,Lists!$C:$C,Lists!$E:$E))</f>
        <v/>
      </c>
      <c r="Q497" s="28" t="str">
        <f t="shared" si="34"/>
        <v/>
      </c>
      <c r="R497" s="26" t="str">
        <f t="shared" ca="1" si="35"/>
        <v/>
      </c>
      <c r="S497" s="27" t="str">
        <f>IF(I497="","",_xlfn.XLOOKUP(I497,Lists!$C:$C,Lists!$I:$I))</f>
        <v/>
      </c>
    </row>
    <row r="498" spans="3:19" x14ac:dyDescent="0.2">
      <c r="C498" s="26">
        <f>_xlfn.XLOOKUP(B498,Lists!B:B,Lists!A:A,"")</f>
        <v>0</v>
      </c>
      <c r="G498" s="26" t="str">
        <f t="shared" si="31"/>
        <v/>
      </c>
      <c r="H498" s="31" t="str">
        <f t="shared" si="32"/>
        <v/>
      </c>
      <c r="J498" s="27" t="str">
        <f>IF(I498="","",_xlfn.XLOOKUP(I498,Lists!$C:$C,Lists!$D:$D))</f>
        <v/>
      </c>
      <c r="N498" s="26" t="str">
        <f t="shared" si="33"/>
        <v/>
      </c>
      <c r="O498" s="27" t="str">
        <f>IF(I498="","",_xlfn.XLOOKUP(I498,Lists!$C:$C,Lists!$J:$J))</f>
        <v/>
      </c>
      <c r="P498" s="27" t="str">
        <f>IF(I498="","",_xlfn.XLOOKUP(I498,Lists!$C:$C,Lists!$E:$E))</f>
        <v/>
      </c>
      <c r="Q498" s="28" t="str">
        <f t="shared" si="34"/>
        <v/>
      </c>
      <c r="R498" s="26" t="str">
        <f t="shared" ca="1" si="35"/>
        <v/>
      </c>
      <c r="S498" s="27" t="str">
        <f>IF(I498="","",_xlfn.XLOOKUP(I498,Lists!$C:$C,Lists!$I:$I))</f>
        <v/>
      </c>
    </row>
    <row r="499" spans="3:19" x14ac:dyDescent="0.2">
      <c r="C499" s="26">
        <f>_xlfn.XLOOKUP(B499,Lists!B:B,Lists!A:A,"")</f>
        <v>0</v>
      </c>
      <c r="G499" s="26" t="str">
        <f t="shared" si="31"/>
        <v/>
      </c>
      <c r="H499" s="31" t="str">
        <f t="shared" si="32"/>
        <v/>
      </c>
      <c r="J499" s="27" t="str">
        <f>IF(I499="","",_xlfn.XLOOKUP(I499,Lists!$C:$C,Lists!$D:$D))</f>
        <v/>
      </c>
      <c r="N499" s="26" t="str">
        <f t="shared" si="33"/>
        <v/>
      </c>
      <c r="O499" s="27" t="str">
        <f>IF(I499="","",_xlfn.XLOOKUP(I499,Lists!$C:$C,Lists!$J:$J))</f>
        <v/>
      </c>
      <c r="P499" s="27" t="str">
        <f>IF(I499="","",_xlfn.XLOOKUP(I499,Lists!$C:$C,Lists!$E:$E))</f>
        <v/>
      </c>
      <c r="Q499" s="28" t="str">
        <f t="shared" si="34"/>
        <v/>
      </c>
      <c r="R499" s="26" t="str">
        <f t="shared" ca="1" si="35"/>
        <v/>
      </c>
      <c r="S499" s="27" t="str">
        <f>IF(I499="","",_xlfn.XLOOKUP(I499,Lists!$C:$C,Lists!$I:$I))</f>
        <v/>
      </c>
    </row>
    <row r="500" spans="3:19" x14ac:dyDescent="0.2">
      <c r="C500" s="26">
        <f>_xlfn.XLOOKUP(B500,Lists!B:B,Lists!A:A,"")</f>
        <v>0</v>
      </c>
      <c r="G500" s="26" t="str">
        <f t="shared" si="31"/>
        <v/>
      </c>
      <c r="H500" s="31" t="str">
        <f t="shared" si="32"/>
        <v/>
      </c>
      <c r="J500" s="27" t="str">
        <f>IF(I500="","",_xlfn.XLOOKUP(I500,Lists!$C:$C,Lists!$D:$D))</f>
        <v/>
      </c>
      <c r="N500" s="26" t="str">
        <f t="shared" si="33"/>
        <v/>
      </c>
      <c r="O500" s="27" t="str">
        <f>IF(I500="","",_xlfn.XLOOKUP(I500,Lists!$C:$C,Lists!$J:$J))</f>
        <v/>
      </c>
      <c r="P500" s="27" t="str">
        <f>IF(I500="","",_xlfn.XLOOKUP(I500,Lists!$C:$C,Lists!$E:$E))</f>
        <v/>
      </c>
      <c r="Q500" s="28" t="str">
        <f t="shared" si="34"/>
        <v/>
      </c>
      <c r="R500" s="26" t="str">
        <f t="shared" ca="1" si="35"/>
        <v/>
      </c>
      <c r="S500" s="27" t="str">
        <f>IF(I500="","",_xlfn.XLOOKUP(I500,Lists!$C:$C,Lists!$I:$I))</f>
        <v/>
      </c>
    </row>
    <row r="501" spans="3:19" x14ac:dyDescent="0.2">
      <c r="C501" s="26">
        <f>_xlfn.XLOOKUP(B501,Lists!B:B,Lists!A:A,"")</f>
        <v>0</v>
      </c>
      <c r="G501" s="26" t="str">
        <f t="shared" si="31"/>
        <v/>
      </c>
      <c r="H501" s="31" t="str">
        <f t="shared" si="32"/>
        <v/>
      </c>
      <c r="J501" s="27" t="str">
        <f>IF(I501="","",_xlfn.XLOOKUP(I501,Lists!$C:$C,Lists!$D:$D))</f>
        <v/>
      </c>
      <c r="N501" s="26" t="str">
        <f t="shared" si="33"/>
        <v/>
      </c>
      <c r="O501" s="27" t="str">
        <f>IF(I501="","",_xlfn.XLOOKUP(I501,Lists!$C:$C,Lists!$J:$J))</f>
        <v/>
      </c>
      <c r="P501" s="27" t="str">
        <f>IF(I501="","",_xlfn.XLOOKUP(I501,Lists!$C:$C,Lists!$E:$E))</f>
        <v/>
      </c>
      <c r="Q501" s="28" t="str">
        <f t="shared" si="34"/>
        <v/>
      </c>
      <c r="R501" s="26" t="str">
        <f t="shared" ca="1" si="35"/>
        <v/>
      </c>
      <c r="S501" s="27" t="str">
        <f>IF(I501="","",_xlfn.XLOOKUP(I501,Lists!$C:$C,Lists!$I:$I))</f>
        <v/>
      </c>
    </row>
    <row r="502" spans="3:19" x14ac:dyDescent="0.2">
      <c r="C502" s="26">
        <f>_xlfn.XLOOKUP(B502,Lists!B:B,Lists!A:A,"")</f>
        <v>0</v>
      </c>
      <c r="G502" s="26" t="str">
        <f t="shared" si="31"/>
        <v/>
      </c>
      <c r="H502" s="31" t="str">
        <f t="shared" si="32"/>
        <v/>
      </c>
      <c r="J502" s="27" t="str">
        <f>IF(I502="","",_xlfn.XLOOKUP(I502,Lists!$C:$C,Lists!$D:$D))</f>
        <v/>
      </c>
      <c r="N502" s="26" t="str">
        <f t="shared" si="33"/>
        <v/>
      </c>
      <c r="O502" s="27" t="str">
        <f>IF(I502="","",_xlfn.XLOOKUP(I502,Lists!$C:$C,Lists!$J:$J))</f>
        <v/>
      </c>
      <c r="P502" s="27" t="str">
        <f>IF(I502="","",_xlfn.XLOOKUP(I502,Lists!$C:$C,Lists!$E:$E))</f>
        <v/>
      </c>
      <c r="Q502" s="28" t="str">
        <f t="shared" si="34"/>
        <v/>
      </c>
      <c r="R502" s="26" t="str">
        <f t="shared" ca="1" si="35"/>
        <v/>
      </c>
      <c r="S502" s="27" t="str">
        <f>IF(I502="","",_xlfn.XLOOKUP(I502,Lists!$C:$C,Lists!$I:$I))</f>
        <v/>
      </c>
    </row>
    <row r="503" spans="3:19" x14ac:dyDescent="0.2">
      <c r="C503" s="26">
        <f>_xlfn.XLOOKUP(B503,Lists!B:B,Lists!A:A,"")</f>
        <v>0</v>
      </c>
      <c r="G503" s="26" t="str">
        <f t="shared" si="31"/>
        <v/>
      </c>
      <c r="H503" s="31" t="str">
        <f t="shared" si="32"/>
        <v/>
      </c>
      <c r="J503" s="27" t="str">
        <f>IF(I503="","",_xlfn.XLOOKUP(I503,Lists!$C:$C,Lists!$D:$D))</f>
        <v/>
      </c>
      <c r="N503" s="26" t="str">
        <f t="shared" si="33"/>
        <v/>
      </c>
      <c r="O503" s="27" t="str">
        <f>IF(I503="","",_xlfn.XLOOKUP(I503,Lists!$C:$C,Lists!$J:$J))</f>
        <v/>
      </c>
      <c r="P503" s="27" t="str">
        <f>IF(I503="","",_xlfn.XLOOKUP(I503,Lists!$C:$C,Lists!$E:$E))</f>
        <v/>
      </c>
      <c r="Q503" s="28" t="str">
        <f t="shared" si="34"/>
        <v/>
      </c>
      <c r="R503" s="26" t="str">
        <f t="shared" ca="1" si="35"/>
        <v/>
      </c>
      <c r="S503" s="27" t="str">
        <f>IF(I503="","",_xlfn.XLOOKUP(I503,Lists!$C:$C,Lists!$I:$I))</f>
        <v/>
      </c>
    </row>
    <row r="504" spans="3:19" x14ac:dyDescent="0.2">
      <c r="C504" s="26">
        <f>_xlfn.XLOOKUP(B504,Lists!B:B,Lists!A:A,"")</f>
        <v>0</v>
      </c>
      <c r="G504" s="26" t="str">
        <f t="shared" si="31"/>
        <v/>
      </c>
      <c r="H504" s="31" t="str">
        <f t="shared" si="32"/>
        <v/>
      </c>
      <c r="J504" s="27" t="str">
        <f>IF(I504="","",_xlfn.XLOOKUP(I504,Lists!$C:$C,Lists!$D:$D))</f>
        <v/>
      </c>
      <c r="N504" s="26" t="str">
        <f t="shared" si="33"/>
        <v/>
      </c>
      <c r="O504" s="27" t="str">
        <f>IF(I504="","",_xlfn.XLOOKUP(I504,Lists!$C:$C,Lists!$J:$J))</f>
        <v/>
      </c>
      <c r="P504" s="27" t="str">
        <f>IF(I504="","",_xlfn.XLOOKUP(I504,Lists!$C:$C,Lists!$E:$E))</f>
        <v/>
      </c>
      <c r="Q504" s="28" t="str">
        <f t="shared" si="34"/>
        <v/>
      </c>
      <c r="R504" s="26" t="str">
        <f t="shared" ca="1" si="35"/>
        <v/>
      </c>
      <c r="S504" s="27" t="str">
        <f>IF(I504="","",_xlfn.XLOOKUP(I504,Lists!$C:$C,Lists!$I:$I))</f>
        <v/>
      </c>
    </row>
    <row r="505" spans="3:19" x14ac:dyDescent="0.2">
      <c r="C505" s="26">
        <f>_xlfn.XLOOKUP(B505,Lists!B:B,Lists!A:A,"")</f>
        <v>0</v>
      </c>
      <c r="G505" s="26" t="str">
        <f t="shared" si="31"/>
        <v/>
      </c>
      <c r="H505" s="31" t="str">
        <f t="shared" si="32"/>
        <v/>
      </c>
      <c r="J505" s="27" t="str">
        <f>IF(I505="","",_xlfn.XLOOKUP(I505,Lists!$C:$C,Lists!$D:$D))</f>
        <v/>
      </c>
      <c r="N505" s="26" t="str">
        <f t="shared" si="33"/>
        <v/>
      </c>
      <c r="O505" s="27" t="str">
        <f>IF(I505="","",_xlfn.XLOOKUP(I505,Lists!$C:$C,Lists!$J:$J))</f>
        <v/>
      </c>
      <c r="P505" s="27" t="str">
        <f>IF(I505="","",_xlfn.XLOOKUP(I505,Lists!$C:$C,Lists!$E:$E))</f>
        <v/>
      </c>
      <c r="Q505" s="28" t="str">
        <f t="shared" si="34"/>
        <v/>
      </c>
      <c r="R505" s="26" t="str">
        <f t="shared" ca="1" si="35"/>
        <v/>
      </c>
      <c r="S505" s="27" t="str">
        <f>IF(I505="","",_xlfn.XLOOKUP(I505,Lists!$C:$C,Lists!$I:$I))</f>
        <v/>
      </c>
    </row>
    <row r="506" spans="3:19" x14ac:dyDescent="0.2">
      <c r="C506" s="26">
        <f>_xlfn.XLOOKUP(B506,Lists!B:B,Lists!A:A,"")</f>
        <v>0</v>
      </c>
      <c r="G506" s="26" t="str">
        <f t="shared" si="31"/>
        <v/>
      </c>
      <c r="H506" s="31" t="str">
        <f t="shared" si="32"/>
        <v/>
      </c>
      <c r="J506" s="27" t="str">
        <f>IF(I506="","",_xlfn.XLOOKUP(I506,Lists!$C:$C,Lists!$D:$D))</f>
        <v/>
      </c>
      <c r="N506" s="26" t="str">
        <f t="shared" si="33"/>
        <v/>
      </c>
      <c r="O506" s="27" t="str">
        <f>IF(I506="","",_xlfn.XLOOKUP(I506,Lists!$C:$C,Lists!$J:$J))</f>
        <v/>
      </c>
      <c r="P506" s="27" t="str">
        <f>IF(I506="","",_xlfn.XLOOKUP(I506,Lists!$C:$C,Lists!$E:$E))</f>
        <v/>
      </c>
      <c r="Q506" s="28" t="str">
        <f t="shared" si="34"/>
        <v/>
      </c>
      <c r="R506" s="26" t="str">
        <f t="shared" ca="1" si="35"/>
        <v/>
      </c>
      <c r="S506" s="27" t="str">
        <f>IF(I506="","",_xlfn.XLOOKUP(I506,Lists!$C:$C,Lists!$I:$I))</f>
        <v/>
      </c>
    </row>
    <row r="507" spans="3:19" x14ac:dyDescent="0.2">
      <c r="C507" s="26">
        <f>_xlfn.XLOOKUP(B507,Lists!B:B,Lists!A:A,"")</f>
        <v>0</v>
      </c>
      <c r="G507" s="26" t="str">
        <f t="shared" si="31"/>
        <v/>
      </c>
      <c r="H507" s="31" t="str">
        <f t="shared" si="32"/>
        <v/>
      </c>
      <c r="J507" s="27" t="str">
        <f>IF(I507="","",_xlfn.XLOOKUP(I507,Lists!$C:$C,Lists!$D:$D))</f>
        <v/>
      </c>
      <c r="N507" s="26" t="str">
        <f t="shared" si="33"/>
        <v/>
      </c>
      <c r="O507" s="27" t="str">
        <f>IF(I507="","",_xlfn.XLOOKUP(I507,Lists!$C:$C,Lists!$J:$J))</f>
        <v/>
      </c>
      <c r="P507" s="27" t="str">
        <f>IF(I507="","",_xlfn.XLOOKUP(I507,Lists!$C:$C,Lists!$E:$E))</f>
        <v/>
      </c>
      <c r="Q507" s="28" t="str">
        <f t="shared" si="34"/>
        <v/>
      </c>
      <c r="R507" s="26" t="str">
        <f t="shared" ca="1" si="35"/>
        <v/>
      </c>
      <c r="S507" s="27" t="str">
        <f>IF(I507="","",_xlfn.XLOOKUP(I507,Lists!$C:$C,Lists!$I:$I))</f>
        <v/>
      </c>
    </row>
    <row r="508" spans="3:19" x14ac:dyDescent="0.2">
      <c r="C508" s="26">
        <f>_xlfn.XLOOKUP(B508,Lists!B:B,Lists!A:A,"")</f>
        <v>0</v>
      </c>
      <c r="G508" s="26" t="str">
        <f t="shared" si="31"/>
        <v/>
      </c>
      <c r="H508" s="31" t="str">
        <f t="shared" si="32"/>
        <v/>
      </c>
      <c r="J508" s="27" t="str">
        <f>IF(I508="","",_xlfn.XLOOKUP(I508,Lists!$C:$C,Lists!$D:$D))</f>
        <v/>
      </c>
      <c r="N508" s="26" t="str">
        <f t="shared" si="33"/>
        <v/>
      </c>
      <c r="O508" s="27" t="str">
        <f>IF(I508="","",_xlfn.XLOOKUP(I508,Lists!$C:$C,Lists!$J:$J))</f>
        <v/>
      </c>
      <c r="P508" s="27" t="str">
        <f>IF(I508="","",_xlfn.XLOOKUP(I508,Lists!$C:$C,Lists!$E:$E))</f>
        <v/>
      </c>
      <c r="Q508" s="28" t="str">
        <f t="shared" si="34"/>
        <v/>
      </c>
      <c r="R508" s="26" t="str">
        <f t="shared" ca="1" si="35"/>
        <v/>
      </c>
      <c r="S508" s="27" t="str">
        <f>IF(I508="","",_xlfn.XLOOKUP(I508,Lists!$C:$C,Lists!$I:$I))</f>
        <v/>
      </c>
    </row>
    <row r="509" spans="3:19" x14ac:dyDescent="0.2">
      <c r="C509" s="26">
        <f>_xlfn.XLOOKUP(B509,Lists!B:B,Lists!A:A,"")</f>
        <v>0</v>
      </c>
      <c r="G509" s="26" t="str">
        <f t="shared" si="31"/>
        <v/>
      </c>
      <c r="H509" s="31" t="str">
        <f t="shared" si="32"/>
        <v/>
      </c>
      <c r="J509" s="27" t="str">
        <f>IF(I509="","",_xlfn.XLOOKUP(I509,Lists!$C:$C,Lists!$D:$D))</f>
        <v/>
      </c>
      <c r="N509" s="26" t="str">
        <f t="shared" si="33"/>
        <v/>
      </c>
      <c r="O509" s="27" t="str">
        <f>IF(I509="","",_xlfn.XLOOKUP(I509,Lists!$C:$C,Lists!$J:$J))</f>
        <v/>
      </c>
      <c r="P509" s="27" t="str">
        <f>IF(I509="","",_xlfn.XLOOKUP(I509,Lists!$C:$C,Lists!$E:$E))</f>
        <v/>
      </c>
      <c r="Q509" s="28" t="str">
        <f t="shared" si="34"/>
        <v/>
      </c>
      <c r="R509" s="26" t="str">
        <f t="shared" ca="1" si="35"/>
        <v/>
      </c>
      <c r="S509" s="27" t="str">
        <f>IF(I509="","",_xlfn.XLOOKUP(I509,Lists!$C:$C,Lists!$I:$I))</f>
        <v/>
      </c>
    </row>
    <row r="510" spans="3:19" x14ac:dyDescent="0.2">
      <c r="C510" s="26">
        <f>_xlfn.XLOOKUP(B510,Lists!B:B,Lists!A:A,"")</f>
        <v>0</v>
      </c>
      <c r="G510" s="26" t="str">
        <f t="shared" si="31"/>
        <v/>
      </c>
      <c r="H510" s="31" t="str">
        <f t="shared" si="32"/>
        <v/>
      </c>
      <c r="J510" s="27" t="str">
        <f>IF(I510="","",_xlfn.XLOOKUP(I510,Lists!$C:$C,Lists!$D:$D))</f>
        <v/>
      </c>
      <c r="N510" s="26" t="str">
        <f t="shared" si="33"/>
        <v/>
      </c>
      <c r="O510" s="27" t="str">
        <f>IF(I510="","",_xlfn.XLOOKUP(I510,Lists!$C:$C,Lists!$J:$J))</f>
        <v/>
      </c>
      <c r="P510" s="27" t="str">
        <f>IF(I510="","",_xlfn.XLOOKUP(I510,Lists!$C:$C,Lists!$E:$E))</f>
        <v/>
      </c>
      <c r="Q510" s="28" t="str">
        <f t="shared" si="34"/>
        <v/>
      </c>
      <c r="R510" s="26" t="str">
        <f t="shared" ca="1" si="35"/>
        <v/>
      </c>
      <c r="S510" s="27" t="str">
        <f>IF(I510="","",_xlfn.XLOOKUP(I510,Lists!$C:$C,Lists!$I:$I))</f>
        <v/>
      </c>
    </row>
    <row r="511" spans="3:19" x14ac:dyDescent="0.2">
      <c r="C511" s="26">
        <f>_xlfn.XLOOKUP(B511,Lists!B:B,Lists!A:A,"")</f>
        <v>0</v>
      </c>
      <c r="G511" s="26" t="str">
        <f t="shared" si="31"/>
        <v/>
      </c>
      <c r="H511" s="31" t="str">
        <f t="shared" si="32"/>
        <v/>
      </c>
      <c r="J511" s="27" t="str">
        <f>IF(I511="","",_xlfn.XLOOKUP(I511,Lists!$C:$C,Lists!$D:$D))</f>
        <v/>
      </c>
      <c r="N511" s="26" t="str">
        <f t="shared" si="33"/>
        <v/>
      </c>
      <c r="O511" s="27" t="str">
        <f>IF(I511="","",_xlfn.XLOOKUP(I511,Lists!$C:$C,Lists!$J:$J))</f>
        <v/>
      </c>
      <c r="P511" s="27" t="str">
        <f>IF(I511="","",_xlfn.XLOOKUP(I511,Lists!$C:$C,Lists!$E:$E))</f>
        <v/>
      </c>
      <c r="Q511" s="28" t="str">
        <f t="shared" si="34"/>
        <v/>
      </c>
      <c r="R511" s="26" t="str">
        <f t="shared" ca="1" si="35"/>
        <v/>
      </c>
      <c r="S511" s="27" t="str">
        <f>IF(I511="","",_xlfn.XLOOKUP(I511,Lists!$C:$C,Lists!$I:$I))</f>
        <v/>
      </c>
    </row>
    <row r="512" spans="3:19" x14ac:dyDescent="0.2">
      <c r="C512" s="26">
        <f>_xlfn.XLOOKUP(B512,Lists!B:B,Lists!A:A,"")</f>
        <v>0</v>
      </c>
      <c r="G512" s="26" t="str">
        <f t="shared" si="31"/>
        <v/>
      </c>
      <c r="H512" s="31" t="str">
        <f t="shared" si="32"/>
        <v/>
      </c>
      <c r="J512" s="27" t="str">
        <f>IF(I512="","",_xlfn.XLOOKUP(I512,Lists!$C:$C,Lists!$D:$D))</f>
        <v/>
      </c>
      <c r="N512" s="26" t="str">
        <f t="shared" si="33"/>
        <v/>
      </c>
      <c r="O512" s="27" t="str">
        <f>IF(I512="","",_xlfn.XLOOKUP(I512,Lists!$C:$C,Lists!$J:$J))</f>
        <v/>
      </c>
      <c r="P512" s="27" t="str">
        <f>IF(I512="","",_xlfn.XLOOKUP(I512,Lists!$C:$C,Lists!$E:$E))</f>
        <v/>
      </c>
      <c r="Q512" s="28" t="str">
        <f t="shared" si="34"/>
        <v/>
      </c>
      <c r="R512" s="26" t="str">
        <f t="shared" ca="1" si="35"/>
        <v/>
      </c>
      <c r="S512" s="27" t="str">
        <f>IF(I512="","",_xlfn.XLOOKUP(I512,Lists!$C:$C,Lists!$I:$I))</f>
        <v/>
      </c>
    </row>
    <row r="513" spans="3:19" x14ac:dyDescent="0.2">
      <c r="C513" s="26">
        <f>_xlfn.XLOOKUP(B513,Lists!B:B,Lists!A:A,"")</f>
        <v>0</v>
      </c>
      <c r="G513" s="26" t="str">
        <f t="shared" si="31"/>
        <v/>
      </c>
      <c r="H513" s="31" t="str">
        <f t="shared" si="32"/>
        <v/>
      </c>
      <c r="J513" s="27" t="str">
        <f>IF(I513="","",_xlfn.XLOOKUP(I513,Lists!$C:$C,Lists!$D:$D))</f>
        <v/>
      </c>
      <c r="N513" s="26" t="str">
        <f t="shared" si="33"/>
        <v/>
      </c>
      <c r="O513" s="27" t="str">
        <f>IF(I513="","",_xlfn.XLOOKUP(I513,Lists!$C:$C,Lists!$J:$J))</f>
        <v/>
      </c>
      <c r="P513" s="27" t="str">
        <f>IF(I513="","",_xlfn.XLOOKUP(I513,Lists!$C:$C,Lists!$E:$E))</f>
        <v/>
      </c>
      <c r="Q513" s="28" t="str">
        <f t="shared" si="34"/>
        <v/>
      </c>
      <c r="R513" s="26" t="str">
        <f t="shared" ca="1" si="35"/>
        <v/>
      </c>
      <c r="S513" s="27" t="str">
        <f>IF(I513="","",_xlfn.XLOOKUP(I513,Lists!$C:$C,Lists!$I:$I))</f>
        <v/>
      </c>
    </row>
    <row r="514" spans="3:19" x14ac:dyDescent="0.2">
      <c r="C514" s="26">
        <f>_xlfn.XLOOKUP(B514,Lists!B:B,Lists!A:A,"")</f>
        <v>0</v>
      </c>
      <c r="G514" s="26" t="str">
        <f t="shared" si="31"/>
        <v/>
      </c>
      <c r="H514" s="31" t="str">
        <f t="shared" si="32"/>
        <v/>
      </c>
      <c r="J514" s="27" t="str">
        <f>IF(I514="","",_xlfn.XLOOKUP(I514,Lists!$C:$C,Lists!$D:$D))</f>
        <v/>
      </c>
      <c r="N514" s="26" t="str">
        <f t="shared" si="33"/>
        <v/>
      </c>
      <c r="O514" s="27" t="str">
        <f>IF(I514="","",_xlfn.XLOOKUP(I514,Lists!$C:$C,Lists!$J:$J))</f>
        <v/>
      </c>
      <c r="P514" s="27" t="str">
        <f>IF(I514="","",_xlfn.XLOOKUP(I514,Lists!$C:$C,Lists!$E:$E))</f>
        <v/>
      </c>
      <c r="Q514" s="28" t="str">
        <f t="shared" si="34"/>
        <v/>
      </c>
      <c r="R514" s="26" t="str">
        <f t="shared" ca="1" si="35"/>
        <v/>
      </c>
      <c r="S514" s="27" t="str">
        <f>IF(I514="","",_xlfn.XLOOKUP(I514,Lists!$C:$C,Lists!$I:$I))</f>
        <v/>
      </c>
    </row>
    <row r="515" spans="3:19" x14ac:dyDescent="0.2">
      <c r="C515" s="26">
        <f>_xlfn.XLOOKUP(B515,Lists!B:B,Lists!A:A,"")</f>
        <v>0</v>
      </c>
      <c r="G515" s="26" t="str">
        <f t="shared" si="31"/>
        <v/>
      </c>
      <c r="H515" s="31" t="str">
        <f t="shared" si="32"/>
        <v/>
      </c>
      <c r="J515" s="27" t="str">
        <f>IF(I515="","",_xlfn.XLOOKUP(I515,Lists!$C:$C,Lists!$D:$D))</f>
        <v/>
      </c>
      <c r="N515" s="26" t="str">
        <f t="shared" si="33"/>
        <v/>
      </c>
      <c r="O515" s="27" t="str">
        <f>IF(I515="","",_xlfn.XLOOKUP(I515,Lists!$C:$C,Lists!$J:$J))</f>
        <v/>
      </c>
      <c r="P515" s="27" t="str">
        <f>IF(I515="","",_xlfn.XLOOKUP(I515,Lists!$C:$C,Lists!$E:$E))</f>
        <v/>
      </c>
      <c r="Q515" s="28" t="str">
        <f t="shared" si="34"/>
        <v/>
      </c>
      <c r="R515" s="26" t="str">
        <f t="shared" ca="1" si="35"/>
        <v/>
      </c>
      <c r="S515" s="27" t="str">
        <f>IF(I515="","",_xlfn.XLOOKUP(I515,Lists!$C:$C,Lists!$I:$I))</f>
        <v/>
      </c>
    </row>
    <row r="516" spans="3:19" x14ac:dyDescent="0.2">
      <c r="C516" s="26">
        <f>_xlfn.XLOOKUP(B516,Lists!B:B,Lists!A:A,"")</f>
        <v>0</v>
      </c>
      <c r="G516" s="26" t="str">
        <f t="shared" si="31"/>
        <v/>
      </c>
      <c r="H516" s="31" t="str">
        <f t="shared" si="32"/>
        <v/>
      </c>
      <c r="J516" s="27" t="str">
        <f>IF(I516="","",_xlfn.XLOOKUP(I516,Lists!$C:$C,Lists!$D:$D))</f>
        <v/>
      </c>
      <c r="N516" s="26" t="str">
        <f t="shared" si="33"/>
        <v/>
      </c>
      <c r="O516" s="27" t="str">
        <f>IF(I516="","",_xlfn.XLOOKUP(I516,Lists!$C:$C,Lists!$J:$J))</f>
        <v/>
      </c>
      <c r="P516" s="27" t="str">
        <f>IF(I516="","",_xlfn.XLOOKUP(I516,Lists!$C:$C,Lists!$E:$E))</f>
        <v/>
      </c>
      <c r="Q516" s="28" t="str">
        <f t="shared" si="34"/>
        <v/>
      </c>
      <c r="R516" s="26" t="str">
        <f t="shared" ca="1" si="35"/>
        <v/>
      </c>
      <c r="S516" s="27" t="str">
        <f>IF(I516="","",_xlfn.XLOOKUP(I516,Lists!$C:$C,Lists!$I:$I))</f>
        <v/>
      </c>
    </row>
    <row r="517" spans="3:19" x14ac:dyDescent="0.2">
      <c r="C517" s="26">
        <f>_xlfn.XLOOKUP(B517,Lists!B:B,Lists!A:A,"")</f>
        <v>0</v>
      </c>
      <c r="G517" s="26" t="str">
        <f t="shared" si="31"/>
        <v/>
      </c>
      <c r="H517" s="31" t="str">
        <f t="shared" si="32"/>
        <v/>
      </c>
      <c r="J517" s="27" t="str">
        <f>IF(I517="","",_xlfn.XLOOKUP(I517,Lists!$C:$C,Lists!$D:$D))</f>
        <v/>
      </c>
      <c r="N517" s="26" t="str">
        <f t="shared" si="33"/>
        <v/>
      </c>
      <c r="O517" s="27" t="str">
        <f>IF(I517="","",_xlfn.XLOOKUP(I517,Lists!$C:$C,Lists!$J:$J))</f>
        <v/>
      </c>
      <c r="P517" s="27" t="str">
        <f>IF(I517="","",_xlfn.XLOOKUP(I517,Lists!$C:$C,Lists!$E:$E))</f>
        <v/>
      </c>
      <c r="Q517" s="28" t="str">
        <f t="shared" si="34"/>
        <v/>
      </c>
      <c r="R517" s="26" t="str">
        <f t="shared" ca="1" si="35"/>
        <v/>
      </c>
      <c r="S517" s="27" t="str">
        <f>IF(I517="","",_xlfn.XLOOKUP(I517,Lists!$C:$C,Lists!$I:$I))</f>
        <v/>
      </c>
    </row>
    <row r="518" spans="3:19" x14ac:dyDescent="0.2">
      <c r="C518" s="26">
        <f>_xlfn.XLOOKUP(B518,Lists!B:B,Lists!A:A,"")</f>
        <v>0</v>
      </c>
      <c r="G518" s="26" t="str">
        <f t="shared" si="31"/>
        <v/>
      </c>
      <c r="H518" s="31" t="str">
        <f t="shared" si="32"/>
        <v/>
      </c>
      <c r="J518" s="27" t="str">
        <f>IF(I518="","",_xlfn.XLOOKUP(I518,Lists!$C:$C,Lists!$D:$D))</f>
        <v/>
      </c>
      <c r="N518" s="26" t="str">
        <f t="shared" si="33"/>
        <v/>
      </c>
      <c r="O518" s="27" t="str">
        <f>IF(I518="","",_xlfn.XLOOKUP(I518,Lists!$C:$C,Lists!$J:$J))</f>
        <v/>
      </c>
      <c r="P518" s="27" t="str">
        <f>IF(I518="","",_xlfn.XLOOKUP(I518,Lists!$C:$C,Lists!$E:$E))</f>
        <v/>
      </c>
      <c r="Q518" s="28" t="str">
        <f t="shared" si="34"/>
        <v/>
      </c>
      <c r="R518" s="26" t="str">
        <f t="shared" ca="1" si="35"/>
        <v/>
      </c>
      <c r="S518" s="27" t="str">
        <f>IF(I518="","",_xlfn.XLOOKUP(I518,Lists!$C:$C,Lists!$I:$I))</f>
        <v/>
      </c>
    </row>
    <row r="519" spans="3:19" x14ac:dyDescent="0.2">
      <c r="C519" s="26">
        <f>_xlfn.XLOOKUP(B519,Lists!B:B,Lists!A:A,"")</f>
        <v>0</v>
      </c>
      <c r="G519" s="26" t="str">
        <f t="shared" si="31"/>
        <v/>
      </c>
      <c r="H519" s="31" t="str">
        <f t="shared" si="32"/>
        <v/>
      </c>
      <c r="J519" s="27" t="str">
        <f>IF(I519="","",_xlfn.XLOOKUP(I519,Lists!$C:$C,Lists!$D:$D))</f>
        <v/>
      </c>
      <c r="N519" s="26" t="str">
        <f t="shared" si="33"/>
        <v/>
      </c>
      <c r="O519" s="27" t="str">
        <f>IF(I519="","",_xlfn.XLOOKUP(I519,Lists!$C:$C,Lists!$J:$J))</f>
        <v/>
      </c>
      <c r="P519" s="27" t="str">
        <f>IF(I519="","",_xlfn.XLOOKUP(I519,Lists!$C:$C,Lists!$E:$E))</f>
        <v/>
      </c>
      <c r="Q519" s="28" t="str">
        <f t="shared" si="34"/>
        <v/>
      </c>
      <c r="R519" s="26" t="str">
        <f t="shared" ca="1" si="35"/>
        <v/>
      </c>
      <c r="S519" s="27" t="str">
        <f>IF(I519="","",_xlfn.XLOOKUP(I519,Lists!$C:$C,Lists!$I:$I))</f>
        <v/>
      </c>
    </row>
    <row r="520" spans="3:19" x14ac:dyDescent="0.2">
      <c r="C520" s="26">
        <f>_xlfn.XLOOKUP(B520,Lists!B:B,Lists!A:A,"")</f>
        <v>0</v>
      </c>
      <c r="G520" s="26" t="str">
        <f t="shared" si="31"/>
        <v/>
      </c>
      <c r="H520" s="31" t="str">
        <f t="shared" si="32"/>
        <v/>
      </c>
      <c r="J520" s="27" t="str">
        <f>IF(I520="","",_xlfn.XLOOKUP(I520,Lists!$C:$C,Lists!$D:$D))</f>
        <v/>
      </c>
      <c r="N520" s="26" t="str">
        <f t="shared" si="33"/>
        <v/>
      </c>
      <c r="O520" s="27" t="str">
        <f>IF(I520="","",_xlfn.XLOOKUP(I520,Lists!$C:$C,Lists!$J:$J))</f>
        <v/>
      </c>
      <c r="P520" s="27" t="str">
        <f>IF(I520="","",_xlfn.XLOOKUP(I520,Lists!$C:$C,Lists!$E:$E))</f>
        <v/>
      </c>
      <c r="Q520" s="28" t="str">
        <f t="shared" si="34"/>
        <v/>
      </c>
      <c r="R520" s="26" t="str">
        <f t="shared" ca="1" si="35"/>
        <v/>
      </c>
      <c r="S520" s="27" t="str">
        <f>IF(I520="","",_xlfn.XLOOKUP(I520,Lists!$C:$C,Lists!$I:$I))</f>
        <v/>
      </c>
    </row>
    <row r="521" spans="3:19" x14ac:dyDescent="0.2">
      <c r="C521" s="26">
        <f>_xlfn.XLOOKUP(B521,Lists!B:B,Lists!A:A,"")</f>
        <v>0</v>
      </c>
      <c r="G521" s="26" t="str">
        <f t="shared" si="31"/>
        <v/>
      </c>
      <c r="H521" s="31" t="str">
        <f t="shared" si="32"/>
        <v/>
      </c>
      <c r="J521" s="27" t="str">
        <f>IF(I521="","",_xlfn.XLOOKUP(I521,Lists!$C:$C,Lists!$D:$D))</f>
        <v/>
      </c>
      <c r="N521" s="26" t="str">
        <f t="shared" si="33"/>
        <v/>
      </c>
      <c r="O521" s="27" t="str">
        <f>IF(I521="","",_xlfn.XLOOKUP(I521,Lists!$C:$C,Lists!$J:$J))</f>
        <v/>
      </c>
      <c r="P521" s="27" t="str">
        <f>IF(I521="","",_xlfn.XLOOKUP(I521,Lists!$C:$C,Lists!$E:$E))</f>
        <v/>
      </c>
      <c r="Q521" s="28" t="str">
        <f t="shared" si="34"/>
        <v/>
      </c>
      <c r="R521" s="26" t="str">
        <f t="shared" ca="1" si="35"/>
        <v/>
      </c>
      <c r="S521" s="27" t="str">
        <f>IF(I521="","",_xlfn.XLOOKUP(I521,Lists!$C:$C,Lists!$I:$I))</f>
        <v/>
      </c>
    </row>
    <row r="522" spans="3:19" x14ac:dyDescent="0.2">
      <c r="C522" s="26">
        <f>_xlfn.XLOOKUP(B522,Lists!B:B,Lists!A:A,"")</f>
        <v>0</v>
      </c>
      <c r="G522" s="26" t="str">
        <f t="shared" si="31"/>
        <v/>
      </c>
      <c r="H522" s="31" t="str">
        <f t="shared" si="32"/>
        <v/>
      </c>
      <c r="J522" s="27" t="str">
        <f>IF(I522="","",_xlfn.XLOOKUP(I522,Lists!$C:$C,Lists!$D:$D))</f>
        <v/>
      </c>
      <c r="N522" s="26" t="str">
        <f t="shared" si="33"/>
        <v/>
      </c>
      <c r="O522" s="27" t="str">
        <f>IF(I522="","",_xlfn.XLOOKUP(I522,Lists!$C:$C,Lists!$J:$J))</f>
        <v/>
      </c>
      <c r="P522" s="27" t="str">
        <f>IF(I522="","",_xlfn.XLOOKUP(I522,Lists!$C:$C,Lists!$E:$E))</f>
        <v/>
      </c>
      <c r="Q522" s="28" t="str">
        <f t="shared" si="34"/>
        <v/>
      </c>
      <c r="R522" s="26" t="str">
        <f t="shared" ca="1" si="35"/>
        <v/>
      </c>
      <c r="S522" s="27" t="str">
        <f>IF(I522="","",_xlfn.XLOOKUP(I522,Lists!$C:$C,Lists!$I:$I))</f>
        <v/>
      </c>
    </row>
    <row r="523" spans="3:19" x14ac:dyDescent="0.2">
      <c r="C523" s="26">
        <f>_xlfn.XLOOKUP(B523,Lists!B:B,Lists!A:A,"")</f>
        <v>0</v>
      </c>
      <c r="G523" s="26" t="str">
        <f t="shared" si="31"/>
        <v/>
      </c>
      <c r="H523" s="31" t="str">
        <f t="shared" si="32"/>
        <v/>
      </c>
      <c r="J523" s="27" t="str">
        <f>IF(I523="","",_xlfn.XLOOKUP(I523,Lists!$C:$C,Lists!$D:$D))</f>
        <v/>
      </c>
      <c r="N523" s="26" t="str">
        <f t="shared" si="33"/>
        <v/>
      </c>
      <c r="O523" s="27" t="str">
        <f>IF(I523="","",_xlfn.XLOOKUP(I523,Lists!$C:$C,Lists!$J:$J))</f>
        <v/>
      </c>
      <c r="P523" s="27" t="str">
        <f>IF(I523="","",_xlfn.XLOOKUP(I523,Lists!$C:$C,Lists!$E:$E))</f>
        <v/>
      </c>
      <c r="Q523" s="28" t="str">
        <f t="shared" si="34"/>
        <v/>
      </c>
      <c r="R523" s="26" t="str">
        <f t="shared" ca="1" si="35"/>
        <v/>
      </c>
      <c r="S523" s="27" t="str">
        <f>IF(I523="","",_xlfn.XLOOKUP(I523,Lists!$C:$C,Lists!$I:$I))</f>
        <v/>
      </c>
    </row>
    <row r="524" spans="3:19" x14ac:dyDescent="0.2">
      <c r="C524" s="26">
        <f>_xlfn.XLOOKUP(B524,Lists!B:B,Lists!A:A,"")</f>
        <v>0</v>
      </c>
      <c r="G524" s="26" t="str">
        <f t="shared" si="31"/>
        <v/>
      </c>
      <c r="H524" s="31" t="str">
        <f t="shared" si="32"/>
        <v/>
      </c>
      <c r="J524" s="27" t="str">
        <f>IF(I524="","",_xlfn.XLOOKUP(I524,Lists!$C:$C,Lists!$D:$D))</f>
        <v/>
      </c>
      <c r="N524" s="26" t="str">
        <f t="shared" si="33"/>
        <v/>
      </c>
      <c r="O524" s="27" t="str">
        <f>IF(I524="","",_xlfn.XLOOKUP(I524,Lists!$C:$C,Lists!$J:$J))</f>
        <v/>
      </c>
      <c r="P524" s="27" t="str">
        <f>IF(I524="","",_xlfn.XLOOKUP(I524,Lists!$C:$C,Lists!$E:$E))</f>
        <v/>
      </c>
      <c r="Q524" s="28" t="str">
        <f t="shared" si="34"/>
        <v/>
      </c>
      <c r="R524" s="26" t="str">
        <f t="shared" ca="1" si="35"/>
        <v/>
      </c>
      <c r="S524" s="27" t="str">
        <f>IF(I524="","",_xlfn.XLOOKUP(I524,Lists!$C:$C,Lists!$I:$I))</f>
        <v/>
      </c>
    </row>
    <row r="525" spans="3:19" x14ac:dyDescent="0.2">
      <c r="C525" s="26">
        <f>_xlfn.XLOOKUP(B525,Lists!B:B,Lists!A:A,"")</f>
        <v>0</v>
      </c>
      <c r="G525" s="26" t="str">
        <f t="shared" si="31"/>
        <v/>
      </c>
      <c r="H525" s="31" t="str">
        <f t="shared" si="32"/>
        <v/>
      </c>
      <c r="J525" s="27" t="str">
        <f>IF(I525="","",_xlfn.XLOOKUP(I525,Lists!$C:$C,Lists!$D:$D))</f>
        <v/>
      </c>
      <c r="N525" s="26" t="str">
        <f t="shared" si="33"/>
        <v/>
      </c>
      <c r="O525" s="27" t="str">
        <f>IF(I525="","",_xlfn.XLOOKUP(I525,Lists!$C:$C,Lists!$J:$J))</f>
        <v/>
      </c>
      <c r="P525" s="27" t="str">
        <f>IF(I525="","",_xlfn.XLOOKUP(I525,Lists!$C:$C,Lists!$E:$E))</f>
        <v/>
      </c>
      <c r="Q525" s="28" t="str">
        <f t="shared" si="34"/>
        <v/>
      </c>
      <c r="R525" s="26" t="str">
        <f t="shared" ca="1" si="35"/>
        <v/>
      </c>
      <c r="S525" s="27" t="str">
        <f>IF(I525="","",_xlfn.XLOOKUP(I525,Lists!$C:$C,Lists!$I:$I))</f>
        <v/>
      </c>
    </row>
    <row r="526" spans="3:19" x14ac:dyDescent="0.2">
      <c r="C526" s="26">
        <f>_xlfn.XLOOKUP(B526,Lists!B:B,Lists!A:A,"")</f>
        <v>0</v>
      </c>
      <c r="G526" s="26" t="str">
        <f t="shared" si="31"/>
        <v/>
      </c>
      <c r="H526" s="31" t="str">
        <f t="shared" si="32"/>
        <v/>
      </c>
      <c r="J526" s="27" t="str">
        <f>IF(I526="","",_xlfn.XLOOKUP(I526,Lists!$C:$C,Lists!$D:$D))</f>
        <v/>
      </c>
      <c r="N526" s="26" t="str">
        <f t="shared" si="33"/>
        <v/>
      </c>
      <c r="O526" s="27" t="str">
        <f>IF(I526="","",_xlfn.XLOOKUP(I526,Lists!$C:$C,Lists!$J:$J))</f>
        <v/>
      </c>
      <c r="P526" s="27" t="str">
        <f>IF(I526="","",_xlfn.XLOOKUP(I526,Lists!$C:$C,Lists!$E:$E))</f>
        <v/>
      </c>
      <c r="Q526" s="28" t="str">
        <f t="shared" si="34"/>
        <v/>
      </c>
      <c r="R526" s="26" t="str">
        <f t="shared" ca="1" si="35"/>
        <v/>
      </c>
      <c r="S526" s="27" t="str">
        <f>IF(I526="","",_xlfn.XLOOKUP(I526,Lists!$C:$C,Lists!$I:$I))</f>
        <v/>
      </c>
    </row>
    <row r="527" spans="3:19" x14ac:dyDescent="0.2">
      <c r="C527" s="26">
        <f>_xlfn.XLOOKUP(B527,Lists!B:B,Lists!A:A,"")</f>
        <v>0</v>
      </c>
      <c r="G527" s="26" t="str">
        <f t="shared" si="31"/>
        <v/>
      </c>
      <c r="H527" s="31" t="str">
        <f t="shared" si="32"/>
        <v/>
      </c>
      <c r="J527" s="27" t="str">
        <f>IF(I527="","",_xlfn.XLOOKUP(I527,Lists!$C:$C,Lists!$D:$D))</f>
        <v/>
      </c>
      <c r="N527" s="26" t="str">
        <f t="shared" si="33"/>
        <v/>
      </c>
      <c r="O527" s="27" t="str">
        <f>IF(I527="","",_xlfn.XLOOKUP(I527,Lists!$C:$C,Lists!$J:$J))</f>
        <v/>
      </c>
      <c r="P527" s="27" t="str">
        <f>IF(I527="","",_xlfn.XLOOKUP(I527,Lists!$C:$C,Lists!$E:$E))</f>
        <v/>
      </c>
      <c r="Q527" s="28" t="str">
        <f t="shared" si="34"/>
        <v/>
      </c>
      <c r="R527" s="26" t="str">
        <f t="shared" ca="1" si="35"/>
        <v/>
      </c>
      <c r="S527" s="27" t="str">
        <f>IF(I527="","",_xlfn.XLOOKUP(I527,Lists!$C:$C,Lists!$I:$I))</f>
        <v/>
      </c>
    </row>
    <row r="528" spans="3:19" x14ac:dyDescent="0.2">
      <c r="C528" s="26">
        <f>_xlfn.XLOOKUP(B528,Lists!B:B,Lists!A:A,"")</f>
        <v>0</v>
      </c>
      <c r="G528" s="26" t="str">
        <f t="shared" si="31"/>
        <v/>
      </c>
      <c r="H528" s="31" t="str">
        <f t="shared" si="32"/>
        <v/>
      </c>
      <c r="J528" s="27" t="str">
        <f>IF(I528="","",_xlfn.XLOOKUP(I528,Lists!$C:$C,Lists!$D:$D))</f>
        <v/>
      </c>
      <c r="N528" s="26" t="str">
        <f t="shared" si="33"/>
        <v/>
      </c>
      <c r="O528" s="27" t="str">
        <f>IF(I528="","",_xlfn.XLOOKUP(I528,Lists!$C:$C,Lists!$J:$J))</f>
        <v/>
      </c>
      <c r="P528" s="27" t="str">
        <f>IF(I528="","",_xlfn.XLOOKUP(I528,Lists!$C:$C,Lists!$E:$E))</f>
        <v/>
      </c>
      <c r="Q528" s="28" t="str">
        <f t="shared" si="34"/>
        <v/>
      </c>
      <c r="R528" s="26" t="str">
        <f t="shared" ca="1" si="35"/>
        <v/>
      </c>
      <c r="S528" s="27" t="str">
        <f>IF(I528="","",_xlfn.XLOOKUP(I528,Lists!$C:$C,Lists!$I:$I))</f>
        <v/>
      </c>
    </row>
    <row r="529" spans="3:19" x14ac:dyDescent="0.2">
      <c r="C529" s="26">
        <f>_xlfn.XLOOKUP(B529,Lists!B:B,Lists!A:A,"")</f>
        <v>0</v>
      </c>
      <c r="G529" s="26" t="str">
        <f t="shared" si="31"/>
        <v/>
      </c>
      <c r="H529" s="31" t="str">
        <f t="shared" si="32"/>
        <v/>
      </c>
      <c r="J529" s="27" t="str">
        <f>IF(I529="","",_xlfn.XLOOKUP(I529,Lists!$C:$C,Lists!$D:$D))</f>
        <v/>
      </c>
      <c r="N529" s="26" t="str">
        <f t="shared" si="33"/>
        <v/>
      </c>
      <c r="O529" s="27" t="str">
        <f>IF(I529="","",_xlfn.XLOOKUP(I529,Lists!$C:$C,Lists!$J:$J))</f>
        <v/>
      </c>
      <c r="P529" s="27" t="str">
        <f>IF(I529="","",_xlfn.XLOOKUP(I529,Lists!$C:$C,Lists!$E:$E))</f>
        <v/>
      </c>
      <c r="Q529" s="28" t="str">
        <f t="shared" si="34"/>
        <v/>
      </c>
      <c r="R529" s="26" t="str">
        <f t="shared" ca="1" si="35"/>
        <v/>
      </c>
      <c r="S529" s="27" t="str">
        <f>IF(I529="","",_xlfn.XLOOKUP(I529,Lists!$C:$C,Lists!$I:$I))</f>
        <v/>
      </c>
    </row>
    <row r="530" spans="3:19" x14ac:dyDescent="0.2">
      <c r="C530" s="26">
        <f>_xlfn.XLOOKUP(B530,Lists!B:B,Lists!A:A,"")</f>
        <v>0</v>
      </c>
      <c r="G530" s="26" t="str">
        <f t="shared" si="31"/>
        <v/>
      </c>
      <c r="H530" s="31" t="str">
        <f t="shared" si="32"/>
        <v/>
      </c>
      <c r="J530" s="27" t="str">
        <f>IF(I530="","",_xlfn.XLOOKUP(I530,Lists!$C:$C,Lists!$D:$D))</f>
        <v/>
      </c>
      <c r="N530" s="26" t="str">
        <f t="shared" si="33"/>
        <v/>
      </c>
      <c r="O530" s="27" t="str">
        <f>IF(I530="","",_xlfn.XLOOKUP(I530,Lists!$C:$C,Lists!$J:$J))</f>
        <v/>
      </c>
      <c r="P530" s="27" t="str">
        <f>IF(I530="","",_xlfn.XLOOKUP(I530,Lists!$C:$C,Lists!$E:$E))</f>
        <v/>
      </c>
      <c r="Q530" s="28" t="str">
        <f t="shared" si="34"/>
        <v/>
      </c>
      <c r="R530" s="26" t="str">
        <f t="shared" ca="1" si="35"/>
        <v/>
      </c>
      <c r="S530" s="27" t="str">
        <f>IF(I530="","",_xlfn.XLOOKUP(I530,Lists!$C:$C,Lists!$I:$I))</f>
        <v/>
      </c>
    </row>
    <row r="531" spans="3:19" x14ac:dyDescent="0.2">
      <c r="C531" s="26">
        <f>_xlfn.XLOOKUP(B531,Lists!B:B,Lists!A:A,"")</f>
        <v>0</v>
      </c>
      <c r="G531" s="26" t="str">
        <f t="shared" si="31"/>
        <v/>
      </c>
      <c r="H531" s="31" t="str">
        <f t="shared" si="32"/>
        <v/>
      </c>
      <c r="J531" s="27" t="str">
        <f>IF(I531="","",_xlfn.XLOOKUP(I531,Lists!$C:$C,Lists!$D:$D))</f>
        <v/>
      </c>
      <c r="N531" s="26" t="str">
        <f t="shared" si="33"/>
        <v/>
      </c>
      <c r="O531" s="27" t="str">
        <f>IF(I531="","",_xlfn.XLOOKUP(I531,Lists!$C:$C,Lists!$J:$J))</f>
        <v/>
      </c>
      <c r="P531" s="27" t="str">
        <f>IF(I531="","",_xlfn.XLOOKUP(I531,Lists!$C:$C,Lists!$E:$E))</f>
        <v/>
      </c>
      <c r="Q531" s="28" t="str">
        <f t="shared" si="34"/>
        <v/>
      </c>
      <c r="R531" s="26" t="str">
        <f t="shared" ca="1" si="35"/>
        <v/>
      </c>
      <c r="S531" s="27" t="str">
        <f>IF(I531="","",_xlfn.XLOOKUP(I531,Lists!$C:$C,Lists!$I:$I))</f>
        <v/>
      </c>
    </row>
    <row r="532" spans="3:19" x14ac:dyDescent="0.2">
      <c r="C532" s="26">
        <f>_xlfn.XLOOKUP(B532,Lists!B:B,Lists!A:A,"")</f>
        <v>0</v>
      </c>
      <c r="G532" s="26" t="str">
        <f t="shared" si="31"/>
        <v/>
      </c>
      <c r="H532" s="31" t="str">
        <f t="shared" si="32"/>
        <v/>
      </c>
      <c r="J532" s="27" t="str">
        <f>IF(I532="","",_xlfn.XLOOKUP(I532,Lists!$C:$C,Lists!$D:$D))</f>
        <v/>
      </c>
      <c r="N532" s="26" t="str">
        <f t="shared" si="33"/>
        <v/>
      </c>
      <c r="O532" s="27" t="str">
        <f>IF(I532="","",_xlfn.XLOOKUP(I532,Lists!$C:$C,Lists!$J:$J))</f>
        <v/>
      </c>
      <c r="P532" s="27" t="str">
        <f>IF(I532="","",_xlfn.XLOOKUP(I532,Lists!$C:$C,Lists!$E:$E))</f>
        <v/>
      </c>
      <c r="Q532" s="28" t="str">
        <f t="shared" si="34"/>
        <v/>
      </c>
      <c r="R532" s="26" t="str">
        <f t="shared" ca="1" si="35"/>
        <v/>
      </c>
      <c r="S532" s="27" t="str">
        <f>IF(I532="","",_xlfn.XLOOKUP(I532,Lists!$C:$C,Lists!$I:$I))</f>
        <v/>
      </c>
    </row>
    <row r="533" spans="3:19" x14ac:dyDescent="0.2">
      <c r="C533" s="26">
        <f>_xlfn.XLOOKUP(B533,Lists!B:B,Lists!A:A,"")</f>
        <v>0</v>
      </c>
      <c r="G533" s="26" t="str">
        <f t="shared" si="31"/>
        <v/>
      </c>
      <c r="H533" s="31" t="str">
        <f t="shared" si="32"/>
        <v/>
      </c>
      <c r="J533" s="27" t="str">
        <f>IF(I533="","",_xlfn.XLOOKUP(I533,Lists!$C:$C,Lists!$D:$D))</f>
        <v/>
      </c>
      <c r="N533" s="26" t="str">
        <f t="shared" si="33"/>
        <v/>
      </c>
      <c r="O533" s="27" t="str">
        <f>IF(I533="","",_xlfn.XLOOKUP(I533,Lists!$C:$C,Lists!$J:$J))</f>
        <v/>
      </c>
      <c r="P533" s="27" t="str">
        <f>IF(I533="","",_xlfn.XLOOKUP(I533,Lists!$C:$C,Lists!$E:$E))</f>
        <v/>
      </c>
      <c r="Q533" s="28" t="str">
        <f t="shared" si="34"/>
        <v/>
      </c>
      <c r="R533" s="26" t="str">
        <f t="shared" ca="1" si="35"/>
        <v/>
      </c>
      <c r="S533" s="27" t="str">
        <f>IF(I533="","",_xlfn.XLOOKUP(I533,Lists!$C:$C,Lists!$I:$I))</f>
        <v/>
      </c>
    </row>
    <row r="534" spans="3:19" x14ac:dyDescent="0.2">
      <c r="C534" s="26">
        <f>_xlfn.XLOOKUP(B534,Lists!B:B,Lists!A:A,"")</f>
        <v>0</v>
      </c>
      <c r="G534" s="26" t="str">
        <f t="shared" si="31"/>
        <v/>
      </c>
      <c r="H534" s="31" t="str">
        <f t="shared" si="32"/>
        <v/>
      </c>
      <c r="J534" s="27" t="str">
        <f>IF(I534="","",_xlfn.XLOOKUP(I534,Lists!$C:$C,Lists!$D:$D))</f>
        <v/>
      </c>
      <c r="N534" s="26" t="str">
        <f t="shared" si="33"/>
        <v/>
      </c>
      <c r="O534" s="27" t="str">
        <f>IF(I534="","",_xlfn.XLOOKUP(I534,Lists!$C:$C,Lists!$J:$J))</f>
        <v/>
      </c>
      <c r="P534" s="27" t="str">
        <f>IF(I534="","",_xlfn.XLOOKUP(I534,Lists!$C:$C,Lists!$E:$E))</f>
        <v/>
      </c>
      <c r="Q534" s="28" t="str">
        <f t="shared" si="34"/>
        <v/>
      </c>
      <c r="R534" s="26" t="str">
        <f t="shared" ca="1" si="35"/>
        <v/>
      </c>
      <c r="S534" s="27" t="str">
        <f>IF(I534="","",_xlfn.XLOOKUP(I534,Lists!$C:$C,Lists!$I:$I))</f>
        <v/>
      </c>
    </row>
    <row r="535" spans="3:19" x14ac:dyDescent="0.2">
      <c r="C535" s="26">
        <f>_xlfn.XLOOKUP(B535,Lists!B:B,Lists!A:A,"")</f>
        <v>0</v>
      </c>
      <c r="G535" s="26" t="str">
        <f t="shared" si="31"/>
        <v/>
      </c>
      <c r="H535" s="31" t="str">
        <f t="shared" si="32"/>
        <v/>
      </c>
      <c r="J535" s="27" t="str">
        <f>IF(I535="","",_xlfn.XLOOKUP(I535,Lists!$C:$C,Lists!$D:$D))</f>
        <v/>
      </c>
      <c r="N535" s="26" t="str">
        <f t="shared" si="33"/>
        <v/>
      </c>
      <c r="O535" s="27" t="str">
        <f>IF(I535="","",_xlfn.XLOOKUP(I535,Lists!$C:$C,Lists!$J:$J))</f>
        <v/>
      </c>
      <c r="P535" s="27" t="str">
        <f>IF(I535="","",_xlfn.XLOOKUP(I535,Lists!$C:$C,Lists!$E:$E))</f>
        <v/>
      </c>
      <c r="Q535" s="28" t="str">
        <f t="shared" si="34"/>
        <v/>
      </c>
      <c r="R535" s="26" t="str">
        <f t="shared" ca="1" si="35"/>
        <v/>
      </c>
      <c r="S535" s="27" t="str">
        <f>IF(I535="","",_xlfn.XLOOKUP(I535,Lists!$C:$C,Lists!$I:$I))</f>
        <v/>
      </c>
    </row>
    <row r="536" spans="3:19" x14ac:dyDescent="0.2">
      <c r="C536" s="26">
        <f>_xlfn.XLOOKUP(B536,Lists!B:B,Lists!A:A,"")</f>
        <v>0</v>
      </c>
      <c r="G536" s="26" t="str">
        <f t="shared" si="31"/>
        <v/>
      </c>
      <c r="H536" s="31" t="str">
        <f t="shared" si="32"/>
        <v/>
      </c>
      <c r="J536" s="27" t="str">
        <f>IF(I536="","",_xlfn.XLOOKUP(I536,Lists!$C:$C,Lists!$D:$D))</f>
        <v/>
      </c>
      <c r="N536" s="26" t="str">
        <f t="shared" si="33"/>
        <v/>
      </c>
      <c r="O536" s="27" t="str">
        <f>IF(I536="","",_xlfn.XLOOKUP(I536,Lists!$C:$C,Lists!$J:$J))</f>
        <v/>
      </c>
      <c r="P536" s="27" t="str">
        <f>IF(I536="","",_xlfn.XLOOKUP(I536,Lists!$C:$C,Lists!$E:$E))</f>
        <v/>
      </c>
      <c r="Q536" s="28" t="str">
        <f t="shared" si="34"/>
        <v/>
      </c>
      <c r="R536" s="26" t="str">
        <f t="shared" ca="1" si="35"/>
        <v/>
      </c>
      <c r="S536" s="27" t="str">
        <f>IF(I536="","",_xlfn.XLOOKUP(I536,Lists!$C:$C,Lists!$I:$I))</f>
        <v/>
      </c>
    </row>
    <row r="537" spans="3:19" x14ac:dyDescent="0.2">
      <c r="C537" s="26">
        <f>_xlfn.XLOOKUP(B537,Lists!B:B,Lists!A:A,"")</f>
        <v>0</v>
      </c>
      <c r="G537" s="26" t="str">
        <f t="shared" si="31"/>
        <v/>
      </c>
      <c r="H537" s="31" t="str">
        <f t="shared" si="32"/>
        <v/>
      </c>
      <c r="J537" s="27" t="str">
        <f>IF(I537="","",_xlfn.XLOOKUP(I537,Lists!$C:$C,Lists!$D:$D))</f>
        <v/>
      </c>
      <c r="N537" s="26" t="str">
        <f t="shared" si="33"/>
        <v/>
      </c>
      <c r="O537" s="27" t="str">
        <f>IF(I537="","",_xlfn.XLOOKUP(I537,Lists!$C:$C,Lists!$J:$J))</f>
        <v/>
      </c>
      <c r="P537" s="27" t="str">
        <f>IF(I537="","",_xlfn.XLOOKUP(I537,Lists!$C:$C,Lists!$E:$E))</f>
        <v/>
      </c>
      <c r="Q537" s="28" t="str">
        <f t="shared" si="34"/>
        <v/>
      </c>
      <c r="R537" s="26" t="str">
        <f t="shared" ca="1" si="35"/>
        <v/>
      </c>
      <c r="S537" s="27" t="str">
        <f>IF(I537="","",_xlfn.XLOOKUP(I537,Lists!$C:$C,Lists!$I:$I))</f>
        <v/>
      </c>
    </row>
    <row r="538" spans="3:19" x14ac:dyDescent="0.2">
      <c r="C538" s="26">
        <f>_xlfn.XLOOKUP(B538,Lists!B:B,Lists!A:A,"")</f>
        <v>0</v>
      </c>
      <c r="G538" s="26" t="str">
        <f t="shared" si="31"/>
        <v/>
      </c>
      <c r="H538" s="31" t="str">
        <f t="shared" si="32"/>
        <v/>
      </c>
      <c r="J538" s="27" t="str">
        <f>IF(I538="","",_xlfn.XLOOKUP(I538,Lists!$C:$C,Lists!$D:$D))</f>
        <v/>
      </c>
      <c r="N538" s="26" t="str">
        <f t="shared" si="33"/>
        <v/>
      </c>
      <c r="O538" s="27" t="str">
        <f>IF(I538="","",_xlfn.XLOOKUP(I538,Lists!$C:$C,Lists!$J:$J))</f>
        <v/>
      </c>
      <c r="P538" s="27" t="str">
        <f>IF(I538="","",_xlfn.XLOOKUP(I538,Lists!$C:$C,Lists!$E:$E))</f>
        <v/>
      </c>
      <c r="Q538" s="28" t="str">
        <f t="shared" si="34"/>
        <v/>
      </c>
      <c r="R538" s="26" t="str">
        <f t="shared" ca="1" si="35"/>
        <v/>
      </c>
      <c r="S538" s="27" t="str">
        <f>IF(I538="","",_xlfn.XLOOKUP(I538,Lists!$C:$C,Lists!$I:$I))</f>
        <v/>
      </c>
    </row>
    <row r="539" spans="3:19" x14ac:dyDescent="0.2">
      <c r="C539" s="26">
        <f>_xlfn.XLOOKUP(B539,Lists!B:B,Lists!A:A,"")</f>
        <v>0</v>
      </c>
      <c r="G539" s="26" t="str">
        <f t="shared" ref="G539:G602" si="36">IF(OR(E539="",F539=""),"",F539-E539+1)</f>
        <v/>
      </c>
      <c r="H539" s="31" t="str">
        <f t="shared" ref="H539:H602" si="37">IF(D539="","",IF(OR(D539="A",D539="B"),G539/80,IF(D539="A&amp;B",G539/160,"")))</f>
        <v/>
      </c>
      <c r="J539" s="27" t="str">
        <f>IF(I539="","",_xlfn.XLOOKUP(I539,Lists!$C:$C,Lists!$D:$D))</f>
        <v/>
      </c>
      <c r="N539" s="26" t="str">
        <f t="shared" ref="N539:N602" si="38">IF(OR(M539="",L539=""),"",(M539*L539)/100000)</f>
        <v/>
      </c>
      <c r="O539" s="27" t="str">
        <f>IF(I539="","",_xlfn.XLOOKUP(I539,Lists!$C:$C,Lists!$J:$J))</f>
        <v/>
      </c>
      <c r="P539" s="27" t="str">
        <f>IF(I539="","",_xlfn.XLOOKUP(I539,Lists!$C:$C,Lists!$E:$E))</f>
        <v/>
      </c>
      <c r="Q539" s="28" t="str">
        <f t="shared" ref="Q539:Q602" si="39">IF(OR(A539="",P539=""),"",A539+P539+1)</f>
        <v/>
      </c>
      <c r="R539" s="26" t="str">
        <f t="shared" ref="R539:R602" ca="1" si="40">IF(Q539="","",IF(Q539&lt;=TODAY(),"Allow","Not Allow"))</f>
        <v/>
      </c>
      <c r="S539" s="27" t="str">
        <f>IF(I539="","",_xlfn.XLOOKUP(I539,Lists!$C:$C,Lists!$I:$I))</f>
        <v/>
      </c>
    </row>
    <row r="540" spans="3:19" x14ac:dyDescent="0.2">
      <c r="C540" s="26">
        <f>_xlfn.XLOOKUP(B540,Lists!B:B,Lists!A:A,"")</f>
        <v>0</v>
      </c>
      <c r="G540" s="26" t="str">
        <f t="shared" si="36"/>
        <v/>
      </c>
      <c r="H540" s="31" t="str">
        <f t="shared" si="37"/>
        <v/>
      </c>
      <c r="J540" s="27" t="str">
        <f>IF(I540="","",_xlfn.XLOOKUP(I540,Lists!$C:$C,Lists!$D:$D))</f>
        <v/>
      </c>
      <c r="N540" s="26" t="str">
        <f t="shared" si="38"/>
        <v/>
      </c>
      <c r="O540" s="27" t="str">
        <f>IF(I540="","",_xlfn.XLOOKUP(I540,Lists!$C:$C,Lists!$J:$J))</f>
        <v/>
      </c>
      <c r="P540" s="27" t="str">
        <f>IF(I540="","",_xlfn.XLOOKUP(I540,Lists!$C:$C,Lists!$E:$E))</f>
        <v/>
      </c>
      <c r="Q540" s="28" t="str">
        <f t="shared" si="39"/>
        <v/>
      </c>
      <c r="R540" s="26" t="str">
        <f t="shared" ca="1" si="40"/>
        <v/>
      </c>
      <c r="S540" s="27" t="str">
        <f>IF(I540="","",_xlfn.XLOOKUP(I540,Lists!$C:$C,Lists!$I:$I))</f>
        <v/>
      </c>
    </row>
    <row r="541" spans="3:19" x14ac:dyDescent="0.2">
      <c r="C541" s="26">
        <f>_xlfn.XLOOKUP(B541,Lists!B:B,Lists!A:A,"")</f>
        <v>0</v>
      </c>
      <c r="G541" s="26" t="str">
        <f t="shared" si="36"/>
        <v/>
      </c>
      <c r="H541" s="31" t="str">
        <f t="shared" si="37"/>
        <v/>
      </c>
      <c r="J541" s="27" t="str">
        <f>IF(I541="","",_xlfn.XLOOKUP(I541,Lists!$C:$C,Lists!$D:$D))</f>
        <v/>
      </c>
      <c r="N541" s="26" t="str">
        <f t="shared" si="38"/>
        <v/>
      </c>
      <c r="O541" s="27" t="str">
        <f>IF(I541="","",_xlfn.XLOOKUP(I541,Lists!$C:$C,Lists!$J:$J))</f>
        <v/>
      </c>
      <c r="P541" s="27" t="str">
        <f>IF(I541="","",_xlfn.XLOOKUP(I541,Lists!$C:$C,Lists!$E:$E))</f>
        <v/>
      </c>
      <c r="Q541" s="28" t="str">
        <f t="shared" si="39"/>
        <v/>
      </c>
      <c r="R541" s="26" t="str">
        <f t="shared" ca="1" si="40"/>
        <v/>
      </c>
      <c r="S541" s="27" t="str">
        <f>IF(I541="","",_xlfn.XLOOKUP(I541,Lists!$C:$C,Lists!$I:$I))</f>
        <v/>
      </c>
    </row>
    <row r="542" spans="3:19" x14ac:dyDescent="0.2">
      <c r="C542" s="26">
        <f>_xlfn.XLOOKUP(B542,Lists!B:B,Lists!A:A,"")</f>
        <v>0</v>
      </c>
      <c r="G542" s="26" t="str">
        <f t="shared" si="36"/>
        <v/>
      </c>
      <c r="H542" s="31" t="str">
        <f t="shared" si="37"/>
        <v/>
      </c>
      <c r="J542" s="27" t="str">
        <f>IF(I542="","",_xlfn.XLOOKUP(I542,Lists!$C:$C,Lists!$D:$D))</f>
        <v/>
      </c>
      <c r="N542" s="26" t="str">
        <f t="shared" si="38"/>
        <v/>
      </c>
      <c r="O542" s="27" t="str">
        <f>IF(I542="","",_xlfn.XLOOKUP(I542,Lists!$C:$C,Lists!$J:$J))</f>
        <v/>
      </c>
      <c r="P542" s="27" t="str">
        <f>IF(I542="","",_xlfn.XLOOKUP(I542,Lists!$C:$C,Lists!$E:$E))</f>
        <v/>
      </c>
      <c r="Q542" s="28" t="str">
        <f t="shared" si="39"/>
        <v/>
      </c>
      <c r="R542" s="26" t="str">
        <f t="shared" ca="1" si="40"/>
        <v/>
      </c>
      <c r="S542" s="27" t="str">
        <f>IF(I542="","",_xlfn.XLOOKUP(I542,Lists!$C:$C,Lists!$I:$I))</f>
        <v/>
      </c>
    </row>
    <row r="543" spans="3:19" x14ac:dyDescent="0.2">
      <c r="C543" s="26">
        <f>_xlfn.XLOOKUP(B543,Lists!B:B,Lists!A:A,"")</f>
        <v>0</v>
      </c>
      <c r="G543" s="26" t="str">
        <f t="shared" si="36"/>
        <v/>
      </c>
      <c r="H543" s="31" t="str">
        <f t="shared" si="37"/>
        <v/>
      </c>
      <c r="J543" s="27" t="str">
        <f>IF(I543="","",_xlfn.XLOOKUP(I543,Lists!$C:$C,Lists!$D:$D))</f>
        <v/>
      </c>
      <c r="N543" s="26" t="str">
        <f t="shared" si="38"/>
        <v/>
      </c>
      <c r="O543" s="27" t="str">
        <f>IF(I543="","",_xlfn.XLOOKUP(I543,Lists!$C:$C,Lists!$J:$J))</f>
        <v/>
      </c>
      <c r="P543" s="27" t="str">
        <f>IF(I543="","",_xlfn.XLOOKUP(I543,Lists!$C:$C,Lists!$E:$E))</f>
        <v/>
      </c>
      <c r="Q543" s="28" t="str">
        <f t="shared" si="39"/>
        <v/>
      </c>
      <c r="R543" s="26" t="str">
        <f t="shared" ca="1" si="40"/>
        <v/>
      </c>
      <c r="S543" s="27" t="str">
        <f>IF(I543="","",_xlfn.XLOOKUP(I543,Lists!$C:$C,Lists!$I:$I))</f>
        <v/>
      </c>
    </row>
    <row r="544" spans="3:19" x14ac:dyDescent="0.2">
      <c r="C544" s="26">
        <f>_xlfn.XLOOKUP(B544,Lists!B:B,Lists!A:A,"")</f>
        <v>0</v>
      </c>
      <c r="G544" s="26" t="str">
        <f t="shared" si="36"/>
        <v/>
      </c>
      <c r="H544" s="31" t="str">
        <f t="shared" si="37"/>
        <v/>
      </c>
      <c r="J544" s="27" t="str">
        <f>IF(I544="","",_xlfn.XLOOKUP(I544,Lists!$C:$C,Lists!$D:$D))</f>
        <v/>
      </c>
      <c r="N544" s="26" t="str">
        <f t="shared" si="38"/>
        <v/>
      </c>
      <c r="O544" s="27" t="str">
        <f>IF(I544="","",_xlfn.XLOOKUP(I544,Lists!$C:$C,Lists!$J:$J))</f>
        <v/>
      </c>
      <c r="P544" s="27" t="str">
        <f>IF(I544="","",_xlfn.XLOOKUP(I544,Lists!$C:$C,Lists!$E:$E))</f>
        <v/>
      </c>
      <c r="Q544" s="28" t="str">
        <f t="shared" si="39"/>
        <v/>
      </c>
      <c r="R544" s="26" t="str">
        <f t="shared" ca="1" si="40"/>
        <v/>
      </c>
      <c r="S544" s="27" t="str">
        <f>IF(I544="","",_xlfn.XLOOKUP(I544,Lists!$C:$C,Lists!$I:$I))</f>
        <v/>
      </c>
    </row>
    <row r="545" spans="3:19" x14ac:dyDescent="0.2">
      <c r="C545" s="26">
        <f>_xlfn.XLOOKUP(B545,Lists!B:B,Lists!A:A,"")</f>
        <v>0</v>
      </c>
      <c r="G545" s="26" t="str">
        <f t="shared" si="36"/>
        <v/>
      </c>
      <c r="H545" s="31" t="str">
        <f t="shared" si="37"/>
        <v/>
      </c>
      <c r="J545" s="27" t="str">
        <f>IF(I545="","",_xlfn.XLOOKUP(I545,Lists!$C:$C,Lists!$D:$D))</f>
        <v/>
      </c>
      <c r="N545" s="26" t="str">
        <f t="shared" si="38"/>
        <v/>
      </c>
      <c r="O545" s="27" t="str">
        <f>IF(I545="","",_xlfn.XLOOKUP(I545,Lists!$C:$C,Lists!$J:$J))</f>
        <v/>
      </c>
      <c r="P545" s="27" t="str">
        <f>IF(I545="","",_xlfn.XLOOKUP(I545,Lists!$C:$C,Lists!$E:$E))</f>
        <v/>
      </c>
      <c r="Q545" s="28" t="str">
        <f t="shared" si="39"/>
        <v/>
      </c>
      <c r="R545" s="26" t="str">
        <f t="shared" ca="1" si="40"/>
        <v/>
      </c>
      <c r="S545" s="27" t="str">
        <f>IF(I545="","",_xlfn.XLOOKUP(I545,Lists!$C:$C,Lists!$I:$I))</f>
        <v/>
      </c>
    </row>
    <row r="546" spans="3:19" x14ac:dyDescent="0.2">
      <c r="C546" s="26">
        <f>_xlfn.XLOOKUP(B546,Lists!B:B,Lists!A:A,"")</f>
        <v>0</v>
      </c>
      <c r="G546" s="26" t="str">
        <f t="shared" si="36"/>
        <v/>
      </c>
      <c r="H546" s="31" t="str">
        <f t="shared" si="37"/>
        <v/>
      </c>
      <c r="J546" s="27" t="str">
        <f>IF(I546="","",_xlfn.XLOOKUP(I546,Lists!$C:$C,Lists!$D:$D))</f>
        <v/>
      </c>
      <c r="N546" s="26" t="str">
        <f t="shared" si="38"/>
        <v/>
      </c>
      <c r="O546" s="27" t="str">
        <f>IF(I546="","",_xlfn.XLOOKUP(I546,Lists!$C:$C,Lists!$J:$J))</f>
        <v/>
      </c>
      <c r="P546" s="27" t="str">
        <f>IF(I546="","",_xlfn.XLOOKUP(I546,Lists!$C:$C,Lists!$E:$E))</f>
        <v/>
      </c>
      <c r="Q546" s="28" t="str">
        <f t="shared" si="39"/>
        <v/>
      </c>
      <c r="R546" s="26" t="str">
        <f t="shared" ca="1" si="40"/>
        <v/>
      </c>
      <c r="S546" s="27" t="str">
        <f>IF(I546="","",_xlfn.XLOOKUP(I546,Lists!$C:$C,Lists!$I:$I))</f>
        <v/>
      </c>
    </row>
    <row r="547" spans="3:19" x14ac:dyDescent="0.2">
      <c r="C547" s="26">
        <f>_xlfn.XLOOKUP(B547,Lists!B:B,Lists!A:A,"")</f>
        <v>0</v>
      </c>
      <c r="G547" s="26" t="str">
        <f t="shared" si="36"/>
        <v/>
      </c>
      <c r="H547" s="31" t="str">
        <f t="shared" si="37"/>
        <v/>
      </c>
      <c r="J547" s="27" t="str">
        <f>IF(I547="","",_xlfn.XLOOKUP(I547,Lists!$C:$C,Lists!$D:$D))</f>
        <v/>
      </c>
      <c r="N547" s="26" t="str">
        <f t="shared" si="38"/>
        <v/>
      </c>
      <c r="O547" s="27" t="str">
        <f>IF(I547="","",_xlfn.XLOOKUP(I547,Lists!$C:$C,Lists!$J:$J))</f>
        <v/>
      </c>
      <c r="P547" s="27" t="str">
        <f>IF(I547="","",_xlfn.XLOOKUP(I547,Lists!$C:$C,Lists!$E:$E))</f>
        <v/>
      </c>
      <c r="Q547" s="28" t="str">
        <f t="shared" si="39"/>
        <v/>
      </c>
      <c r="R547" s="26" t="str">
        <f t="shared" ca="1" si="40"/>
        <v/>
      </c>
      <c r="S547" s="27" t="str">
        <f>IF(I547="","",_xlfn.XLOOKUP(I547,Lists!$C:$C,Lists!$I:$I))</f>
        <v/>
      </c>
    </row>
    <row r="548" spans="3:19" x14ac:dyDescent="0.2">
      <c r="C548" s="26">
        <f>_xlfn.XLOOKUP(B548,Lists!B:B,Lists!A:A,"")</f>
        <v>0</v>
      </c>
      <c r="G548" s="26" t="str">
        <f t="shared" si="36"/>
        <v/>
      </c>
      <c r="H548" s="31" t="str">
        <f t="shared" si="37"/>
        <v/>
      </c>
      <c r="J548" s="27" t="str">
        <f>IF(I548="","",_xlfn.XLOOKUP(I548,Lists!$C:$C,Lists!$D:$D))</f>
        <v/>
      </c>
      <c r="N548" s="26" t="str">
        <f t="shared" si="38"/>
        <v/>
      </c>
      <c r="O548" s="27" t="str">
        <f>IF(I548="","",_xlfn.XLOOKUP(I548,Lists!$C:$C,Lists!$J:$J))</f>
        <v/>
      </c>
      <c r="P548" s="27" t="str">
        <f>IF(I548="","",_xlfn.XLOOKUP(I548,Lists!$C:$C,Lists!$E:$E))</f>
        <v/>
      </c>
      <c r="Q548" s="28" t="str">
        <f t="shared" si="39"/>
        <v/>
      </c>
      <c r="R548" s="26" t="str">
        <f t="shared" ca="1" si="40"/>
        <v/>
      </c>
      <c r="S548" s="27" t="str">
        <f>IF(I548="","",_xlfn.XLOOKUP(I548,Lists!$C:$C,Lists!$I:$I))</f>
        <v/>
      </c>
    </row>
    <row r="549" spans="3:19" x14ac:dyDescent="0.2">
      <c r="C549" s="26">
        <f>_xlfn.XLOOKUP(B549,Lists!B:B,Lists!A:A,"")</f>
        <v>0</v>
      </c>
      <c r="G549" s="26" t="str">
        <f t="shared" si="36"/>
        <v/>
      </c>
      <c r="H549" s="31" t="str">
        <f t="shared" si="37"/>
        <v/>
      </c>
      <c r="J549" s="27" t="str">
        <f>IF(I549="","",_xlfn.XLOOKUP(I549,Lists!$C:$C,Lists!$D:$D))</f>
        <v/>
      </c>
      <c r="N549" s="26" t="str">
        <f t="shared" si="38"/>
        <v/>
      </c>
      <c r="O549" s="27" t="str">
        <f>IF(I549="","",_xlfn.XLOOKUP(I549,Lists!$C:$C,Lists!$J:$J))</f>
        <v/>
      </c>
      <c r="P549" s="27" t="str">
        <f>IF(I549="","",_xlfn.XLOOKUP(I549,Lists!$C:$C,Lists!$E:$E))</f>
        <v/>
      </c>
      <c r="Q549" s="28" t="str">
        <f t="shared" si="39"/>
        <v/>
      </c>
      <c r="R549" s="26" t="str">
        <f t="shared" ca="1" si="40"/>
        <v/>
      </c>
      <c r="S549" s="27" t="str">
        <f>IF(I549="","",_xlfn.XLOOKUP(I549,Lists!$C:$C,Lists!$I:$I))</f>
        <v/>
      </c>
    </row>
    <row r="550" spans="3:19" x14ac:dyDescent="0.2">
      <c r="C550" s="26">
        <f>_xlfn.XLOOKUP(B550,Lists!B:B,Lists!A:A,"")</f>
        <v>0</v>
      </c>
      <c r="G550" s="26" t="str">
        <f t="shared" si="36"/>
        <v/>
      </c>
      <c r="H550" s="31" t="str">
        <f t="shared" si="37"/>
        <v/>
      </c>
      <c r="J550" s="27" t="str">
        <f>IF(I550="","",_xlfn.XLOOKUP(I550,Lists!$C:$C,Lists!$D:$D))</f>
        <v/>
      </c>
      <c r="N550" s="26" t="str">
        <f t="shared" si="38"/>
        <v/>
      </c>
      <c r="O550" s="27" t="str">
        <f>IF(I550="","",_xlfn.XLOOKUP(I550,Lists!$C:$C,Lists!$J:$J))</f>
        <v/>
      </c>
      <c r="P550" s="27" t="str">
        <f>IF(I550="","",_xlfn.XLOOKUP(I550,Lists!$C:$C,Lists!$E:$E))</f>
        <v/>
      </c>
      <c r="Q550" s="28" t="str">
        <f t="shared" si="39"/>
        <v/>
      </c>
      <c r="R550" s="26" t="str">
        <f t="shared" ca="1" si="40"/>
        <v/>
      </c>
      <c r="S550" s="27" t="str">
        <f>IF(I550="","",_xlfn.XLOOKUP(I550,Lists!$C:$C,Lists!$I:$I))</f>
        <v/>
      </c>
    </row>
    <row r="551" spans="3:19" x14ac:dyDescent="0.2">
      <c r="C551" s="26">
        <f>_xlfn.XLOOKUP(B551,Lists!B:B,Lists!A:A,"")</f>
        <v>0</v>
      </c>
      <c r="G551" s="26" t="str">
        <f t="shared" si="36"/>
        <v/>
      </c>
      <c r="H551" s="31" t="str">
        <f t="shared" si="37"/>
        <v/>
      </c>
      <c r="J551" s="27" t="str">
        <f>IF(I551="","",_xlfn.XLOOKUP(I551,Lists!$C:$C,Lists!$D:$D))</f>
        <v/>
      </c>
      <c r="N551" s="26" t="str">
        <f t="shared" si="38"/>
        <v/>
      </c>
      <c r="O551" s="27" t="str">
        <f>IF(I551="","",_xlfn.XLOOKUP(I551,Lists!$C:$C,Lists!$J:$J))</f>
        <v/>
      </c>
      <c r="P551" s="27" t="str">
        <f>IF(I551="","",_xlfn.XLOOKUP(I551,Lists!$C:$C,Lists!$E:$E))</f>
        <v/>
      </c>
      <c r="Q551" s="28" t="str">
        <f t="shared" si="39"/>
        <v/>
      </c>
      <c r="R551" s="26" t="str">
        <f t="shared" ca="1" si="40"/>
        <v/>
      </c>
      <c r="S551" s="27" t="str">
        <f>IF(I551="","",_xlfn.XLOOKUP(I551,Lists!$C:$C,Lists!$I:$I))</f>
        <v/>
      </c>
    </row>
    <row r="552" spans="3:19" x14ac:dyDescent="0.2">
      <c r="C552" s="26">
        <f>_xlfn.XLOOKUP(B552,Lists!B:B,Lists!A:A,"")</f>
        <v>0</v>
      </c>
      <c r="G552" s="26" t="str">
        <f t="shared" si="36"/>
        <v/>
      </c>
      <c r="H552" s="31" t="str">
        <f t="shared" si="37"/>
        <v/>
      </c>
      <c r="J552" s="27" t="str">
        <f>IF(I552="","",_xlfn.XLOOKUP(I552,Lists!$C:$C,Lists!$D:$D))</f>
        <v/>
      </c>
      <c r="N552" s="26" t="str">
        <f t="shared" si="38"/>
        <v/>
      </c>
      <c r="O552" s="27" t="str">
        <f>IF(I552="","",_xlfn.XLOOKUP(I552,Lists!$C:$C,Lists!$J:$J))</f>
        <v/>
      </c>
      <c r="P552" s="27" t="str">
        <f>IF(I552="","",_xlfn.XLOOKUP(I552,Lists!$C:$C,Lists!$E:$E))</f>
        <v/>
      </c>
      <c r="Q552" s="28" t="str">
        <f t="shared" si="39"/>
        <v/>
      </c>
      <c r="R552" s="26" t="str">
        <f t="shared" ca="1" si="40"/>
        <v/>
      </c>
      <c r="S552" s="27" t="str">
        <f>IF(I552="","",_xlfn.XLOOKUP(I552,Lists!$C:$C,Lists!$I:$I))</f>
        <v/>
      </c>
    </row>
    <row r="553" spans="3:19" x14ac:dyDescent="0.2">
      <c r="C553" s="26">
        <f>_xlfn.XLOOKUP(B553,Lists!B:B,Lists!A:A,"")</f>
        <v>0</v>
      </c>
      <c r="G553" s="26" t="str">
        <f t="shared" si="36"/>
        <v/>
      </c>
      <c r="H553" s="31" t="str">
        <f t="shared" si="37"/>
        <v/>
      </c>
      <c r="J553" s="27" t="str">
        <f>IF(I553="","",_xlfn.XLOOKUP(I553,Lists!$C:$C,Lists!$D:$D))</f>
        <v/>
      </c>
      <c r="N553" s="26" t="str">
        <f t="shared" si="38"/>
        <v/>
      </c>
      <c r="O553" s="27" t="str">
        <f>IF(I553="","",_xlfn.XLOOKUP(I553,Lists!$C:$C,Lists!$J:$J))</f>
        <v/>
      </c>
      <c r="P553" s="27" t="str">
        <f>IF(I553="","",_xlfn.XLOOKUP(I553,Lists!$C:$C,Lists!$E:$E))</f>
        <v/>
      </c>
      <c r="Q553" s="28" t="str">
        <f t="shared" si="39"/>
        <v/>
      </c>
      <c r="R553" s="26" t="str">
        <f t="shared" ca="1" si="40"/>
        <v/>
      </c>
      <c r="S553" s="27" t="str">
        <f>IF(I553="","",_xlfn.XLOOKUP(I553,Lists!$C:$C,Lists!$I:$I))</f>
        <v/>
      </c>
    </row>
    <row r="554" spans="3:19" x14ac:dyDescent="0.2">
      <c r="C554" s="26">
        <f>_xlfn.XLOOKUP(B554,Lists!B:B,Lists!A:A,"")</f>
        <v>0</v>
      </c>
      <c r="G554" s="26" t="str">
        <f t="shared" si="36"/>
        <v/>
      </c>
      <c r="H554" s="31" t="str">
        <f t="shared" si="37"/>
        <v/>
      </c>
      <c r="J554" s="27" t="str">
        <f>IF(I554="","",_xlfn.XLOOKUP(I554,Lists!$C:$C,Lists!$D:$D))</f>
        <v/>
      </c>
      <c r="N554" s="26" t="str">
        <f t="shared" si="38"/>
        <v/>
      </c>
      <c r="O554" s="27" t="str">
        <f>IF(I554="","",_xlfn.XLOOKUP(I554,Lists!$C:$C,Lists!$J:$J))</f>
        <v/>
      </c>
      <c r="P554" s="27" t="str">
        <f>IF(I554="","",_xlfn.XLOOKUP(I554,Lists!$C:$C,Lists!$E:$E))</f>
        <v/>
      </c>
      <c r="Q554" s="28" t="str">
        <f t="shared" si="39"/>
        <v/>
      </c>
      <c r="R554" s="26" t="str">
        <f t="shared" ca="1" si="40"/>
        <v/>
      </c>
      <c r="S554" s="27" t="str">
        <f>IF(I554="","",_xlfn.XLOOKUP(I554,Lists!$C:$C,Lists!$I:$I))</f>
        <v/>
      </c>
    </row>
    <row r="555" spans="3:19" x14ac:dyDescent="0.2">
      <c r="C555" s="26">
        <f>_xlfn.XLOOKUP(B555,Lists!B:B,Lists!A:A,"")</f>
        <v>0</v>
      </c>
      <c r="G555" s="26" t="str">
        <f t="shared" si="36"/>
        <v/>
      </c>
      <c r="H555" s="31" t="str">
        <f t="shared" si="37"/>
        <v/>
      </c>
      <c r="J555" s="27" t="str">
        <f>IF(I555="","",_xlfn.XLOOKUP(I555,Lists!$C:$C,Lists!$D:$D))</f>
        <v/>
      </c>
      <c r="N555" s="26" t="str">
        <f t="shared" si="38"/>
        <v/>
      </c>
      <c r="O555" s="27" t="str">
        <f>IF(I555="","",_xlfn.XLOOKUP(I555,Lists!$C:$C,Lists!$J:$J))</f>
        <v/>
      </c>
      <c r="P555" s="27" t="str">
        <f>IF(I555="","",_xlfn.XLOOKUP(I555,Lists!$C:$C,Lists!$E:$E))</f>
        <v/>
      </c>
      <c r="Q555" s="28" t="str">
        <f t="shared" si="39"/>
        <v/>
      </c>
      <c r="R555" s="26" t="str">
        <f t="shared" ca="1" si="40"/>
        <v/>
      </c>
      <c r="S555" s="27" t="str">
        <f>IF(I555="","",_xlfn.XLOOKUP(I555,Lists!$C:$C,Lists!$I:$I))</f>
        <v/>
      </c>
    </row>
    <row r="556" spans="3:19" x14ac:dyDescent="0.2">
      <c r="C556" s="26">
        <f>_xlfn.XLOOKUP(B556,Lists!B:B,Lists!A:A,"")</f>
        <v>0</v>
      </c>
      <c r="G556" s="26" t="str">
        <f t="shared" si="36"/>
        <v/>
      </c>
      <c r="H556" s="31" t="str">
        <f t="shared" si="37"/>
        <v/>
      </c>
      <c r="J556" s="27" t="str">
        <f>IF(I556="","",_xlfn.XLOOKUP(I556,Lists!$C:$C,Lists!$D:$D))</f>
        <v/>
      </c>
      <c r="N556" s="26" t="str">
        <f t="shared" si="38"/>
        <v/>
      </c>
      <c r="O556" s="27" t="str">
        <f>IF(I556="","",_xlfn.XLOOKUP(I556,Lists!$C:$C,Lists!$J:$J))</f>
        <v/>
      </c>
      <c r="P556" s="27" t="str">
        <f>IF(I556="","",_xlfn.XLOOKUP(I556,Lists!$C:$C,Lists!$E:$E))</f>
        <v/>
      </c>
      <c r="Q556" s="28" t="str">
        <f t="shared" si="39"/>
        <v/>
      </c>
      <c r="R556" s="26" t="str">
        <f t="shared" ca="1" si="40"/>
        <v/>
      </c>
      <c r="S556" s="27" t="str">
        <f>IF(I556="","",_xlfn.XLOOKUP(I556,Lists!$C:$C,Lists!$I:$I))</f>
        <v/>
      </c>
    </row>
    <row r="557" spans="3:19" x14ac:dyDescent="0.2">
      <c r="C557" s="26">
        <f>_xlfn.XLOOKUP(B557,Lists!B:B,Lists!A:A,"")</f>
        <v>0</v>
      </c>
      <c r="G557" s="26" t="str">
        <f t="shared" si="36"/>
        <v/>
      </c>
      <c r="H557" s="31" t="str">
        <f t="shared" si="37"/>
        <v/>
      </c>
      <c r="J557" s="27" t="str">
        <f>IF(I557="","",_xlfn.XLOOKUP(I557,Lists!$C:$C,Lists!$D:$D))</f>
        <v/>
      </c>
      <c r="N557" s="26" t="str">
        <f t="shared" si="38"/>
        <v/>
      </c>
      <c r="O557" s="27" t="str">
        <f>IF(I557="","",_xlfn.XLOOKUP(I557,Lists!$C:$C,Lists!$J:$J))</f>
        <v/>
      </c>
      <c r="P557" s="27" t="str">
        <f>IF(I557="","",_xlfn.XLOOKUP(I557,Lists!$C:$C,Lists!$E:$E))</f>
        <v/>
      </c>
      <c r="Q557" s="28" t="str">
        <f t="shared" si="39"/>
        <v/>
      </c>
      <c r="R557" s="26" t="str">
        <f t="shared" ca="1" si="40"/>
        <v/>
      </c>
      <c r="S557" s="27" t="str">
        <f>IF(I557="","",_xlfn.XLOOKUP(I557,Lists!$C:$C,Lists!$I:$I))</f>
        <v/>
      </c>
    </row>
    <row r="558" spans="3:19" x14ac:dyDescent="0.2">
      <c r="C558" s="26">
        <f>_xlfn.XLOOKUP(B558,Lists!B:B,Lists!A:A,"")</f>
        <v>0</v>
      </c>
      <c r="G558" s="26" t="str">
        <f t="shared" si="36"/>
        <v/>
      </c>
      <c r="H558" s="31" t="str">
        <f t="shared" si="37"/>
        <v/>
      </c>
      <c r="J558" s="27" t="str">
        <f>IF(I558="","",_xlfn.XLOOKUP(I558,Lists!$C:$C,Lists!$D:$D))</f>
        <v/>
      </c>
      <c r="N558" s="26" t="str">
        <f t="shared" si="38"/>
        <v/>
      </c>
      <c r="O558" s="27" t="str">
        <f>IF(I558="","",_xlfn.XLOOKUP(I558,Lists!$C:$C,Lists!$J:$J))</f>
        <v/>
      </c>
      <c r="P558" s="27" t="str">
        <f>IF(I558="","",_xlfn.XLOOKUP(I558,Lists!$C:$C,Lists!$E:$E))</f>
        <v/>
      </c>
      <c r="Q558" s="28" t="str">
        <f t="shared" si="39"/>
        <v/>
      </c>
      <c r="R558" s="26" t="str">
        <f t="shared" ca="1" si="40"/>
        <v/>
      </c>
      <c r="S558" s="27" t="str">
        <f>IF(I558="","",_xlfn.XLOOKUP(I558,Lists!$C:$C,Lists!$I:$I))</f>
        <v/>
      </c>
    </row>
    <row r="559" spans="3:19" x14ac:dyDescent="0.2">
      <c r="C559" s="26">
        <f>_xlfn.XLOOKUP(B559,Lists!B:B,Lists!A:A,"")</f>
        <v>0</v>
      </c>
      <c r="G559" s="26" t="str">
        <f t="shared" si="36"/>
        <v/>
      </c>
      <c r="H559" s="31" t="str">
        <f t="shared" si="37"/>
        <v/>
      </c>
      <c r="J559" s="27" t="str">
        <f>IF(I559="","",_xlfn.XLOOKUP(I559,Lists!$C:$C,Lists!$D:$D))</f>
        <v/>
      </c>
      <c r="N559" s="26" t="str">
        <f t="shared" si="38"/>
        <v/>
      </c>
      <c r="O559" s="27" t="str">
        <f>IF(I559="","",_xlfn.XLOOKUP(I559,Lists!$C:$C,Lists!$J:$J))</f>
        <v/>
      </c>
      <c r="P559" s="27" t="str">
        <f>IF(I559="","",_xlfn.XLOOKUP(I559,Lists!$C:$C,Lists!$E:$E))</f>
        <v/>
      </c>
      <c r="Q559" s="28" t="str">
        <f t="shared" si="39"/>
        <v/>
      </c>
      <c r="R559" s="26" t="str">
        <f t="shared" ca="1" si="40"/>
        <v/>
      </c>
      <c r="S559" s="27" t="str">
        <f>IF(I559="","",_xlfn.XLOOKUP(I559,Lists!$C:$C,Lists!$I:$I))</f>
        <v/>
      </c>
    </row>
    <row r="560" spans="3:19" x14ac:dyDescent="0.2">
      <c r="C560" s="26">
        <f>_xlfn.XLOOKUP(B560,Lists!B:B,Lists!A:A,"")</f>
        <v>0</v>
      </c>
      <c r="G560" s="26" t="str">
        <f t="shared" si="36"/>
        <v/>
      </c>
      <c r="H560" s="31" t="str">
        <f t="shared" si="37"/>
        <v/>
      </c>
      <c r="J560" s="27" t="str">
        <f>IF(I560="","",_xlfn.XLOOKUP(I560,Lists!$C:$C,Lists!$D:$D))</f>
        <v/>
      </c>
      <c r="N560" s="26" t="str">
        <f t="shared" si="38"/>
        <v/>
      </c>
      <c r="O560" s="27" t="str">
        <f>IF(I560="","",_xlfn.XLOOKUP(I560,Lists!$C:$C,Lists!$J:$J))</f>
        <v/>
      </c>
      <c r="P560" s="27" t="str">
        <f>IF(I560="","",_xlfn.XLOOKUP(I560,Lists!$C:$C,Lists!$E:$E))</f>
        <v/>
      </c>
      <c r="Q560" s="28" t="str">
        <f t="shared" si="39"/>
        <v/>
      </c>
      <c r="R560" s="26" t="str">
        <f t="shared" ca="1" si="40"/>
        <v/>
      </c>
      <c r="S560" s="27" t="str">
        <f>IF(I560="","",_xlfn.XLOOKUP(I560,Lists!$C:$C,Lists!$I:$I))</f>
        <v/>
      </c>
    </row>
    <row r="561" spans="3:19" x14ac:dyDescent="0.2">
      <c r="C561" s="26">
        <f>_xlfn.XLOOKUP(B561,Lists!B:B,Lists!A:A,"")</f>
        <v>0</v>
      </c>
      <c r="G561" s="26" t="str">
        <f t="shared" si="36"/>
        <v/>
      </c>
      <c r="H561" s="31" t="str">
        <f t="shared" si="37"/>
        <v/>
      </c>
      <c r="J561" s="27" t="str">
        <f>IF(I561="","",_xlfn.XLOOKUP(I561,Lists!$C:$C,Lists!$D:$D))</f>
        <v/>
      </c>
      <c r="N561" s="26" t="str">
        <f t="shared" si="38"/>
        <v/>
      </c>
      <c r="O561" s="27" t="str">
        <f>IF(I561="","",_xlfn.XLOOKUP(I561,Lists!$C:$C,Lists!$J:$J))</f>
        <v/>
      </c>
      <c r="P561" s="27" t="str">
        <f>IF(I561="","",_xlfn.XLOOKUP(I561,Lists!$C:$C,Lists!$E:$E))</f>
        <v/>
      </c>
      <c r="Q561" s="28" t="str">
        <f t="shared" si="39"/>
        <v/>
      </c>
      <c r="R561" s="26" t="str">
        <f t="shared" ca="1" si="40"/>
        <v/>
      </c>
      <c r="S561" s="27" t="str">
        <f>IF(I561="","",_xlfn.XLOOKUP(I561,Lists!$C:$C,Lists!$I:$I))</f>
        <v/>
      </c>
    </row>
    <row r="562" spans="3:19" x14ac:dyDescent="0.2">
      <c r="C562" s="26">
        <f>_xlfn.XLOOKUP(B562,Lists!B:B,Lists!A:A,"")</f>
        <v>0</v>
      </c>
      <c r="G562" s="26" t="str">
        <f t="shared" si="36"/>
        <v/>
      </c>
      <c r="H562" s="31" t="str">
        <f t="shared" si="37"/>
        <v/>
      </c>
      <c r="J562" s="27" t="str">
        <f>IF(I562="","",_xlfn.XLOOKUP(I562,Lists!$C:$C,Lists!$D:$D))</f>
        <v/>
      </c>
      <c r="N562" s="26" t="str">
        <f t="shared" si="38"/>
        <v/>
      </c>
      <c r="O562" s="27" t="str">
        <f>IF(I562="","",_xlfn.XLOOKUP(I562,Lists!$C:$C,Lists!$J:$J))</f>
        <v/>
      </c>
      <c r="P562" s="27" t="str">
        <f>IF(I562="","",_xlfn.XLOOKUP(I562,Lists!$C:$C,Lists!$E:$E))</f>
        <v/>
      </c>
      <c r="Q562" s="28" t="str">
        <f t="shared" si="39"/>
        <v/>
      </c>
      <c r="R562" s="26" t="str">
        <f t="shared" ca="1" si="40"/>
        <v/>
      </c>
      <c r="S562" s="27" t="str">
        <f>IF(I562="","",_xlfn.XLOOKUP(I562,Lists!$C:$C,Lists!$I:$I))</f>
        <v/>
      </c>
    </row>
    <row r="563" spans="3:19" x14ac:dyDescent="0.2">
      <c r="C563" s="26">
        <f>_xlfn.XLOOKUP(B563,Lists!B:B,Lists!A:A,"")</f>
        <v>0</v>
      </c>
      <c r="G563" s="26" t="str">
        <f t="shared" si="36"/>
        <v/>
      </c>
      <c r="H563" s="31" t="str">
        <f t="shared" si="37"/>
        <v/>
      </c>
      <c r="J563" s="27" t="str">
        <f>IF(I563="","",_xlfn.XLOOKUP(I563,Lists!$C:$C,Lists!$D:$D))</f>
        <v/>
      </c>
      <c r="N563" s="26" t="str">
        <f t="shared" si="38"/>
        <v/>
      </c>
      <c r="O563" s="27" t="str">
        <f>IF(I563="","",_xlfn.XLOOKUP(I563,Lists!$C:$C,Lists!$J:$J))</f>
        <v/>
      </c>
      <c r="P563" s="27" t="str">
        <f>IF(I563="","",_xlfn.XLOOKUP(I563,Lists!$C:$C,Lists!$E:$E))</f>
        <v/>
      </c>
      <c r="Q563" s="28" t="str">
        <f t="shared" si="39"/>
        <v/>
      </c>
      <c r="R563" s="26" t="str">
        <f t="shared" ca="1" si="40"/>
        <v/>
      </c>
      <c r="S563" s="27" t="str">
        <f>IF(I563="","",_xlfn.XLOOKUP(I563,Lists!$C:$C,Lists!$I:$I))</f>
        <v/>
      </c>
    </row>
    <row r="564" spans="3:19" x14ac:dyDescent="0.2">
      <c r="C564" s="26">
        <f>_xlfn.XLOOKUP(B564,Lists!B:B,Lists!A:A,"")</f>
        <v>0</v>
      </c>
      <c r="G564" s="26" t="str">
        <f t="shared" si="36"/>
        <v/>
      </c>
      <c r="H564" s="31" t="str">
        <f t="shared" si="37"/>
        <v/>
      </c>
      <c r="J564" s="27" t="str">
        <f>IF(I564="","",_xlfn.XLOOKUP(I564,Lists!$C:$C,Lists!$D:$D))</f>
        <v/>
      </c>
      <c r="N564" s="26" t="str">
        <f t="shared" si="38"/>
        <v/>
      </c>
      <c r="O564" s="27" t="str">
        <f>IF(I564="","",_xlfn.XLOOKUP(I564,Lists!$C:$C,Lists!$J:$J))</f>
        <v/>
      </c>
      <c r="P564" s="27" t="str">
        <f>IF(I564="","",_xlfn.XLOOKUP(I564,Lists!$C:$C,Lists!$E:$E))</f>
        <v/>
      </c>
      <c r="Q564" s="28" t="str">
        <f t="shared" si="39"/>
        <v/>
      </c>
      <c r="R564" s="26" t="str">
        <f t="shared" ca="1" si="40"/>
        <v/>
      </c>
      <c r="S564" s="27" t="str">
        <f>IF(I564="","",_xlfn.XLOOKUP(I564,Lists!$C:$C,Lists!$I:$I))</f>
        <v/>
      </c>
    </row>
    <row r="565" spans="3:19" x14ac:dyDescent="0.2">
      <c r="C565" s="26">
        <f>_xlfn.XLOOKUP(B565,Lists!B:B,Lists!A:A,"")</f>
        <v>0</v>
      </c>
      <c r="G565" s="26" t="str">
        <f t="shared" si="36"/>
        <v/>
      </c>
      <c r="H565" s="31" t="str">
        <f t="shared" si="37"/>
        <v/>
      </c>
      <c r="J565" s="27" t="str">
        <f>IF(I565="","",_xlfn.XLOOKUP(I565,Lists!$C:$C,Lists!$D:$D))</f>
        <v/>
      </c>
      <c r="N565" s="26" t="str">
        <f t="shared" si="38"/>
        <v/>
      </c>
      <c r="O565" s="27" t="str">
        <f>IF(I565="","",_xlfn.XLOOKUP(I565,Lists!$C:$C,Lists!$J:$J))</f>
        <v/>
      </c>
      <c r="P565" s="27" t="str">
        <f>IF(I565="","",_xlfn.XLOOKUP(I565,Lists!$C:$C,Lists!$E:$E))</f>
        <v/>
      </c>
      <c r="Q565" s="28" t="str">
        <f t="shared" si="39"/>
        <v/>
      </c>
      <c r="R565" s="26" t="str">
        <f t="shared" ca="1" si="40"/>
        <v/>
      </c>
      <c r="S565" s="27" t="str">
        <f>IF(I565="","",_xlfn.XLOOKUP(I565,Lists!$C:$C,Lists!$I:$I))</f>
        <v/>
      </c>
    </row>
    <row r="566" spans="3:19" x14ac:dyDescent="0.2">
      <c r="C566" s="26">
        <f>_xlfn.XLOOKUP(B566,Lists!B:B,Lists!A:A,"")</f>
        <v>0</v>
      </c>
      <c r="G566" s="26" t="str">
        <f t="shared" si="36"/>
        <v/>
      </c>
      <c r="H566" s="31" t="str">
        <f t="shared" si="37"/>
        <v/>
      </c>
      <c r="J566" s="27" t="str">
        <f>IF(I566="","",_xlfn.XLOOKUP(I566,Lists!$C:$C,Lists!$D:$D))</f>
        <v/>
      </c>
      <c r="N566" s="26" t="str">
        <f t="shared" si="38"/>
        <v/>
      </c>
      <c r="O566" s="27" t="str">
        <f>IF(I566="","",_xlfn.XLOOKUP(I566,Lists!$C:$C,Lists!$J:$J))</f>
        <v/>
      </c>
      <c r="P566" s="27" t="str">
        <f>IF(I566="","",_xlfn.XLOOKUP(I566,Lists!$C:$C,Lists!$E:$E))</f>
        <v/>
      </c>
      <c r="Q566" s="28" t="str">
        <f t="shared" si="39"/>
        <v/>
      </c>
      <c r="R566" s="26" t="str">
        <f t="shared" ca="1" si="40"/>
        <v/>
      </c>
      <c r="S566" s="27" t="str">
        <f>IF(I566="","",_xlfn.XLOOKUP(I566,Lists!$C:$C,Lists!$I:$I))</f>
        <v/>
      </c>
    </row>
    <row r="567" spans="3:19" x14ac:dyDescent="0.2">
      <c r="C567" s="26">
        <f>_xlfn.XLOOKUP(B567,Lists!B:B,Lists!A:A,"")</f>
        <v>0</v>
      </c>
      <c r="G567" s="26" t="str">
        <f t="shared" si="36"/>
        <v/>
      </c>
      <c r="H567" s="31" t="str">
        <f t="shared" si="37"/>
        <v/>
      </c>
      <c r="J567" s="27" t="str">
        <f>IF(I567="","",_xlfn.XLOOKUP(I567,Lists!$C:$C,Lists!$D:$D))</f>
        <v/>
      </c>
      <c r="N567" s="26" t="str">
        <f t="shared" si="38"/>
        <v/>
      </c>
      <c r="O567" s="27" t="str">
        <f>IF(I567="","",_xlfn.XLOOKUP(I567,Lists!$C:$C,Lists!$J:$J))</f>
        <v/>
      </c>
      <c r="P567" s="27" t="str">
        <f>IF(I567="","",_xlfn.XLOOKUP(I567,Lists!$C:$C,Lists!$E:$E))</f>
        <v/>
      </c>
      <c r="Q567" s="28" t="str">
        <f t="shared" si="39"/>
        <v/>
      </c>
      <c r="R567" s="26" t="str">
        <f t="shared" ca="1" si="40"/>
        <v/>
      </c>
      <c r="S567" s="27" t="str">
        <f>IF(I567="","",_xlfn.XLOOKUP(I567,Lists!$C:$C,Lists!$I:$I))</f>
        <v/>
      </c>
    </row>
    <row r="568" spans="3:19" x14ac:dyDescent="0.2">
      <c r="C568" s="26">
        <f>_xlfn.XLOOKUP(B568,Lists!B:B,Lists!A:A,"")</f>
        <v>0</v>
      </c>
      <c r="G568" s="26" t="str">
        <f t="shared" si="36"/>
        <v/>
      </c>
      <c r="H568" s="31" t="str">
        <f t="shared" si="37"/>
        <v/>
      </c>
      <c r="J568" s="27" t="str">
        <f>IF(I568="","",_xlfn.XLOOKUP(I568,Lists!$C:$C,Lists!$D:$D))</f>
        <v/>
      </c>
      <c r="N568" s="26" t="str">
        <f t="shared" si="38"/>
        <v/>
      </c>
      <c r="O568" s="27" t="str">
        <f>IF(I568="","",_xlfn.XLOOKUP(I568,Lists!$C:$C,Lists!$J:$J))</f>
        <v/>
      </c>
      <c r="P568" s="27" t="str">
        <f>IF(I568="","",_xlfn.XLOOKUP(I568,Lists!$C:$C,Lists!$E:$E))</f>
        <v/>
      </c>
      <c r="Q568" s="28" t="str">
        <f t="shared" si="39"/>
        <v/>
      </c>
      <c r="R568" s="26" t="str">
        <f t="shared" ca="1" si="40"/>
        <v/>
      </c>
      <c r="S568" s="27" t="str">
        <f>IF(I568="","",_xlfn.XLOOKUP(I568,Lists!$C:$C,Lists!$I:$I))</f>
        <v/>
      </c>
    </row>
    <row r="569" spans="3:19" x14ac:dyDescent="0.2">
      <c r="C569" s="26">
        <f>_xlfn.XLOOKUP(B569,Lists!B:B,Lists!A:A,"")</f>
        <v>0</v>
      </c>
      <c r="G569" s="26" t="str">
        <f t="shared" si="36"/>
        <v/>
      </c>
      <c r="H569" s="31" t="str">
        <f t="shared" si="37"/>
        <v/>
      </c>
      <c r="J569" s="27" t="str">
        <f>IF(I569="","",_xlfn.XLOOKUP(I569,Lists!$C:$C,Lists!$D:$D))</f>
        <v/>
      </c>
      <c r="N569" s="26" t="str">
        <f t="shared" si="38"/>
        <v/>
      </c>
      <c r="O569" s="27" t="str">
        <f>IF(I569="","",_xlfn.XLOOKUP(I569,Lists!$C:$C,Lists!$J:$J))</f>
        <v/>
      </c>
      <c r="P569" s="27" t="str">
        <f>IF(I569="","",_xlfn.XLOOKUP(I569,Lists!$C:$C,Lists!$E:$E))</f>
        <v/>
      </c>
      <c r="Q569" s="28" t="str">
        <f t="shared" si="39"/>
        <v/>
      </c>
      <c r="R569" s="26" t="str">
        <f t="shared" ca="1" si="40"/>
        <v/>
      </c>
      <c r="S569" s="27" t="str">
        <f>IF(I569="","",_xlfn.XLOOKUP(I569,Lists!$C:$C,Lists!$I:$I))</f>
        <v/>
      </c>
    </row>
    <row r="570" spans="3:19" x14ac:dyDescent="0.2">
      <c r="C570" s="26">
        <f>_xlfn.XLOOKUP(B570,Lists!B:B,Lists!A:A,"")</f>
        <v>0</v>
      </c>
      <c r="G570" s="26" t="str">
        <f t="shared" si="36"/>
        <v/>
      </c>
      <c r="H570" s="31" t="str">
        <f t="shared" si="37"/>
        <v/>
      </c>
      <c r="J570" s="27" t="str">
        <f>IF(I570="","",_xlfn.XLOOKUP(I570,Lists!$C:$C,Lists!$D:$D))</f>
        <v/>
      </c>
      <c r="N570" s="26" t="str">
        <f t="shared" si="38"/>
        <v/>
      </c>
      <c r="O570" s="27" t="str">
        <f>IF(I570="","",_xlfn.XLOOKUP(I570,Lists!$C:$C,Lists!$J:$J))</f>
        <v/>
      </c>
      <c r="P570" s="27" t="str">
        <f>IF(I570="","",_xlfn.XLOOKUP(I570,Lists!$C:$C,Lists!$E:$E))</f>
        <v/>
      </c>
      <c r="Q570" s="28" t="str">
        <f t="shared" si="39"/>
        <v/>
      </c>
      <c r="R570" s="26" t="str">
        <f t="shared" ca="1" si="40"/>
        <v/>
      </c>
      <c r="S570" s="27" t="str">
        <f>IF(I570="","",_xlfn.XLOOKUP(I570,Lists!$C:$C,Lists!$I:$I))</f>
        <v/>
      </c>
    </row>
    <row r="571" spans="3:19" x14ac:dyDescent="0.2">
      <c r="C571" s="26">
        <f>_xlfn.XLOOKUP(B571,Lists!B:B,Lists!A:A,"")</f>
        <v>0</v>
      </c>
      <c r="G571" s="26" t="str">
        <f t="shared" si="36"/>
        <v/>
      </c>
      <c r="H571" s="31" t="str">
        <f t="shared" si="37"/>
        <v/>
      </c>
      <c r="J571" s="27" t="str">
        <f>IF(I571="","",_xlfn.XLOOKUP(I571,Lists!$C:$C,Lists!$D:$D))</f>
        <v/>
      </c>
      <c r="N571" s="26" t="str">
        <f t="shared" si="38"/>
        <v/>
      </c>
      <c r="O571" s="27" t="str">
        <f>IF(I571="","",_xlfn.XLOOKUP(I571,Lists!$C:$C,Lists!$J:$J))</f>
        <v/>
      </c>
      <c r="P571" s="27" t="str">
        <f>IF(I571="","",_xlfn.XLOOKUP(I571,Lists!$C:$C,Lists!$E:$E))</f>
        <v/>
      </c>
      <c r="Q571" s="28" t="str">
        <f t="shared" si="39"/>
        <v/>
      </c>
      <c r="R571" s="26" t="str">
        <f t="shared" ca="1" si="40"/>
        <v/>
      </c>
      <c r="S571" s="27" t="str">
        <f>IF(I571="","",_xlfn.XLOOKUP(I571,Lists!$C:$C,Lists!$I:$I))</f>
        <v/>
      </c>
    </row>
    <row r="572" spans="3:19" x14ac:dyDescent="0.2">
      <c r="C572" s="26">
        <f>_xlfn.XLOOKUP(B572,Lists!B:B,Lists!A:A,"")</f>
        <v>0</v>
      </c>
      <c r="G572" s="26" t="str">
        <f t="shared" si="36"/>
        <v/>
      </c>
      <c r="H572" s="31" t="str">
        <f t="shared" si="37"/>
        <v/>
      </c>
      <c r="J572" s="27" t="str">
        <f>IF(I572="","",_xlfn.XLOOKUP(I572,Lists!$C:$C,Lists!$D:$D))</f>
        <v/>
      </c>
      <c r="N572" s="26" t="str">
        <f t="shared" si="38"/>
        <v/>
      </c>
      <c r="O572" s="27" t="str">
        <f>IF(I572="","",_xlfn.XLOOKUP(I572,Lists!$C:$C,Lists!$J:$J))</f>
        <v/>
      </c>
      <c r="P572" s="27" t="str">
        <f>IF(I572="","",_xlfn.XLOOKUP(I572,Lists!$C:$C,Lists!$E:$E))</f>
        <v/>
      </c>
      <c r="Q572" s="28" t="str">
        <f t="shared" si="39"/>
        <v/>
      </c>
      <c r="R572" s="26" t="str">
        <f t="shared" ca="1" si="40"/>
        <v/>
      </c>
      <c r="S572" s="27" t="str">
        <f>IF(I572="","",_xlfn.XLOOKUP(I572,Lists!$C:$C,Lists!$I:$I))</f>
        <v/>
      </c>
    </row>
    <row r="573" spans="3:19" x14ac:dyDescent="0.2">
      <c r="C573" s="26">
        <f>_xlfn.XLOOKUP(B573,Lists!B:B,Lists!A:A,"")</f>
        <v>0</v>
      </c>
      <c r="G573" s="26" t="str">
        <f t="shared" si="36"/>
        <v/>
      </c>
      <c r="H573" s="31" t="str">
        <f t="shared" si="37"/>
        <v/>
      </c>
      <c r="J573" s="27" t="str">
        <f>IF(I573="","",_xlfn.XLOOKUP(I573,Lists!$C:$C,Lists!$D:$D))</f>
        <v/>
      </c>
      <c r="N573" s="26" t="str">
        <f t="shared" si="38"/>
        <v/>
      </c>
      <c r="O573" s="27" t="str">
        <f>IF(I573="","",_xlfn.XLOOKUP(I573,Lists!$C:$C,Lists!$J:$J))</f>
        <v/>
      </c>
      <c r="P573" s="27" t="str">
        <f>IF(I573="","",_xlfn.XLOOKUP(I573,Lists!$C:$C,Lists!$E:$E))</f>
        <v/>
      </c>
      <c r="Q573" s="28" t="str">
        <f t="shared" si="39"/>
        <v/>
      </c>
      <c r="R573" s="26" t="str">
        <f t="shared" ca="1" si="40"/>
        <v/>
      </c>
      <c r="S573" s="27" t="str">
        <f>IF(I573="","",_xlfn.XLOOKUP(I573,Lists!$C:$C,Lists!$I:$I))</f>
        <v/>
      </c>
    </row>
    <row r="574" spans="3:19" x14ac:dyDescent="0.2">
      <c r="C574" s="26">
        <f>_xlfn.XLOOKUP(B574,Lists!B:B,Lists!A:A,"")</f>
        <v>0</v>
      </c>
      <c r="G574" s="26" t="str">
        <f t="shared" si="36"/>
        <v/>
      </c>
      <c r="H574" s="31" t="str">
        <f t="shared" si="37"/>
        <v/>
      </c>
      <c r="J574" s="27" t="str">
        <f>IF(I574="","",_xlfn.XLOOKUP(I574,Lists!$C:$C,Lists!$D:$D))</f>
        <v/>
      </c>
      <c r="N574" s="26" t="str">
        <f t="shared" si="38"/>
        <v/>
      </c>
      <c r="O574" s="27" t="str">
        <f>IF(I574="","",_xlfn.XLOOKUP(I574,Lists!$C:$C,Lists!$J:$J))</f>
        <v/>
      </c>
      <c r="P574" s="27" t="str">
        <f>IF(I574="","",_xlfn.XLOOKUP(I574,Lists!$C:$C,Lists!$E:$E))</f>
        <v/>
      </c>
      <c r="Q574" s="28" t="str">
        <f t="shared" si="39"/>
        <v/>
      </c>
      <c r="R574" s="26" t="str">
        <f t="shared" ca="1" si="40"/>
        <v/>
      </c>
      <c r="S574" s="27" t="str">
        <f>IF(I574="","",_xlfn.XLOOKUP(I574,Lists!$C:$C,Lists!$I:$I))</f>
        <v/>
      </c>
    </row>
    <row r="575" spans="3:19" x14ac:dyDescent="0.2">
      <c r="C575" s="26">
        <f>_xlfn.XLOOKUP(B575,Lists!B:B,Lists!A:A,"")</f>
        <v>0</v>
      </c>
      <c r="G575" s="26" t="str">
        <f t="shared" si="36"/>
        <v/>
      </c>
      <c r="H575" s="31" t="str">
        <f t="shared" si="37"/>
        <v/>
      </c>
      <c r="J575" s="27" t="str">
        <f>IF(I575="","",_xlfn.XLOOKUP(I575,Lists!$C:$C,Lists!$D:$D))</f>
        <v/>
      </c>
      <c r="N575" s="26" t="str">
        <f t="shared" si="38"/>
        <v/>
      </c>
      <c r="O575" s="27" t="str">
        <f>IF(I575="","",_xlfn.XLOOKUP(I575,Lists!$C:$C,Lists!$J:$J))</f>
        <v/>
      </c>
      <c r="P575" s="27" t="str">
        <f>IF(I575="","",_xlfn.XLOOKUP(I575,Lists!$C:$C,Lists!$E:$E))</f>
        <v/>
      </c>
      <c r="Q575" s="28" t="str">
        <f t="shared" si="39"/>
        <v/>
      </c>
      <c r="R575" s="26" t="str">
        <f t="shared" ca="1" si="40"/>
        <v/>
      </c>
      <c r="S575" s="27" t="str">
        <f>IF(I575="","",_xlfn.XLOOKUP(I575,Lists!$C:$C,Lists!$I:$I))</f>
        <v/>
      </c>
    </row>
    <row r="576" spans="3:19" x14ac:dyDescent="0.2">
      <c r="C576" s="26">
        <f>_xlfn.XLOOKUP(B576,Lists!B:B,Lists!A:A,"")</f>
        <v>0</v>
      </c>
      <c r="G576" s="26" t="str">
        <f t="shared" si="36"/>
        <v/>
      </c>
      <c r="H576" s="31" t="str">
        <f t="shared" si="37"/>
        <v/>
      </c>
      <c r="J576" s="27" t="str">
        <f>IF(I576="","",_xlfn.XLOOKUP(I576,Lists!$C:$C,Lists!$D:$D))</f>
        <v/>
      </c>
      <c r="N576" s="26" t="str">
        <f t="shared" si="38"/>
        <v/>
      </c>
      <c r="O576" s="27" t="str">
        <f>IF(I576="","",_xlfn.XLOOKUP(I576,Lists!$C:$C,Lists!$J:$J))</f>
        <v/>
      </c>
      <c r="P576" s="27" t="str">
        <f>IF(I576="","",_xlfn.XLOOKUP(I576,Lists!$C:$C,Lists!$E:$E))</f>
        <v/>
      </c>
      <c r="Q576" s="28" t="str">
        <f t="shared" si="39"/>
        <v/>
      </c>
      <c r="R576" s="26" t="str">
        <f t="shared" ca="1" si="40"/>
        <v/>
      </c>
      <c r="S576" s="27" t="str">
        <f>IF(I576="","",_xlfn.XLOOKUP(I576,Lists!$C:$C,Lists!$I:$I))</f>
        <v/>
      </c>
    </row>
    <row r="577" spans="3:19" x14ac:dyDescent="0.2">
      <c r="C577" s="26">
        <f>_xlfn.XLOOKUP(B577,Lists!B:B,Lists!A:A,"")</f>
        <v>0</v>
      </c>
      <c r="G577" s="26" t="str">
        <f t="shared" si="36"/>
        <v/>
      </c>
      <c r="H577" s="31" t="str">
        <f t="shared" si="37"/>
        <v/>
      </c>
      <c r="J577" s="27" t="str">
        <f>IF(I577="","",_xlfn.XLOOKUP(I577,Lists!$C:$C,Lists!$D:$D))</f>
        <v/>
      </c>
      <c r="N577" s="26" t="str">
        <f t="shared" si="38"/>
        <v/>
      </c>
      <c r="O577" s="27" t="str">
        <f>IF(I577="","",_xlfn.XLOOKUP(I577,Lists!$C:$C,Lists!$J:$J))</f>
        <v/>
      </c>
      <c r="P577" s="27" t="str">
        <f>IF(I577="","",_xlfn.XLOOKUP(I577,Lists!$C:$C,Lists!$E:$E))</f>
        <v/>
      </c>
      <c r="Q577" s="28" t="str">
        <f t="shared" si="39"/>
        <v/>
      </c>
      <c r="R577" s="26" t="str">
        <f t="shared" ca="1" si="40"/>
        <v/>
      </c>
      <c r="S577" s="27" t="str">
        <f>IF(I577="","",_xlfn.XLOOKUP(I577,Lists!$C:$C,Lists!$I:$I))</f>
        <v/>
      </c>
    </row>
    <row r="578" spans="3:19" x14ac:dyDescent="0.2">
      <c r="C578" s="26">
        <f>_xlfn.XLOOKUP(B578,Lists!B:B,Lists!A:A,"")</f>
        <v>0</v>
      </c>
      <c r="G578" s="26" t="str">
        <f t="shared" si="36"/>
        <v/>
      </c>
      <c r="H578" s="31" t="str">
        <f t="shared" si="37"/>
        <v/>
      </c>
      <c r="J578" s="27" t="str">
        <f>IF(I578="","",_xlfn.XLOOKUP(I578,Lists!$C:$C,Lists!$D:$D))</f>
        <v/>
      </c>
      <c r="N578" s="26" t="str">
        <f t="shared" si="38"/>
        <v/>
      </c>
      <c r="O578" s="27" t="str">
        <f>IF(I578="","",_xlfn.XLOOKUP(I578,Lists!$C:$C,Lists!$J:$J))</f>
        <v/>
      </c>
      <c r="P578" s="27" t="str">
        <f>IF(I578="","",_xlfn.XLOOKUP(I578,Lists!$C:$C,Lists!$E:$E))</f>
        <v/>
      </c>
      <c r="Q578" s="28" t="str">
        <f t="shared" si="39"/>
        <v/>
      </c>
      <c r="R578" s="26" t="str">
        <f t="shared" ca="1" si="40"/>
        <v/>
      </c>
      <c r="S578" s="27" t="str">
        <f>IF(I578="","",_xlfn.XLOOKUP(I578,Lists!$C:$C,Lists!$I:$I))</f>
        <v/>
      </c>
    </row>
    <row r="579" spans="3:19" x14ac:dyDescent="0.2">
      <c r="C579" s="26">
        <f>_xlfn.XLOOKUP(B579,Lists!B:B,Lists!A:A,"")</f>
        <v>0</v>
      </c>
      <c r="G579" s="26" t="str">
        <f t="shared" si="36"/>
        <v/>
      </c>
      <c r="H579" s="31" t="str">
        <f t="shared" si="37"/>
        <v/>
      </c>
      <c r="J579" s="27" t="str">
        <f>IF(I579="","",_xlfn.XLOOKUP(I579,Lists!$C:$C,Lists!$D:$D))</f>
        <v/>
      </c>
      <c r="N579" s="26" t="str">
        <f t="shared" si="38"/>
        <v/>
      </c>
      <c r="O579" s="27" t="str">
        <f>IF(I579="","",_xlfn.XLOOKUP(I579,Lists!$C:$C,Lists!$J:$J))</f>
        <v/>
      </c>
      <c r="P579" s="27" t="str">
        <f>IF(I579="","",_xlfn.XLOOKUP(I579,Lists!$C:$C,Lists!$E:$E))</f>
        <v/>
      </c>
      <c r="Q579" s="28" t="str">
        <f t="shared" si="39"/>
        <v/>
      </c>
      <c r="R579" s="26" t="str">
        <f t="shared" ca="1" si="40"/>
        <v/>
      </c>
      <c r="S579" s="27" t="str">
        <f>IF(I579="","",_xlfn.XLOOKUP(I579,Lists!$C:$C,Lists!$I:$I))</f>
        <v/>
      </c>
    </row>
    <row r="580" spans="3:19" x14ac:dyDescent="0.2">
      <c r="C580" s="26">
        <f>_xlfn.XLOOKUP(B580,Lists!B:B,Lists!A:A,"")</f>
        <v>0</v>
      </c>
      <c r="G580" s="26" t="str">
        <f t="shared" si="36"/>
        <v/>
      </c>
      <c r="H580" s="31" t="str">
        <f t="shared" si="37"/>
        <v/>
      </c>
      <c r="J580" s="27" t="str">
        <f>IF(I580="","",_xlfn.XLOOKUP(I580,Lists!$C:$C,Lists!$D:$D))</f>
        <v/>
      </c>
      <c r="N580" s="26" t="str">
        <f t="shared" si="38"/>
        <v/>
      </c>
      <c r="O580" s="27" t="str">
        <f>IF(I580="","",_xlfn.XLOOKUP(I580,Lists!$C:$C,Lists!$J:$J))</f>
        <v/>
      </c>
      <c r="P580" s="27" t="str">
        <f>IF(I580="","",_xlfn.XLOOKUP(I580,Lists!$C:$C,Lists!$E:$E))</f>
        <v/>
      </c>
      <c r="Q580" s="28" t="str">
        <f t="shared" si="39"/>
        <v/>
      </c>
      <c r="R580" s="26" t="str">
        <f t="shared" ca="1" si="40"/>
        <v/>
      </c>
      <c r="S580" s="27" t="str">
        <f>IF(I580="","",_xlfn.XLOOKUP(I580,Lists!$C:$C,Lists!$I:$I))</f>
        <v/>
      </c>
    </row>
    <row r="581" spans="3:19" x14ac:dyDescent="0.2">
      <c r="C581" s="26">
        <f>_xlfn.XLOOKUP(B581,Lists!B:B,Lists!A:A,"")</f>
        <v>0</v>
      </c>
      <c r="G581" s="26" t="str">
        <f t="shared" si="36"/>
        <v/>
      </c>
      <c r="H581" s="31" t="str">
        <f t="shared" si="37"/>
        <v/>
      </c>
      <c r="J581" s="27" t="str">
        <f>IF(I581="","",_xlfn.XLOOKUP(I581,Lists!$C:$C,Lists!$D:$D))</f>
        <v/>
      </c>
      <c r="N581" s="26" t="str">
        <f t="shared" si="38"/>
        <v/>
      </c>
      <c r="O581" s="27" t="str">
        <f>IF(I581="","",_xlfn.XLOOKUP(I581,Lists!$C:$C,Lists!$J:$J))</f>
        <v/>
      </c>
      <c r="P581" s="27" t="str">
        <f>IF(I581="","",_xlfn.XLOOKUP(I581,Lists!$C:$C,Lists!$E:$E))</f>
        <v/>
      </c>
      <c r="Q581" s="28" t="str">
        <f t="shared" si="39"/>
        <v/>
      </c>
      <c r="R581" s="26" t="str">
        <f t="shared" ca="1" si="40"/>
        <v/>
      </c>
      <c r="S581" s="27" t="str">
        <f>IF(I581="","",_xlfn.XLOOKUP(I581,Lists!$C:$C,Lists!$I:$I))</f>
        <v/>
      </c>
    </row>
    <row r="582" spans="3:19" x14ac:dyDescent="0.2">
      <c r="C582" s="26">
        <f>_xlfn.XLOOKUP(B582,Lists!B:B,Lists!A:A,"")</f>
        <v>0</v>
      </c>
      <c r="G582" s="26" t="str">
        <f t="shared" si="36"/>
        <v/>
      </c>
      <c r="H582" s="31" t="str">
        <f t="shared" si="37"/>
        <v/>
      </c>
      <c r="J582" s="27" t="str">
        <f>IF(I582="","",_xlfn.XLOOKUP(I582,Lists!$C:$C,Lists!$D:$D))</f>
        <v/>
      </c>
      <c r="N582" s="26" t="str">
        <f t="shared" si="38"/>
        <v/>
      </c>
      <c r="O582" s="27" t="str">
        <f>IF(I582="","",_xlfn.XLOOKUP(I582,Lists!$C:$C,Lists!$J:$J))</f>
        <v/>
      </c>
      <c r="P582" s="27" t="str">
        <f>IF(I582="","",_xlfn.XLOOKUP(I582,Lists!$C:$C,Lists!$E:$E))</f>
        <v/>
      </c>
      <c r="Q582" s="28" t="str">
        <f t="shared" si="39"/>
        <v/>
      </c>
      <c r="R582" s="26" t="str">
        <f t="shared" ca="1" si="40"/>
        <v/>
      </c>
      <c r="S582" s="27" t="str">
        <f>IF(I582="","",_xlfn.XLOOKUP(I582,Lists!$C:$C,Lists!$I:$I))</f>
        <v/>
      </c>
    </row>
    <row r="583" spans="3:19" x14ac:dyDescent="0.2">
      <c r="C583" s="26">
        <f>_xlfn.XLOOKUP(B583,Lists!B:B,Lists!A:A,"")</f>
        <v>0</v>
      </c>
      <c r="G583" s="26" t="str">
        <f t="shared" si="36"/>
        <v/>
      </c>
      <c r="H583" s="31" t="str">
        <f t="shared" si="37"/>
        <v/>
      </c>
      <c r="J583" s="27" t="str">
        <f>IF(I583="","",_xlfn.XLOOKUP(I583,Lists!$C:$C,Lists!$D:$D))</f>
        <v/>
      </c>
      <c r="N583" s="26" t="str">
        <f t="shared" si="38"/>
        <v/>
      </c>
      <c r="O583" s="27" t="str">
        <f>IF(I583="","",_xlfn.XLOOKUP(I583,Lists!$C:$C,Lists!$J:$J))</f>
        <v/>
      </c>
      <c r="P583" s="27" t="str">
        <f>IF(I583="","",_xlfn.XLOOKUP(I583,Lists!$C:$C,Lists!$E:$E))</f>
        <v/>
      </c>
      <c r="Q583" s="28" t="str">
        <f t="shared" si="39"/>
        <v/>
      </c>
      <c r="R583" s="26" t="str">
        <f t="shared" ca="1" si="40"/>
        <v/>
      </c>
      <c r="S583" s="27" t="str">
        <f>IF(I583="","",_xlfn.XLOOKUP(I583,Lists!$C:$C,Lists!$I:$I))</f>
        <v/>
      </c>
    </row>
    <row r="584" spans="3:19" x14ac:dyDescent="0.2">
      <c r="C584" s="26">
        <f>_xlfn.XLOOKUP(B584,Lists!B:B,Lists!A:A,"")</f>
        <v>0</v>
      </c>
      <c r="G584" s="26" t="str">
        <f t="shared" si="36"/>
        <v/>
      </c>
      <c r="H584" s="31" t="str">
        <f t="shared" si="37"/>
        <v/>
      </c>
      <c r="J584" s="27" t="str">
        <f>IF(I584="","",_xlfn.XLOOKUP(I584,Lists!$C:$C,Lists!$D:$D))</f>
        <v/>
      </c>
      <c r="N584" s="26" t="str">
        <f t="shared" si="38"/>
        <v/>
      </c>
      <c r="O584" s="27" t="str">
        <f>IF(I584="","",_xlfn.XLOOKUP(I584,Lists!$C:$C,Lists!$J:$J))</f>
        <v/>
      </c>
      <c r="P584" s="27" t="str">
        <f>IF(I584="","",_xlfn.XLOOKUP(I584,Lists!$C:$C,Lists!$E:$E))</f>
        <v/>
      </c>
      <c r="Q584" s="28" t="str">
        <f t="shared" si="39"/>
        <v/>
      </c>
      <c r="R584" s="26" t="str">
        <f t="shared" ca="1" si="40"/>
        <v/>
      </c>
      <c r="S584" s="27" t="str">
        <f>IF(I584="","",_xlfn.XLOOKUP(I584,Lists!$C:$C,Lists!$I:$I))</f>
        <v/>
      </c>
    </row>
    <row r="585" spans="3:19" x14ac:dyDescent="0.2">
      <c r="C585" s="26">
        <f>_xlfn.XLOOKUP(B585,Lists!B:B,Lists!A:A,"")</f>
        <v>0</v>
      </c>
      <c r="G585" s="26" t="str">
        <f t="shared" si="36"/>
        <v/>
      </c>
      <c r="H585" s="31" t="str">
        <f t="shared" si="37"/>
        <v/>
      </c>
      <c r="J585" s="27" t="str">
        <f>IF(I585="","",_xlfn.XLOOKUP(I585,Lists!$C:$C,Lists!$D:$D))</f>
        <v/>
      </c>
      <c r="N585" s="26" t="str">
        <f t="shared" si="38"/>
        <v/>
      </c>
      <c r="O585" s="27" t="str">
        <f>IF(I585="","",_xlfn.XLOOKUP(I585,Lists!$C:$C,Lists!$J:$J))</f>
        <v/>
      </c>
      <c r="P585" s="27" t="str">
        <f>IF(I585="","",_xlfn.XLOOKUP(I585,Lists!$C:$C,Lists!$E:$E))</f>
        <v/>
      </c>
      <c r="Q585" s="28" t="str">
        <f t="shared" si="39"/>
        <v/>
      </c>
      <c r="R585" s="26" t="str">
        <f t="shared" ca="1" si="40"/>
        <v/>
      </c>
      <c r="S585" s="27" t="str">
        <f>IF(I585="","",_xlfn.XLOOKUP(I585,Lists!$C:$C,Lists!$I:$I))</f>
        <v/>
      </c>
    </row>
    <row r="586" spans="3:19" x14ac:dyDescent="0.2">
      <c r="C586" s="26">
        <f>_xlfn.XLOOKUP(B586,Lists!B:B,Lists!A:A,"")</f>
        <v>0</v>
      </c>
      <c r="G586" s="26" t="str">
        <f t="shared" si="36"/>
        <v/>
      </c>
      <c r="H586" s="31" t="str">
        <f t="shared" si="37"/>
        <v/>
      </c>
      <c r="J586" s="27" t="str">
        <f>IF(I586="","",_xlfn.XLOOKUP(I586,Lists!$C:$C,Lists!$D:$D))</f>
        <v/>
      </c>
      <c r="N586" s="26" t="str">
        <f t="shared" si="38"/>
        <v/>
      </c>
      <c r="O586" s="27" t="str">
        <f>IF(I586="","",_xlfn.XLOOKUP(I586,Lists!$C:$C,Lists!$J:$J))</f>
        <v/>
      </c>
      <c r="P586" s="27" t="str">
        <f>IF(I586="","",_xlfn.XLOOKUP(I586,Lists!$C:$C,Lists!$E:$E))</f>
        <v/>
      </c>
      <c r="Q586" s="28" t="str">
        <f t="shared" si="39"/>
        <v/>
      </c>
      <c r="R586" s="26" t="str">
        <f t="shared" ca="1" si="40"/>
        <v/>
      </c>
      <c r="S586" s="27" t="str">
        <f>IF(I586="","",_xlfn.XLOOKUP(I586,Lists!$C:$C,Lists!$I:$I))</f>
        <v/>
      </c>
    </row>
    <row r="587" spans="3:19" x14ac:dyDescent="0.2">
      <c r="C587" s="26">
        <f>_xlfn.XLOOKUP(B587,Lists!B:B,Lists!A:A,"")</f>
        <v>0</v>
      </c>
      <c r="G587" s="26" t="str">
        <f t="shared" si="36"/>
        <v/>
      </c>
      <c r="H587" s="31" t="str">
        <f t="shared" si="37"/>
        <v/>
      </c>
      <c r="J587" s="27" t="str">
        <f>IF(I587="","",_xlfn.XLOOKUP(I587,Lists!$C:$C,Lists!$D:$D))</f>
        <v/>
      </c>
      <c r="N587" s="26" t="str">
        <f t="shared" si="38"/>
        <v/>
      </c>
      <c r="O587" s="27" t="str">
        <f>IF(I587="","",_xlfn.XLOOKUP(I587,Lists!$C:$C,Lists!$J:$J))</f>
        <v/>
      </c>
      <c r="P587" s="27" t="str">
        <f>IF(I587="","",_xlfn.XLOOKUP(I587,Lists!$C:$C,Lists!$E:$E))</f>
        <v/>
      </c>
      <c r="Q587" s="28" t="str">
        <f t="shared" si="39"/>
        <v/>
      </c>
      <c r="R587" s="26" t="str">
        <f t="shared" ca="1" si="40"/>
        <v/>
      </c>
      <c r="S587" s="27" t="str">
        <f>IF(I587="","",_xlfn.XLOOKUP(I587,Lists!$C:$C,Lists!$I:$I))</f>
        <v/>
      </c>
    </row>
    <row r="588" spans="3:19" x14ac:dyDescent="0.2">
      <c r="C588" s="26">
        <f>_xlfn.XLOOKUP(B588,Lists!B:B,Lists!A:A,"")</f>
        <v>0</v>
      </c>
      <c r="G588" s="26" t="str">
        <f t="shared" si="36"/>
        <v/>
      </c>
      <c r="H588" s="31" t="str">
        <f t="shared" si="37"/>
        <v/>
      </c>
      <c r="J588" s="27" t="str">
        <f>IF(I588="","",_xlfn.XLOOKUP(I588,Lists!$C:$C,Lists!$D:$D))</f>
        <v/>
      </c>
      <c r="N588" s="26" t="str">
        <f t="shared" si="38"/>
        <v/>
      </c>
      <c r="O588" s="27" t="str">
        <f>IF(I588="","",_xlfn.XLOOKUP(I588,Lists!$C:$C,Lists!$J:$J))</f>
        <v/>
      </c>
      <c r="P588" s="27" t="str">
        <f>IF(I588="","",_xlfn.XLOOKUP(I588,Lists!$C:$C,Lists!$E:$E))</f>
        <v/>
      </c>
      <c r="Q588" s="28" t="str">
        <f t="shared" si="39"/>
        <v/>
      </c>
      <c r="R588" s="26" t="str">
        <f t="shared" ca="1" si="40"/>
        <v/>
      </c>
      <c r="S588" s="27" t="str">
        <f>IF(I588="","",_xlfn.XLOOKUP(I588,Lists!$C:$C,Lists!$I:$I))</f>
        <v/>
      </c>
    </row>
    <row r="589" spans="3:19" x14ac:dyDescent="0.2">
      <c r="C589" s="26">
        <f>_xlfn.XLOOKUP(B589,Lists!B:B,Lists!A:A,"")</f>
        <v>0</v>
      </c>
      <c r="G589" s="26" t="str">
        <f t="shared" si="36"/>
        <v/>
      </c>
      <c r="H589" s="31" t="str">
        <f t="shared" si="37"/>
        <v/>
      </c>
      <c r="J589" s="27" t="str">
        <f>IF(I589="","",_xlfn.XLOOKUP(I589,Lists!$C:$C,Lists!$D:$D))</f>
        <v/>
      </c>
      <c r="N589" s="26" t="str">
        <f t="shared" si="38"/>
        <v/>
      </c>
      <c r="O589" s="27" t="str">
        <f>IF(I589="","",_xlfn.XLOOKUP(I589,Lists!$C:$C,Lists!$J:$J))</f>
        <v/>
      </c>
      <c r="P589" s="27" t="str">
        <f>IF(I589="","",_xlfn.XLOOKUP(I589,Lists!$C:$C,Lists!$E:$E))</f>
        <v/>
      </c>
      <c r="Q589" s="28" t="str">
        <f t="shared" si="39"/>
        <v/>
      </c>
      <c r="R589" s="26" t="str">
        <f t="shared" ca="1" si="40"/>
        <v/>
      </c>
      <c r="S589" s="27" t="str">
        <f>IF(I589="","",_xlfn.XLOOKUP(I589,Lists!$C:$C,Lists!$I:$I))</f>
        <v/>
      </c>
    </row>
    <row r="590" spans="3:19" x14ac:dyDescent="0.2">
      <c r="C590" s="26">
        <f>_xlfn.XLOOKUP(B590,Lists!B:B,Lists!A:A,"")</f>
        <v>0</v>
      </c>
      <c r="G590" s="26" t="str">
        <f t="shared" si="36"/>
        <v/>
      </c>
      <c r="H590" s="31" t="str">
        <f t="shared" si="37"/>
        <v/>
      </c>
      <c r="J590" s="27" t="str">
        <f>IF(I590="","",_xlfn.XLOOKUP(I590,Lists!$C:$C,Lists!$D:$D))</f>
        <v/>
      </c>
      <c r="N590" s="26" t="str">
        <f t="shared" si="38"/>
        <v/>
      </c>
      <c r="O590" s="27" t="str">
        <f>IF(I590="","",_xlfn.XLOOKUP(I590,Lists!$C:$C,Lists!$J:$J))</f>
        <v/>
      </c>
      <c r="P590" s="27" t="str">
        <f>IF(I590="","",_xlfn.XLOOKUP(I590,Lists!$C:$C,Lists!$E:$E))</f>
        <v/>
      </c>
      <c r="Q590" s="28" t="str">
        <f t="shared" si="39"/>
        <v/>
      </c>
      <c r="R590" s="26" t="str">
        <f t="shared" ca="1" si="40"/>
        <v/>
      </c>
      <c r="S590" s="27" t="str">
        <f>IF(I590="","",_xlfn.XLOOKUP(I590,Lists!$C:$C,Lists!$I:$I))</f>
        <v/>
      </c>
    </row>
    <row r="591" spans="3:19" x14ac:dyDescent="0.2">
      <c r="C591" s="26">
        <f>_xlfn.XLOOKUP(B591,Lists!B:B,Lists!A:A,"")</f>
        <v>0</v>
      </c>
      <c r="G591" s="26" t="str">
        <f t="shared" si="36"/>
        <v/>
      </c>
      <c r="H591" s="31" t="str">
        <f t="shared" si="37"/>
        <v/>
      </c>
      <c r="J591" s="27" t="str">
        <f>IF(I591="","",_xlfn.XLOOKUP(I591,Lists!$C:$C,Lists!$D:$D))</f>
        <v/>
      </c>
      <c r="N591" s="26" t="str">
        <f t="shared" si="38"/>
        <v/>
      </c>
      <c r="O591" s="27" t="str">
        <f>IF(I591="","",_xlfn.XLOOKUP(I591,Lists!$C:$C,Lists!$J:$J))</f>
        <v/>
      </c>
      <c r="P591" s="27" t="str">
        <f>IF(I591="","",_xlfn.XLOOKUP(I591,Lists!$C:$C,Lists!$E:$E))</f>
        <v/>
      </c>
      <c r="Q591" s="28" t="str">
        <f t="shared" si="39"/>
        <v/>
      </c>
      <c r="R591" s="26" t="str">
        <f t="shared" ca="1" si="40"/>
        <v/>
      </c>
      <c r="S591" s="27" t="str">
        <f>IF(I591="","",_xlfn.XLOOKUP(I591,Lists!$C:$C,Lists!$I:$I))</f>
        <v/>
      </c>
    </row>
    <row r="592" spans="3:19" x14ac:dyDescent="0.2">
      <c r="C592" s="26">
        <f>_xlfn.XLOOKUP(B592,Lists!B:B,Lists!A:A,"")</f>
        <v>0</v>
      </c>
      <c r="G592" s="26" t="str">
        <f t="shared" si="36"/>
        <v/>
      </c>
      <c r="H592" s="31" t="str">
        <f t="shared" si="37"/>
        <v/>
      </c>
      <c r="J592" s="27" t="str">
        <f>IF(I592="","",_xlfn.XLOOKUP(I592,Lists!$C:$C,Lists!$D:$D))</f>
        <v/>
      </c>
      <c r="N592" s="26" t="str">
        <f t="shared" si="38"/>
        <v/>
      </c>
      <c r="O592" s="27" t="str">
        <f>IF(I592="","",_xlfn.XLOOKUP(I592,Lists!$C:$C,Lists!$J:$J))</f>
        <v/>
      </c>
      <c r="P592" s="27" t="str">
        <f>IF(I592="","",_xlfn.XLOOKUP(I592,Lists!$C:$C,Lists!$E:$E))</f>
        <v/>
      </c>
      <c r="Q592" s="28" t="str">
        <f t="shared" si="39"/>
        <v/>
      </c>
      <c r="R592" s="26" t="str">
        <f t="shared" ca="1" si="40"/>
        <v/>
      </c>
      <c r="S592" s="27" t="str">
        <f>IF(I592="","",_xlfn.XLOOKUP(I592,Lists!$C:$C,Lists!$I:$I))</f>
        <v/>
      </c>
    </row>
    <row r="593" spans="3:19" x14ac:dyDescent="0.2">
      <c r="C593" s="26">
        <f>_xlfn.XLOOKUP(B593,Lists!B:B,Lists!A:A,"")</f>
        <v>0</v>
      </c>
      <c r="G593" s="26" t="str">
        <f t="shared" si="36"/>
        <v/>
      </c>
      <c r="H593" s="31" t="str">
        <f t="shared" si="37"/>
        <v/>
      </c>
      <c r="J593" s="27" t="str">
        <f>IF(I593="","",_xlfn.XLOOKUP(I593,Lists!$C:$C,Lists!$D:$D))</f>
        <v/>
      </c>
      <c r="N593" s="26" t="str">
        <f t="shared" si="38"/>
        <v/>
      </c>
      <c r="O593" s="27" t="str">
        <f>IF(I593="","",_xlfn.XLOOKUP(I593,Lists!$C:$C,Lists!$J:$J))</f>
        <v/>
      </c>
      <c r="P593" s="27" t="str">
        <f>IF(I593="","",_xlfn.XLOOKUP(I593,Lists!$C:$C,Lists!$E:$E))</f>
        <v/>
      </c>
      <c r="Q593" s="28" t="str">
        <f t="shared" si="39"/>
        <v/>
      </c>
      <c r="R593" s="26" t="str">
        <f t="shared" ca="1" si="40"/>
        <v/>
      </c>
      <c r="S593" s="27" t="str">
        <f>IF(I593="","",_xlfn.XLOOKUP(I593,Lists!$C:$C,Lists!$I:$I))</f>
        <v/>
      </c>
    </row>
    <row r="594" spans="3:19" x14ac:dyDescent="0.2">
      <c r="C594" s="26">
        <f>_xlfn.XLOOKUP(B594,Lists!B:B,Lists!A:A,"")</f>
        <v>0</v>
      </c>
      <c r="G594" s="26" t="str">
        <f t="shared" si="36"/>
        <v/>
      </c>
      <c r="H594" s="31" t="str">
        <f t="shared" si="37"/>
        <v/>
      </c>
      <c r="J594" s="27" t="str">
        <f>IF(I594="","",_xlfn.XLOOKUP(I594,Lists!$C:$C,Lists!$D:$D))</f>
        <v/>
      </c>
      <c r="N594" s="26" t="str">
        <f t="shared" si="38"/>
        <v/>
      </c>
      <c r="O594" s="27" t="str">
        <f>IF(I594="","",_xlfn.XLOOKUP(I594,Lists!$C:$C,Lists!$J:$J))</f>
        <v/>
      </c>
      <c r="P594" s="27" t="str">
        <f>IF(I594="","",_xlfn.XLOOKUP(I594,Lists!$C:$C,Lists!$E:$E))</f>
        <v/>
      </c>
      <c r="Q594" s="28" t="str">
        <f t="shared" si="39"/>
        <v/>
      </c>
      <c r="R594" s="26" t="str">
        <f t="shared" ca="1" si="40"/>
        <v/>
      </c>
      <c r="S594" s="27" t="str">
        <f>IF(I594="","",_xlfn.XLOOKUP(I594,Lists!$C:$C,Lists!$I:$I))</f>
        <v/>
      </c>
    </row>
    <row r="595" spans="3:19" x14ac:dyDescent="0.2">
      <c r="C595" s="26">
        <f>_xlfn.XLOOKUP(B595,Lists!B:B,Lists!A:A,"")</f>
        <v>0</v>
      </c>
      <c r="G595" s="26" t="str">
        <f t="shared" si="36"/>
        <v/>
      </c>
      <c r="H595" s="31" t="str">
        <f t="shared" si="37"/>
        <v/>
      </c>
      <c r="J595" s="27" t="str">
        <f>IF(I595="","",_xlfn.XLOOKUP(I595,Lists!$C:$C,Lists!$D:$D))</f>
        <v/>
      </c>
      <c r="N595" s="26" t="str">
        <f t="shared" si="38"/>
        <v/>
      </c>
      <c r="O595" s="27" t="str">
        <f>IF(I595="","",_xlfn.XLOOKUP(I595,Lists!$C:$C,Lists!$J:$J))</f>
        <v/>
      </c>
      <c r="P595" s="27" t="str">
        <f>IF(I595="","",_xlfn.XLOOKUP(I595,Lists!$C:$C,Lists!$E:$E))</f>
        <v/>
      </c>
      <c r="Q595" s="28" t="str">
        <f t="shared" si="39"/>
        <v/>
      </c>
      <c r="R595" s="26" t="str">
        <f t="shared" ca="1" si="40"/>
        <v/>
      </c>
      <c r="S595" s="27" t="str">
        <f>IF(I595="","",_xlfn.XLOOKUP(I595,Lists!$C:$C,Lists!$I:$I))</f>
        <v/>
      </c>
    </row>
    <row r="596" spans="3:19" x14ac:dyDescent="0.2">
      <c r="C596" s="26">
        <f>_xlfn.XLOOKUP(B596,Lists!B:B,Lists!A:A,"")</f>
        <v>0</v>
      </c>
      <c r="G596" s="26" t="str">
        <f t="shared" si="36"/>
        <v/>
      </c>
      <c r="H596" s="31" t="str">
        <f t="shared" si="37"/>
        <v/>
      </c>
      <c r="J596" s="27" t="str">
        <f>IF(I596="","",_xlfn.XLOOKUP(I596,Lists!$C:$C,Lists!$D:$D))</f>
        <v/>
      </c>
      <c r="N596" s="26" t="str">
        <f t="shared" si="38"/>
        <v/>
      </c>
      <c r="O596" s="27" t="str">
        <f>IF(I596="","",_xlfn.XLOOKUP(I596,Lists!$C:$C,Lists!$J:$J))</f>
        <v/>
      </c>
      <c r="P596" s="27" t="str">
        <f>IF(I596="","",_xlfn.XLOOKUP(I596,Lists!$C:$C,Lists!$E:$E))</f>
        <v/>
      </c>
      <c r="Q596" s="28" t="str">
        <f t="shared" si="39"/>
        <v/>
      </c>
      <c r="R596" s="26" t="str">
        <f t="shared" ca="1" si="40"/>
        <v/>
      </c>
      <c r="S596" s="27" t="str">
        <f>IF(I596="","",_xlfn.XLOOKUP(I596,Lists!$C:$C,Lists!$I:$I))</f>
        <v/>
      </c>
    </row>
    <row r="597" spans="3:19" x14ac:dyDescent="0.2">
      <c r="C597" s="26">
        <f>_xlfn.XLOOKUP(B597,Lists!B:B,Lists!A:A,"")</f>
        <v>0</v>
      </c>
      <c r="G597" s="26" t="str">
        <f t="shared" si="36"/>
        <v/>
      </c>
      <c r="H597" s="31" t="str">
        <f t="shared" si="37"/>
        <v/>
      </c>
      <c r="J597" s="27" t="str">
        <f>IF(I597="","",_xlfn.XLOOKUP(I597,Lists!$C:$C,Lists!$D:$D))</f>
        <v/>
      </c>
      <c r="N597" s="26" t="str">
        <f t="shared" si="38"/>
        <v/>
      </c>
      <c r="O597" s="27" t="str">
        <f>IF(I597="","",_xlfn.XLOOKUP(I597,Lists!$C:$C,Lists!$J:$J))</f>
        <v/>
      </c>
      <c r="P597" s="27" t="str">
        <f>IF(I597="","",_xlfn.XLOOKUP(I597,Lists!$C:$C,Lists!$E:$E))</f>
        <v/>
      </c>
      <c r="Q597" s="28" t="str">
        <f t="shared" si="39"/>
        <v/>
      </c>
      <c r="R597" s="26" t="str">
        <f t="shared" ca="1" si="40"/>
        <v/>
      </c>
      <c r="S597" s="27" t="str">
        <f>IF(I597="","",_xlfn.XLOOKUP(I597,Lists!$C:$C,Lists!$I:$I))</f>
        <v/>
      </c>
    </row>
    <row r="598" spans="3:19" x14ac:dyDescent="0.2">
      <c r="C598" s="26">
        <f>_xlfn.XLOOKUP(B598,Lists!B:B,Lists!A:A,"")</f>
        <v>0</v>
      </c>
      <c r="G598" s="26" t="str">
        <f t="shared" si="36"/>
        <v/>
      </c>
      <c r="H598" s="31" t="str">
        <f t="shared" si="37"/>
        <v/>
      </c>
      <c r="J598" s="27" t="str">
        <f>IF(I598="","",_xlfn.XLOOKUP(I598,Lists!$C:$C,Lists!$D:$D))</f>
        <v/>
      </c>
      <c r="N598" s="26" t="str">
        <f t="shared" si="38"/>
        <v/>
      </c>
      <c r="O598" s="27" t="str">
        <f>IF(I598="","",_xlfn.XLOOKUP(I598,Lists!$C:$C,Lists!$J:$J))</f>
        <v/>
      </c>
      <c r="P598" s="27" t="str">
        <f>IF(I598="","",_xlfn.XLOOKUP(I598,Lists!$C:$C,Lists!$E:$E))</f>
        <v/>
      </c>
      <c r="Q598" s="28" t="str">
        <f t="shared" si="39"/>
        <v/>
      </c>
      <c r="R598" s="26" t="str">
        <f t="shared" ca="1" si="40"/>
        <v/>
      </c>
      <c r="S598" s="27" t="str">
        <f>IF(I598="","",_xlfn.XLOOKUP(I598,Lists!$C:$C,Lists!$I:$I))</f>
        <v/>
      </c>
    </row>
    <row r="599" spans="3:19" x14ac:dyDescent="0.2">
      <c r="C599" s="26">
        <f>_xlfn.XLOOKUP(B599,Lists!B:B,Lists!A:A,"")</f>
        <v>0</v>
      </c>
      <c r="G599" s="26" t="str">
        <f t="shared" si="36"/>
        <v/>
      </c>
      <c r="H599" s="31" t="str">
        <f t="shared" si="37"/>
        <v/>
      </c>
      <c r="J599" s="27" t="str">
        <f>IF(I599="","",_xlfn.XLOOKUP(I599,Lists!$C:$C,Lists!$D:$D))</f>
        <v/>
      </c>
      <c r="N599" s="26" t="str">
        <f t="shared" si="38"/>
        <v/>
      </c>
      <c r="O599" s="27" t="str">
        <f>IF(I599="","",_xlfn.XLOOKUP(I599,Lists!$C:$C,Lists!$J:$J))</f>
        <v/>
      </c>
      <c r="P599" s="27" t="str">
        <f>IF(I599="","",_xlfn.XLOOKUP(I599,Lists!$C:$C,Lists!$E:$E))</f>
        <v/>
      </c>
      <c r="Q599" s="28" t="str">
        <f t="shared" si="39"/>
        <v/>
      </c>
      <c r="R599" s="26" t="str">
        <f t="shared" ca="1" si="40"/>
        <v/>
      </c>
      <c r="S599" s="27" t="str">
        <f>IF(I599="","",_xlfn.XLOOKUP(I599,Lists!$C:$C,Lists!$I:$I))</f>
        <v/>
      </c>
    </row>
    <row r="600" spans="3:19" x14ac:dyDescent="0.2">
      <c r="C600" s="26">
        <f>_xlfn.XLOOKUP(B600,Lists!B:B,Lists!A:A,"")</f>
        <v>0</v>
      </c>
      <c r="G600" s="26" t="str">
        <f t="shared" si="36"/>
        <v/>
      </c>
      <c r="H600" s="31" t="str">
        <f t="shared" si="37"/>
        <v/>
      </c>
      <c r="J600" s="27" t="str">
        <f>IF(I600="","",_xlfn.XLOOKUP(I600,Lists!$C:$C,Lists!$D:$D))</f>
        <v/>
      </c>
      <c r="N600" s="26" t="str">
        <f t="shared" si="38"/>
        <v/>
      </c>
      <c r="O600" s="27" t="str">
        <f>IF(I600="","",_xlfn.XLOOKUP(I600,Lists!$C:$C,Lists!$J:$J))</f>
        <v/>
      </c>
      <c r="P600" s="27" t="str">
        <f>IF(I600="","",_xlfn.XLOOKUP(I600,Lists!$C:$C,Lists!$E:$E))</f>
        <v/>
      </c>
      <c r="Q600" s="28" t="str">
        <f t="shared" si="39"/>
        <v/>
      </c>
      <c r="R600" s="26" t="str">
        <f t="shared" ca="1" si="40"/>
        <v/>
      </c>
      <c r="S600" s="27" t="str">
        <f>IF(I600="","",_xlfn.XLOOKUP(I600,Lists!$C:$C,Lists!$I:$I))</f>
        <v/>
      </c>
    </row>
    <row r="601" spans="3:19" x14ac:dyDescent="0.2">
      <c r="C601" s="26">
        <f>_xlfn.XLOOKUP(B601,Lists!B:B,Lists!A:A,"")</f>
        <v>0</v>
      </c>
      <c r="G601" s="26" t="str">
        <f t="shared" si="36"/>
        <v/>
      </c>
      <c r="H601" s="31" t="str">
        <f t="shared" si="37"/>
        <v/>
      </c>
      <c r="J601" s="27" t="str">
        <f>IF(I601="","",_xlfn.XLOOKUP(I601,Lists!$C:$C,Lists!$D:$D))</f>
        <v/>
      </c>
      <c r="N601" s="26" t="str">
        <f t="shared" si="38"/>
        <v/>
      </c>
      <c r="O601" s="27" t="str">
        <f>IF(I601="","",_xlfn.XLOOKUP(I601,Lists!$C:$C,Lists!$J:$J))</f>
        <v/>
      </c>
      <c r="P601" s="27" t="str">
        <f>IF(I601="","",_xlfn.XLOOKUP(I601,Lists!$C:$C,Lists!$E:$E))</f>
        <v/>
      </c>
      <c r="Q601" s="28" t="str">
        <f t="shared" si="39"/>
        <v/>
      </c>
      <c r="R601" s="26" t="str">
        <f t="shared" ca="1" si="40"/>
        <v/>
      </c>
      <c r="S601" s="27" t="str">
        <f>IF(I601="","",_xlfn.XLOOKUP(I601,Lists!$C:$C,Lists!$I:$I))</f>
        <v/>
      </c>
    </row>
    <row r="602" spans="3:19" x14ac:dyDescent="0.2">
      <c r="C602" s="26">
        <f>_xlfn.XLOOKUP(B602,Lists!B:B,Lists!A:A,"")</f>
        <v>0</v>
      </c>
      <c r="G602" s="26" t="str">
        <f t="shared" si="36"/>
        <v/>
      </c>
      <c r="H602" s="31" t="str">
        <f t="shared" si="37"/>
        <v/>
      </c>
      <c r="J602" s="27" t="str">
        <f>IF(I602="","",_xlfn.XLOOKUP(I602,Lists!$C:$C,Lists!$D:$D))</f>
        <v/>
      </c>
      <c r="N602" s="26" t="str">
        <f t="shared" si="38"/>
        <v/>
      </c>
      <c r="O602" s="27" t="str">
        <f>IF(I602="","",_xlfn.XLOOKUP(I602,Lists!$C:$C,Lists!$J:$J))</f>
        <v/>
      </c>
      <c r="P602" s="27" t="str">
        <f>IF(I602="","",_xlfn.XLOOKUP(I602,Lists!$C:$C,Lists!$E:$E))</f>
        <v/>
      </c>
      <c r="Q602" s="28" t="str">
        <f t="shared" si="39"/>
        <v/>
      </c>
      <c r="R602" s="26" t="str">
        <f t="shared" ca="1" si="40"/>
        <v/>
      </c>
      <c r="S602" s="27" t="str">
        <f>IF(I602="","",_xlfn.XLOOKUP(I602,Lists!$C:$C,Lists!$I:$I))</f>
        <v/>
      </c>
    </row>
    <row r="603" spans="3:19" x14ac:dyDescent="0.2">
      <c r="C603" s="26">
        <f>_xlfn.XLOOKUP(B603,Lists!B:B,Lists!A:A,"")</f>
        <v>0</v>
      </c>
      <c r="G603" s="26" t="str">
        <f t="shared" ref="G603:G666" si="41">IF(OR(E603="",F603=""),"",F603-E603+1)</f>
        <v/>
      </c>
      <c r="H603" s="31" t="str">
        <f t="shared" ref="H603:H666" si="42">IF(D603="","",IF(OR(D603="A",D603="B"),G603/80,IF(D603="A&amp;B",G603/160,"")))</f>
        <v/>
      </c>
      <c r="J603" s="27" t="str">
        <f>IF(I603="","",_xlfn.XLOOKUP(I603,Lists!$C:$C,Lists!$D:$D))</f>
        <v/>
      </c>
      <c r="N603" s="26" t="str">
        <f t="shared" ref="N603:N666" si="43">IF(OR(M603="",L603=""),"",(M603*L603)/100000)</f>
        <v/>
      </c>
      <c r="O603" s="27" t="str">
        <f>IF(I603="","",_xlfn.XLOOKUP(I603,Lists!$C:$C,Lists!$J:$J))</f>
        <v/>
      </c>
      <c r="P603" s="27" t="str">
        <f>IF(I603="","",_xlfn.XLOOKUP(I603,Lists!$C:$C,Lists!$E:$E))</f>
        <v/>
      </c>
      <c r="Q603" s="28" t="str">
        <f t="shared" ref="Q603:Q666" si="44">IF(OR(A603="",P603=""),"",A603+P603+1)</f>
        <v/>
      </c>
      <c r="R603" s="26" t="str">
        <f t="shared" ref="R603:R666" ca="1" si="45">IF(Q603="","",IF(Q603&lt;=TODAY(),"Allow","Not Allow"))</f>
        <v/>
      </c>
      <c r="S603" s="27" t="str">
        <f>IF(I603="","",_xlfn.XLOOKUP(I603,Lists!$C:$C,Lists!$I:$I))</f>
        <v/>
      </c>
    </row>
    <row r="604" spans="3:19" x14ac:dyDescent="0.2">
      <c r="C604" s="26">
        <f>_xlfn.XLOOKUP(B604,Lists!B:B,Lists!A:A,"")</f>
        <v>0</v>
      </c>
      <c r="G604" s="26" t="str">
        <f t="shared" si="41"/>
        <v/>
      </c>
      <c r="H604" s="31" t="str">
        <f t="shared" si="42"/>
        <v/>
      </c>
      <c r="J604" s="27" t="str">
        <f>IF(I604="","",_xlfn.XLOOKUP(I604,Lists!$C:$C,Lists!$D:$D))</f>
        <v/>
      </c>
      <c r="N604" s="26" t="str">
        <f t="shared" si="43"/>
        <v/>
      </c>
      <c r="O604" s="27" t="str">
        <f>IF(I604="","",_xlfn.XLOOKUP(I604,Lists!$C:$C,Lists!$J:$J))</f>
        <v/>
      </c>
      <c r="P604" s="27" t="str">
        <f>IF(I604="","",_xlfn.XLOOKUP(I604,Lists!$C:$C,Lists!$E:$E))</f>
        <v/>
      </c>
      <c r="Q604" s="28" t="str">
        <f t="shared" si="44"/>
        <v/>
      </c>
      <c r="R604" s="26" t="str">
        <f t="shared" ca="1" si="45"/>
        <v/>
      </c>
      <c r="S604" s="27" t="str">
        <f>IF(I604="","",_xlfn.XLOOKUP(I604,Lists!$C:$C,Lists!$I:$I))</f>
        <v/>
      </c>
    </row>
    <row r="605" spans="3:19" x14ac:dyDescent="0.2">
      <c r="C605" s="26">
        <f>_xlfn.XLOOKUP(B605,Lists!B:B,Lists!A:A,"")</f>
        <v>0</v>
      </c>
      <c r="G605" s="26" t="str">
        <f t="shared" si="41"/>
        <v/>
      </c>
      <c r="H605" s="31" t="str">
        <f t="shared" si="42"/>
        <v/>
      </c>
      <c r="J605" s="27" t="str">
        <f>IF(I605="","",_xlfn.XLOOKUP(I605,Lists!$C:$C,Lists!$D:$D))</f>
        <v/>
      </c>
      <c r="N605" s="26" t="str">
        <f t="shared" si="43"/>
        <v/>
      </c>
      <c r="O605" s="27" t="str">
        <f>IF(I605="","",_xlfn.XLOOKUP(I605,Lists!$C:$C,Lists!$J:$J))</f>
        <v/>
      </c>
      <c r="P605" s="27" t="str">
        <f>IF(I605="","",_xlfn.XLOOKUP(I605,Lists!$C:$C,Lists!$E:$E))</f>
        <v/>
      </c>
      <c r="Q605" s="28" t="str">
        <f t="shared" si="44"/>
        <v/>
      </c>
      <c r="R605" s="26" t="str">
        <f t="shared" ca="1" si="45"/>
        <v/>
      </c>
      <c r="S605" s="27" t="str">
        <f>IF(I605="","",_xlfn.XLOOKUP(I605,Lists!$C:$C,Lists!$I:$I))</f>
        <v/>
      </c>
    </row>
    <row r="606" spans="3:19" x14ac:dyDescent="0.2">
      <c r="C606" s="26">
        <f>_xlfn.XLOOKUP(B606,Lists!B:B,Lists!A:A,"")</f>
        <v>0</v>
      </c>
      <c r="G606" s="26" t="str">
        <f t="shared" si="41"/>
        <v/>
      </c>
      <c r="H606" s="31" t="str">
        <f t="shared" si="42"/>
        <v/>
      </c>
      <c r="J606" s="27" t="str">
        <f>IF(I606="","",_xlfn.XLOOKUP(I606,Lists!$C:$C,Lists!$D:$D))</f>
        <v/>
      </c>
      <c r="N606" s="26" t="str">
        <f t="shared" si="43"/>
        <v/>
      </c>
      <c r="O606" s="27" t="str">
        <f>IF(I606="","",_xlfn.XLOOKUP(I606,Lists!$C:$C,Lists!$J:$J))</f>
        <v/>
      </c>
      <c r="P606" s="27" t="str">
        <f>IF(I606="","",_xlfn.XLOOKUP(I606,Lists!$C:$C,Lists!$E:$E))</f>
        <v/>
      </c>
      <c r="Q606" s="28" t="str">
        <f t="shared" si="44"/>
        <v/>
      </c>
      <c r="R606" s="26" t="str">
        <f t="shared" ca="1" si="45"/>
        <v/>
      </c>
      <c r="S606" s="27" t="str">
        <f>IF(I606="","",_xlfn.XLOOKUP(I606,Lists!$C:$C,Lists!$I:$I))</f>
        <v/>
      </c>
    </row>
    <row r="607" spans="3:19" x14ac:dyDescent="0.2">
      <c r="C607" s="26">
        <f>_xlfn.XLOOKUP(B607,Lists!B:B,Lists!A:A,"")</f>
        <v>0</v>
      </c>
      <c r="G607" s="26" t="str">
        <f t="shared" si="41"/>
        <v/>
      </c>
      <c r="H607" s="31" t="str">
        <f t="shared" si="42"/>
        <v/>
      </c>
      <c r="J607" s="27" t="str">
        <f>IF(I607="","",_xlfn.XLOOKUP(I607,Lists!$C:$C,Lists!$D:$D))</f>
        <v/>
      </c>
      <c r="N607" s="26" t="str">
        <f t="shared" si="43"/>
        <v/>
      </c>
      <c r="O607" s="27" t="str">
        <f>IF(I607="","",_xlfn.XLOOKUP(I607,Lists!$C:$C,Lists!$J:$J))</f>
        <v/>
      </c>
      <c r="P607" s="27" t="str">
        <f>IF(I607="","",_xlfn.XLOOKUP(I607,Lists!$C:$C,Lists!$E:$E))</f>
        <v/>
      </c>
      <c r="Q607" s="28" t="str">
        <f t="shared" si="44"/>
        <v/>
      </c>
      <c r="R607" s="26" t="str">
        <f t="shared" ca="1" si="45"/>
        <v/>
      </c>
      <c r="S607" s="27" t="str">
        <f>IF(I607="","",_xlfn.XLOOKUP(I607,Lists!$C:$C,Lists!$I:$I))</f>
        <v/>
      </c>
    </row>
    <row r="608" spans="3:19" x14ac:dyDescent="0.2">
      <c r="C608" s="26">
        <f>_xlfn.XLOOKUP(B608,Lists!B:B,Lists!A:A,"")</f>
        <v>0</v>
      </c>
      <c r="G608" s="26" t="str">
        <f t="shared" si="41"/>
        <v/>
      </c>
      <c r="H608" s="31" t="str">
        <f t="shared" si="42"/>
        <v/>
      </c>
      <c r="J608" s="27" t="str">
        <f>IF(I608="","",_xlfn.XLOOKUP(I608,Lists!$C:$C,Lists!$D:$D))</f>
        <v/>
      </c>
      <c r="N608" s="26" t="str">
        <f t="shared" si="43"/>
        <v/>
      </c>
      <c r="O608" s="27" t="str">
        <f>IF(I608="","",_xlfn.XLOOKUP(I608,Lists!$C:$C,Lists!$J:$J))</f>
        <v/>
      </c>
      <c r="P608" s="27" t="str">
        <f>IF(I608="","",_xlfn.XLOOKUP(I608,Lists!$C:$C,Lists!$E:$E))</f>
        <v/>
      </c>
      <c r="Q608" s="28" t="str">
        <f t="shared" si="44"/>
        <v/>
      </c>
      <c r="R608" s="26" t="str">
        <f t="shared" ca="1" si="45"/>
        <v/>
      </c>
      <c r="S608" s="27" t="str">
        <f>IF(I608="","",_xlfn.XLOOKUP(I608,Lists!$C:$C,Lists!$I:$I))</f>
        <v/>
      </c>
    </row>
    <row r="609" spans="3:19" x14ac:dyDescent="0.2">
      <c r="C609" s="26">
        <f>_xlfn.XLOOKUP(B609,Lists!B:B,Lists!A:A,"")</f>
        <v>0</v>
      </c>
      <c r="G609" s="26" t="str">
        <f t="shared" si="41"/>
        <v/>
      </c>
      <c r="H609" s="31" t="str">
        <f t="shared" si="42"/>
        <v/>
      </c>
      <c r="J609" s="27" t="str">
        <f>IF(I609="","",_xlfn.XLOOKUP(I609,Lists!$C:$C,Lists!$D:$D))</f>
        <v/>
      </c>
      <c r="N609" s="26" t="str">
        <f t="shared" si="43"/>
        <v/>
      </c>
      <c r="O609" s="27" t="str">
        <f>IF(I609="","",_xlfn.XLOOKUP(I609,Lists!$C:$C,Lists!$J:$J))</f>
        <v/>
      </c>
      <c r="P609" s="27" t="str">
        <f>IF(I609="","",_xlfn.XLOOKUP(I609,Lists!$C:$C,Lists!$E:$E))</f>
        <v/>
      </c>
      <c r="Q609" s="28" t="str">
        <f t="shared" si="44"/>
        <v/>
      </c>
      <c r="R609" s="26" t="str">
        <f t="shared" ca="1" si="45"/>
        <v/>
      </c>
      <c r="S609" s="27" t="str">
        <f>IF(I609="","",_xlfn.XLOOKUP(I609,Lists!$C:$C,Lists!$I:$I))</f>
        <v/>
      </c>
    </row>
    <row r="610" spans="3:19" x14ac:dyDescent="0.2">
      <c r="C610" s="26">
        <f>_xlfn.XLOOKUP(B610,Lists!B:B,Lists!A:A,"")</f>
        <v>0</v>
      </c>
      <c r="G610" s="26" t="str">
        <f t="shared" si="41"/>
        <v/>
      </c>
      <c r="H610" s="31" t="str">
        <f t="shared" si="42"/>
        <v/>
      </c>
      <c r="J610" s="27" t="str">
        <f>IF(I610="","",_xlfn.XLOOKUP(I610,Lists!$C:$C,Lists!$D:$D))</f>
        <v/>
      </c>
      <c r="N610" s="26" t="str">
        <f t="shared" si="43"/>
        <v/>
      </c>
      <c r="O610" s="27" t="str">
        <f>IF(I610="","",_xlfn.XLOOKUP(I610,Lists!$C:$C,Lists!$J:$J))</f>
        <v/>
      </c>
      <c r="P610" s="27" t="str">
        <f>IF(I610="","",_xlfn.XLOOKUP(I610,Lists!$C:$C,Lists!$E:$E))</f>
        <v/>
      </c>
      <c r="Q610" s="28" t="str">
        <f t="shared" si="44"/>
        <v/>
      </c>
      <c r="R610" s="26" t="str">
        <f t="shared" ca="1" si="45"/>
        <v/>
      </c>
      <c r="S610" s="27" t="str">
        <f>IF(I610="","",_xlfn.XLOOKUP(I610,Lists!$C:$C,Lists!$I:$I))</f>
        <v/>
      </c>
    </row>
    <row r="611" spans="3:19" x14ac:dyDescent="0.2">
      <c r="C611" s="26">
        <f>_xlfn.XLOOKUP(B611,Lists!B:B,Lists!A:A,"")</f>
        <v>0</v>
      </c>
      <c r="G611" s="26" t="str">
        <f t="shared" si="41"/>
        <v/>
      </c>
      <c r="H611" s="31" t="str">
        <f t="shared" si="42"/>
        <v/>
      </c>
      <c r="J611" s="27" t="str">
        <f>IF(I611="","",_xlfn.XLOOKUP(I611,Lists!$C:$C,Lists!$D:$D))</f>
        <v/>
      </c>
      <c r="N611" s="26" t="str">
        <f t="shared" si="43"/>
        <v/>
      </c>
      <c r="O611" s="27" t="str">
        <f>IF(I611="","",_xlfn.XLOOKUP(I611,Lists!$C:$C,Lists!$J:$J))</f>
        <v/>
      </c>
      <c r="P611" s="27" t="str">
        <f>IF(I611="","",_xlfn.XLOOKUP(I611,Lists!$C:$C,Lists!$E:$E))</f>
        <v/>
      </c>
      <c r="Q611" s="28" t="str">
        <f t="shared" si="44"/>
        <v/>
      </c>
      <c r="R611" s="26" t="str">
        <f t="shared" ca="1" si="45"/>
        <v/>
      </c>
      <c r="S611" s="27" t="str">
        <f>IF(I611="","",_xlfn.XLOOKUP(I611,Lists!$C:$C,Lists!$I:$I))</f>
        <v/>
      </c>
    </row>
    <row r="612" spans="3:19" x14ac:dyDescent="0.2">
      <c r="C612" s="26">
        <f>_xlfn.XLOOKUP(B612,Lists!B:B,Lists!A:A,"")</f>
        <v>0</v>
      </c>
      <c r="G612" s="26" t="str">
        <f t="shared" si="41"/>
        <v/>
      </c>
      <c r="H612" s="31" t="str">
        <f t="shared" si="42"/>
        <v/>
      </c>
      <c r="J612" s="27" t="str">
        <f>IF(I612="","",_xlfn.XLOOKUP(I612,Lists!$C:$C,Lists!$D:$D))</f>
        <v/>
      </c>
      <c r="N612" s="26" t="str">
        <f t="shared" si="43"/>
        <v/>
      </c>
      <c r="O612" s="27" t="str">
        <f>IF(I612="","",_xlfn.XLOOKUP(I612,Lists!$C:$C,Lists!$J:$J))</f>
        <v/>
      </c>
      <c r="P612" s="27" t="str">
        <f>IF(I612="","",_xlfn.XLOOKUP(I612,Lists!$C:$C,Lists!$E:$E))</f>
        <v/>
      </c>
      <c r="Q612" s="28" t="str">
        <f t="shared" si="44"/>
        <v/>
      </c>
      <c r="R612" s="26" t="str">
        <f t="shared" ca="1" si="45"/>
        <v/>
      </c>
      <c r="S612" s="27" t="str">
        <f>IF(I612="","",_xlfn.XLOOKUP(I612,Lists!$C:$C,Lists!$I:$I))</f>
        <v/>
      </c>
    </row>
    <row r="613" spans="3:19" x14ac:dyDescent="0.2">
      <c r="C613" s="26">
        <f>_xlfn.XLOOKUP(B613,Lists!B:B,Lists!A:A,"")</f>
        <v>0</v>
      </c>
      <c r="G613" s="26" t="str">
        <f t="shared" si="41"/>
        <v/>
      </c>
      <c r="H613" s="31" t="str">
        <f t="shared" si="42"/>
        <v/>
      </c>
      <c r="J613" s="27" t="str">
        <f>IF(I613="","",_xlfn.XLOOKUP(I613,Lists!$C:$C,Lists!$D:$D))</f>
        <v/>
      </c>
      <c r="N613" s="26" t="str">
        <f t="shared" si="43"/>
        <v/>
      </c>
      <c r="O613" s="27" t="str">
        <f>IF(I613="","",_xlfn.XLOOKUP(I613,Lists!$C:$C,Lists!$J:$J))</f>
        <v/>
      </c>
      <c r="P613" s="27" t="str">
        <f>IF(I613="","",_xlfn.XLOOKUP(I613,Lists!$C:$C,Lists!$E:$E))</f>
        <v/>
      </c>
      <c r="Q613" s="28" t="str">
        <f t="shared" si="44"/>
        <v/>
      </c>
      <c r="R613" s="26" t="str">
        <f t="shared" ca="1" si="45"/>
        <v/>
      </c>
      <c r="S613" s="27" t="str">
        <f>IF(I613="","",_xlfn.XLOOKUP(I613,Lists!$C:$C,Lists!$I:$I))</f>
        <v/>
      </c>
    </row>
    <row r="614" spans="3:19" x14ac:dyDescent="0.2">
      <c r="C614" s="26">
        <f>_xlfn.XLOOKUP(B614,Lists!B:B,Lists!A:A,"")</f>
        <v>0</v>
      </c>
      <c r="G614" s="26" t="str">
        <f t="shared" si="41"/>
        <v/>
      </c>
      <c r="H614" s="31" t="str">
        <f t="shared" si="42"/>
        <v/>
      </c>
      <c r="J614" s="27" t="str">
        <f>IF(I614="","",_xlfn.XLOOKUP(I614,Lists!$C:$C,Lists!$D:$D))</f>
        <v/>
      </c>
      <c r="N614" s="26" t="str">
        <f t="shared" si="43"/>
        <v/>
      </c>
      <c r="O614" s="27" t="str">
        <f>IF(I614="","",_xlfn.XLOOKUP(I614,Lists!$C:$C,Lists!$J:$J))</f>
        <v/>
      </c>
      <c r="P614" s="27" t="str">
        <f>IF(I614="","",_xlfn.XLOOKUP(I614,Lists!$C:$C,Lists!$E:$E))</f>
        <v/>
      </c>
      <c r="Q614" s="28" t="str">
        <f t="shared" si="44"/>
        <v/>
      </c>
      <c r="R614" s="26" t="str">
        <f t="shared" ca="1" si="45"/>
        <v/>
      </c>
      <c r="S614" s="27" t="str">
        <f>IF(I614="","",_xlfn.XLOOKUP(I614,Lists!$C:$C,Lists!$I:$I))</f>
        <v/>
      </c>
    </row>
    <row r="615" spans="3:19" x14ac:dyDescent="0.2">
      <c r="C615" s="26">
        <f>_xlfn.XLOOKUP(B615,Lists!B:B,Lists!A:A,"")</f>
        <v>0</v>
      </c>
      <c r="G615" s="26" t="str">
        <f t="shared" si="41"/>
        <v/>
      </c>
      <c r="H615" s="31" t="str">
        <f t="shared" si="42"/>
        <v/>
      </c>
      <c r="J615" s="27" t="str">
        <f>IF(I615="","",_xlfn.XLOOKUP(I615,Lists!$C:$C,Lists!$D:$D))</f>
        <v/>
      </c>
      <c r="N615" s="26" t="str">
        <f t="shared" si="43"/>
        <v/>
      </c>
      <c r="O615" s="27" t="str">
        <f>IF(I615="","",_xlfn.XLOOKUP(I615,Lists!$C:$C,Lists!$J:$J))</f>
        <v/>
      </c>
      <c r="P615" s="27" t="str">
        <f>IF(I615="","",_xlfn.XLOOKUP(I615,Lists!$C:$C,Lists!$E:$E))</f>
        <v/>
      </c>
      <c r="Q615" s="28" t="str">
        <f t="shared" si="44"/>
        <v/>
      </c>
      <c r="R615" s="26" t="str">
        <f t="shared" ca="1" si="45"/>
        <v/>
      </c>
      <c r="S615" s="27" t="str">
        <f>IF(I615="","",_xlfn.XLOOKUP(I615,Lists!$C:$C,Lists!$I:$I))</f>
        <v/>
      </c>
    </row>
    <row r="616" spans="3:19" x14ac:dyDescent="0.2">
      <c r="C616" s="26">
        <f>_xlfn.XLOOKUP(B616,Lists!B:B,Lists!A:A,"")</f>
        <v>0</v>
      </c>
      <c r="G616" s="26" t="str">
        <f t="shared" si="41"/>
        <v/>
      </c>
      <c r="H616" s="31" t="str">
        <f t="shared" si="42"/>
        <v/>
      </c>
      <c r="J616" s="27" t="str">
        <f>IF(I616="","",_xlfn.XLOOKUP(I616,Lists!$C:$C,Lists!$D:$D))</f>
        <v/>
      </c>
      <c r="N616" s="26" t="str">
        <f t="shared" si="43"/>
        <v/>
      </c>
      <c r="O616" s="27" t="str">
        <f>IF(I616="","",_xlfn.XLOOKUP(I616,Lists!$C:$C,Lists!$J:$J))</f>
        <v/>
      </c>
      <c r="P616" s="27" t="str">
        <f>IF(I616="","",_xlfn.XLOOKUP(I616,Lists!$C:$C,Lists!$E:$E))</f>
        <v/>
      </c>
      <c r="Q616" s="28" t="str">
        <f t="shared" si="44"/>
        <v/>
      </c>
      <c r="R616" s="26" t="str">
        <f t="shared" ca="1" si="45"/>
        <v/>
      </c>
      <c r="S616" s="27" t="str">
        <f>IF(I616="","",_xlfn.XLOOKUP(I616,Lists!$C:$C,Lists!$I:$I))</f>
        <v/>
      </c>
    </row>
    <row r="617" spans="3:19" x14ac:dyDescent="0.2">
      <c r="C617" s="26">
        <f>_xlfn.XLOOKUP(B617,Lists!B:B,Lists!A:A,"")</f>
        <v>0</v>
      </c>
      <c r="G617" s="26" t="str">
        <f t="shared" si="41"/>
        <v/>
      </c>
      <c r="H617" s="31" t="str">
        <f t="shared" si="42"/>
        <v/>
      </c>
      <c r="J617" s="27" t="str">
        <f>IF(I617="","",_xlfn.XLOOKUP(I617,Lists!$C:$C,Lists!$D:$D))</f>
        <v/>
      </c>
      <c r="N617" s="26" t="str">
        <f t="shared" si="43"/>
        <v/>
      </c>
      <c r="O617" s="27" t="str">
        <f>IF(I617="","",_xlfn.XLOOKUP(I617,Lists!$C:$C,Lists!$J:$J))</f>
        <v/>
      </c>
      <c r="P617" s="27" t="str">
        <f>IF(I617="","",_xlfn.XLOOKUP(I617,Lists!$C:$C,Lists!$E:$E))</f>
        <v/>
      </c>
      <c r="Q617" s="28" t="str">
        <f t="shared" si="44"/>
        <v/>
      </c>
      <c r="R617" s="26" t="str">
        <f t="shared" ca="1" si="45"/>
        <v/>
      </c>
      <c r="S617" s="27" t="str">
        <f>IF(I617="","",_xlfn.XLOOKUP(I617,Lists!$C:$C,Lists!$I:$I))</f>
        <v/>
      </c>
    </row>
    <row r="618" spans="3:19" x14ac:dyDescent="0.2">
      <c r="C618" s="26">
        <f>_xlfn.XLOOKUP(B618,Lists!B:B,Lists!A:A,"")</f>
        <v>0</v>
      </c>
      <c r="G618" s="26" t="str">
        <f t="shared" si="41"/>
        <v/>
      </c>
      <c r="H618" s="31" t="str">
        <f t="shared" si="42"/>
        <v/>
      </c>
      <c r="J618" s="27" t="str">
        <f>IF(I618="","",_xlfn.XLOOKUP(I618,Lists!$C:$C,Lists!$D:$D))</f>
        <v/>
      </c>
      <c r="N618" s="26" t="str">
        <f t="shared" si="43"/>
        <v/>
      </c>
      <c r="O618" s="27" t="str">
        <f>IF(I618="","",_xlfn.XLOOKUP(I618,Lists!$C:$C,Lists!$J:$J))</f>
        <v/>
      </c>
      <c r="P618" s="27" t="str">
        <f>IF(I618="","",_xlfn.XLOOKUP(I618,Lists!$C:$C,Lists!$E:$E))</f>
        <v/>
      </c>
      <c r="Q618" s="28" t="str">
        <f t="shared" si="44"/>
        <v/>
      </c>
      <c r="R618" s="26" t="str">
        <f t="shared" ca="1" si="45"/>
        <v/>
      </c>
      <c r="S618" s="27" t="str">
        <f>IF(I618="","",_xlfn.XLOOKUP(I618,Lists!$C:$C,Lists!$I:$I))</f>
        <v/>
      </c>
    </row>
    <row r="619" spans="3:19" x14ac:dyDescent="0.2">
      <c r="C619" s="26">
        <f>_xlfn.XLOOKUP(B619,Lists!B:B,Lists!A:A,"")</f>
        <v>0</v>
      </c>
      <c r="G619" s="26" t="str">
        <f t="shared" si="41"/>
        <v/>
      </c>
      <c r="H619" s="31" t="str">
        <f t="shared" si="42"/>
        <v/>
      </c>
      <c r="J619" s="27" t="str">
        <f>IF(I619="","",_xlfn.XLOOKUP(I619,Lists!$C:$C,Lists!$D:$D))</f>
        <v/>
      </c>
      <c r="N619" s="26" t="str">
        <f t="shared" si="43"/>
        <v/>
      </c>
      <c r="O619" s="27" t="str">
        <f>IF(I619="","",_xlfn.XLOOKUP(I619,Lists!$C:$C,Lists!$J:$J))</f>
        <v/>
      </c>
      <c r="P619" s="27" t="str">
        <f>IF(I619="","",_xlfn.XLOOKUP(I619,Lists!$C:$C,Lists!$E:$E))</f>
        <v/>
      </c>
      <c r="Q619" s="28" t="str">
        <f t="shared" si="44"/>
        <v/>
      </c>
      <c r="R619" s="26" t="str">
        <f t="shared" ca="1" si="45"/>
        <v/>
      </c>
      <c r="S619" s="27" t="str">
        <f>IF(I619="","",_xlfn.XLOOKUP(I619,Lists!$C:$C,Lists!$I:$I))</f>
        <v/>
      </c>
    </row>
    <row r="620" spans="3:19" x14ac:dyDescent="0.2">
      <c r="C620" s="26">
        <f>_xlfn.XLOOKUP(B620,Lists!B:B,Lists!A:A,"")</f>
        <v>0</v>
      </c>
      <c r="G620" s="26" t="str">
        <f t="shared" si="41"/>
        <v/>
      </c>
      <c r="H620" s="31" t="str">
        <f t="shared" si="42"/>
        <v/>
      </c>
      <c r="J620" s="27" t="str">
        <f>IF(I620="","",_xlfn.XLOOKUP(I620,Lists!$C:$C,Lists!$D:$D))</f>
        <v/>
      </c>
      <c r="N620" s="26" t="str">
        <f t="shared" si="43"/>
        <v/>
      </c>
      <c r="O620" s="27" t="str">
        <f>IF(I620="","",_xlfn.XLOOKUP(I620,Lists!$C:$C,Lists!$J:$J))</f>
        <v/>
      </c>
      <c r="P620" s="27" t="str">
        <f>IF(I620="","",_xlfn.XLOOKUP(I620,Lists!$C:$C,Lists!$E:$E))</f>
        <v/>
      </c>
      <c r="Q620" s="28" t="str">
        <f t="shared" si="44"/>
        <v/>
      </c>
      <c r="R620" s="26" t="str">
        <f t="shared" ca="1" si="45"/>
        <v/>
      </c>
      <c r="S620" s="27" t="str">
        <f>IF(I620="","",_xlfn.XLOOKUP(I620,Lists!$C:$C,Lists!$I:$I))</f>
        <v/>
      </c>
    </row>
    <row r="621" spans="3:19" x14ac:dyDescent="0.2">
      <c r="C621" s="26">
        <f>_xlfn.XLOOKUP(B621,Lists!B:B,Lists!A:A,"")</f>
        <v>0</v>
      </c>
      <c r="G621" s="26" t="str">
        <f t="shared" si="41"/>
        <v/>
      </c>
      <c r="H621" s="31" t="str">
        <f t="shared" si="42"/>
        <v/>
      </c>
      <c r="J621" s="27" t="str">
        <f>IF(I621="","",_xlfn.XLOOKUP(I621,Lists!$C:$C,Lists!$D:$D))</f>
        <v/>
      </c>
      <c r="N621" s="26" t="str">
        <f t="shared" si="43"/>
        <v/>
      </c>
      <c r="O621" s="27" t="str">
        <f>IF(I621="","",_xlfn.XLOOKUP(I621,Lists!$C:$C,Lists!$J:$J))</f>
        <v/>
      </c>
      <c r="P621" s="27" t="str">
        <f>IF(I621="","",_xlfn.XLOOKUP(I621,Lists!$C:$C,Lists!$E:$E))</f>
        <v/>
      </c>
      <c r="Q621" s="28" t="str">
        <f t="shared" si="44"/>
        <v/>
      </c>
      <c r="R621" s="26" t="str">
        <f t="shared" ca="1" si="45"/>
        <v/>
      </c>
      <c r="S621" s="27" t="str">
        <f>IF(I621="","",_xlfn.XLOOKUP(I621,Lists!$C:$C,Lists!$I:$I))</f>
        <v/>
      </c>
    </row>
    <row r="622" spans="3:19" x14ac:dyDescent="0.2">
      <c r="C622" s="26">
        <f>_xlfn.XLOOKUP(B622,Lists!B:B,Lists!A:A,"")</f>
        <v>0</v>
      </c>
      <c r="G622" s="26" t="str">
        <f t="shared" si="41"/>
        <v/>
      </c>
      <c r="H622" s="31" t="str">
        <f t="shared" si="42"/>
        <v/>
      </c>
      <c r="J622" s="27" t="str">
        <f>IF(I622="","",_xlfn.XLOOKUP(I622,Lists!$C:$C,Lists!$D:$D))</f>
        <v/>
      </c>
      <c r="N622" s="26" t="str">
        <f t="shared" si="43"/>
        <v/>
      </c>
      <c r="O622" s="27" t="str">
        <f>IF(I622="","",_xlfn.XLOOKUP(I622,Lists!$C:$C,Lists!$J:$J))</f>
        <v/>
      </c>
      <c r="P622" s="27" t="str">
        <f>IF(I622="","",_xlfn.XLOOKUP(I622,Lists!$C:$C,Lists!$E:$E))</f>
        <v/>
      </c>
      <c r="Q622" s="28" t="str">
        <f t="shared" si="44"/>
        <v/>
      </c>
      <c r="R622" s="26" t="str">
        <f t="shared" ca="1" si="45"/>
        <v/>
      </c>
      <c r="S622" s="27" t="str">
        <f>IF(I622="","",_xlfn.XLOOKUP(I622,Lists!$C:$C,Lists!$I:$I))</f>
        <v/>
      </c>
    </row>
    <row r="623" spans="3:19" x14ac:dyDescent="0.2">
      <c r="C623" s="26">
        <f>_xlfn.XLOOKUP(B623,Lists!B:B,Lists!A:A,"")</f>
        <v>0</v>
      </c>
      <c r="G623" s="26" t="str">
        <f t="shared" si="41"/>
        <v/>
      </c>
      <c r="H623" s="31" t="str">
        <f t="shared" si="42"/>
        <v/>
      </c>
      <c r="J623" s="27" t="str">
        <f>IF(I623="","",_xlfn.XLOOKUP(I623,Lists!$C:$C,Lists!$D:$D))</f>
        <v/>
      </c>
      <c r="N623" s="26" t="str">
        <f t="shared" si="43"/>
        <v/>
      </c>
      <c r="O623" s="27" t="str">
        <f>IF(I623="","",_xlfn.XLOOKUP(I623,Lists!$C:$C,Lists!$J:$J))</f>
        <v/>
      </c>
      <c r="P623" s="27" t="str">
        <f>IF(I623="","",_xlfn.XLOOKUP(I623,Lists!$C:$C,Lists!$E:$E))</f>
        <v/>
      </c>
      <c r="Q623" s="28" t="str">
        <f t="shared" si="44"/>
        <v/>
      </c>
      <c r="R623" s="26" t="str">
        <f t="shared" ca="1" si="45"/>
        <v/>
      </c>
      <c r="S623" s="27" t="str">
        <f>IF(I623="","",_xlfn.XLOOKUP(I623,Lists!$C:$C,Lists!$I:$I))</f>
        <v/>
      </c>
    </row>
    <row r="624" spans="3:19" x14ac:dyDescent="0.2">
      <c r="C624" s="26">
        <f>_xlfn.XLOOKUP(B624,Lists!B:B,Lists!A:A,"")</f>
        <v>0</v>
      </c>
      <c r="G624" s="26" t="str">
        <f t="shared" si="41"/>
        <v/>
      </c>
      <c r="H624" s="31" t="str">
        <f t="shared" si="42"/>
        <v/>
      </c>
      <c r="J624" s="27" t="str">
        <f>IF(I624="","",_xlfn.XLOOKUP(I624,Lists!$C:$C,Lists!$D:$D))</f>
        <v/>
      </c>
      <c r="N624" s="26" t="str">
        <f t="shared" si="43"/>
        <v/>
      </c>
      <c r="O624" s="27" t="str">
        <f>IF(I624="","",_xlfn.XLOOKUP(I624,Lists!$C:$C,Lists!$J:$J))</f>
        <v/>
      </c>
      <c r="P624" s="27" t="str">
        <f>IF(I624="","",_xlfn.XLOOKUP(I624,Lists!$C:$C,Lists!$E:$E))</f>
        <v/>
      </c>
      <c r="Q624" s="28" t="str">
        <f t="shared" si="44"/>
        <v/>
      </c>
      <c r="R624" s="26" t="str">
        <f t="shared" ca="1" si="45"/>
        <v/>
      </c>
      <c r="S624" s="27" t="str">
        <f>IF(I624="","",_xlfn.XLOOKUP(I624,Lists!$C:$C,Lists!$I:$I))</f>
        <v/>
      </c>
    </row>
    <row r="625" spans="3:19" x14ac:dyDescent="0.2">
      <c r="C625" s="26">
        <f>_xlfn.XLOOKUP(B625,Lists!B:B,Lists!A:A,"")</f>
        <v>0</v>
      </c>
      <c r="G625" s="26" t="str">
        <f t="shared" si="41"/>
        <v/>
      </c>
      <c r="H625" s="31" t="str">
        <f t="shared" si="42"/>
        <v/>
      </c>
      <c r="J625" s="27" t="str">
        <f>IF(I625="","",_xlfn.XLOOKUP(I625,Lists!$C:$C,Lists!$D:$D))</f>
        <v/>
      </c>
      <c r="N625" s="26" t="str">
        <f t="shared" si="43"/>
        <v/>
      </c>
      <c r="O625" s="27" t="str">
        <f>IF(I625="","",_xlfn.XLOOKUP(I625,Lists!$C:$C,Lists!$J:$J))</f>
        <v/>
      </c>
      <c r="P625" s="27" t="str">
        <f>IF(I625="","",_xlfn.XLOOKUP(I625,Lists!$C:$C,Lists!$E:$E))</f>
        <v/>
      </c>
      <c r="Q625" s="28" t="str">
        <f t="shared" si="44"/>
        <v/>
      </c>
      <c r="R625" s="26" t="str">
        <f t="shared" ca="1" si="45"/>
        <v/>
      </c>
      <c r="S625" s="27" t="str">
        <f>IF(I625="","",_xlfn.XLOOKUP(I625,Lists!$C:$C,Lists!$I:$I))</f>
        <v/>
      </c>
    </row>
    <row r="626" spans="3:19" x14ac:dyDescent="0.2">
      <c r="C626" s="26">
        <f>_xlfn.XLOOKUP(B626,Lists!B:B,Lists!A:A,"")</f>
        <v>0</v>
      </c>
      <c r="G626" s="26" t="str">
        <f t="shared" si="41"/>
        <v/>
      </c>
      <c r="H626" s="31" t="str">
        <f t="shared" si="42"/>
        <v/>
      </c>
      <c r="J626" s="27" t="str">
        <f>IF(I626="","",_xlfn.XLOOKUP(I626,Lists!$C:$C,Lists!$D:$D))</f>
        <v/>
      </c>
      <c r="N626" s="26" t="str">
        <f t="shared" si="43"/>
        <v/>
      </c>
      <c r="O626" s="27" t="str">
        <f>IF(I626="","",_xlfn.XLOOKUP(I626,Lists!$C:$C,Lists!$J:$J))</f>
        <v/>
      </c>
      <c r="P626" s="27" t="str">
        <f>IF(I626="","",_xlfn.XLOOKUP(I626,Lists!$C:$C,Lists!$E:$E))</f>
        <v/>
      </c>
      <c r="Q626" s="28" t="str">
        <f t="shared" si="44"/>
        <v/>
      </c>
      <c r="R626" s="26" t="str">
        <f t="shared" ca="1" si="45"/>
        <v/>
      </c>
      <c r="S626" s="27" t="str">
        <f>IF(I626="","",_xlfn.XLOOKUP(I626,Lists!$C:$C,Lists!$I:$I))</f>
        <v/>
      </c>
    </row>
    <row r="627" spans="3:19" x14ac:dyDescent="0.2">
      <c r="C627" s="26">
        <f>_xlfn.XLOOKUP(B627,Lists!B:B,Lists!A:A,"")</f>
        <v>0</v>
      </c>
      <c r="G627" s="26" t="str">
        <f t="shared" si="41"/>
        <v/>
      </c>
      <c r="H627" s="31" t="str">
        <f t="shared" si="42"/>
        <v/>
      </c>
      <c r="J627" s="27" t="str">
        <f>IF(I627="","",_xlfn.XLOOKUP(I627,Lists!$C:$C,Lists!$D:$D))</f>
        <v/>
      </c>
      <c r="N627" s="26" t="str">
        <f t="shared" si="43"/>
        <v/>
      </c>
      <c r="O627" s="27" t="str">
        <f>IF(I627="","",_xlfn.XLOOKUP(I627,Lists!$C:$C,Lists!$J:$J))</f>
        <v/>
      </c>
      <c r="P627" s="27" t="str">
        <f>IF(I627="","",_xlfn.XLOOKUP(I627,Lists!$C:$C,Lists!$E:$E))</f>
        <v/>
      </c>
      <c r="Q627" s="28" t="str">
        <f t="shared" si="44"/>
        <v/>
      </c>
      <c r="R627" s="26" t="str">
        <f t="shared" ca="1" si="45"/>
        <v/>
      </c>
      <c r="S627" s="27" t="str">
        <f>IF(I627="","",_xlfn.XLOOKUP(I627,Lists!$C:$C,Lists!$I:$I))</f>
        <v/>
      </c>
    </row>
    <row r="628" spans="3:19" x14ac:dyDescent="0.2">
      <c r="C628" s="26">
        <f>_xlfn.XLOOKUP(B628,Lists!B:B,Lists!A:A,"")</f>
        <v>0</v>
      </c>
      <c r="G628" s="26" t="str">
        <f t="shared" si="41"/>
        <v/>
      </c>
      <c r="H628" s="31" t="str">
        <f t="shared" si="42"/>
        <v/>
      </c>
      <c r="J628" s="27" t="str">
        <f>IF(I628="","",_xlfn.XLOOKUP(I628,Lists!$C:$C,Lists!$D:$D))</f>
        <v/>
      </c>
      <c r="N628" s="26" t="str">
        <f t="shared" si="43"/>
        <v/>
      </c>
      <c r="O628" s="27" t="str">
        <f>IF(I628="","",_xlfn.XLOOKUP(I628,Lists!$C:$C,Lists!$J:$J))</f>
        <v/>
      </c>
      <c r="P628" s="27" t="str">
        <f>IF(I628="","",_xlfn.XLOOKUP(I628,Lists!$C:$C,Lists!$E:$E))</f>
        <v/>
      </c>
      <c r="Q628" s="28" t="str">
        <f t="shared" si="44"/>
        <v/>
      </c>
      <c r="R628" s="26" t="str">
        <f t="shared" ca="1" si="45"/>
        <v/>
      </c>
      <c r="S628" s="27" t="str">
        <f>IF(I628="","",_xlfn.XLOOKUP(I628,Lists!$C:$C,Lists!$I:$I))</f>
        <v/>
      </c>
    </row>
    <row r="629" spans="3:19" x14ac:dyDescent="0.2">
      <c r="C629" s="26">
        <f>_xlfn.XLOOKUP(B629,Lists!B:B,Lists!A:A,"")</f>
        <v>0</v>
      </c>
      <c r="G629" s="26" t="str">
        <f t="shared" si="41"/>
        <v/>
      </c>
      <c r="H629" s="31" t="str">
        <f t="shared" si="42"/>
        <v/>
      </c>
      <c r="J629" s="27" t="str">
        <f>IF(I629="","",_xlfn.XLOOKUP(I629,Lists!$C:$C,Lists!$D:$D))</f>
        <v/>
      </c>
      <c r="N629" s="26" t="str">
        <f t="shared" si="43"/>
        <v/>
      </c>
      <c r="O629" s="27" t="str">
        <f>IF(I629="","",_xlfn.XLOOKUP(I629,Lists!$C:$C,Lists!$J:$J))</f>
        <v/>
      </c>
      <c r="P629" s="27" t="str">
        <f>IF(I629="","",_xlfn.XLOOKUP(I629,Lists!$C:$C,Lists!$E:$E))</f>
        <v/>
      </c>
      <c r="Q629" s="28" t="str">
        <f t="shared" si="44"/>
        <v/>
      </c>
      <c r="R629" s="26" t="str">
        <f t="shared" ca="1" si="45"/>
        <v/>
      </c>
      <c r="S629" s="27" t="str">
        <f>IF(I629="","",_xlfn.XLOOKUP(I629,Lists!$C:$C,Lists!$I:$I))</f>
        <v/>
      </c>
    </row>
    <row r="630" spans="3:19" x14ac:dyDescent="0.2">
      <c r="C630" s="26">
        <f>_xlfn.XLOOKUP(B630,Lists!B:B,Lists!A:A,"")</f>
        <v>0</v>
      </c>
      <c r="G630" s="26" t="str">
        <f t="shared" si="41"/>
        <v/>
      </c>
      <c r="H630" s="31" t="str">
        <f t="shared" si="42"/>
        <v/>
      </c>
      <c r="J630" s="27" t="str">
        <f>IF(I630="","",_xlfn.XLOOKUP(I630,Lists!$C:$C,Lists!$D:$D))</f>
        <v/>
      </c>
      <c r="N630" s="26" t="str">
        <f t="shared" si="43"/>
        <v/>
      </c>
      <c r="O630" s="27" t="str">
        <f>IF(I630="","",_xlfn.XLOOKUP(I630,Lists!$C:$C,Lists!$J:$J))</f>
        <v/>
      </c>
      <c r="P630" s="27" t="str">
        <f>IF(I630="","",_xlfn.XLOOKUP(I630,Lists!$C:$C,Lists!$E:$E))</f>
        <v/>
      </c>
      <c r="Q630" s="28" t="str">
        <f t="shared" si="44"/>
        <v/>
      </c>
      <c r="R630" s="26" t="str">
        <f t="shared" ca="1" si="45"/>
        <v/>
      </c>
      <c r="S630" s="27" t="str">
        <f>IF(I630="","",_xlfn.XLOOKUP(I630,Lists!$C:$C,Lists!$I:$I))</f>
        <v/>
      </c>
    </row>
    <row r="631" spans="3:19" x14ac:dyDescent="0.2">
      <c r="C631" s="26">
        <f>_xlfn.XLOOKUP(B631,Lists!B:B,Lists!A:A,"")</f>
        <v>0</v>
      </c>
      <c r="G631" s="26" t="str">
        <f t="shared" si="41"/>
        <v/>
      </c>
      <c r="H631" s="31" t="str">
        <f t="shared" si="42"/>
        <v/>
      </c>
      <c r="J631" s="27" t="str">
        <f>IF(I631="","",_xlfn.XLOOKUP(I631,Lists!$C:$C,Lists!$D:$D))</f>
        <v/>
      </c>
      <c r="N631" s="26" t="str">
        <f t="shared" si="43"/>
        <v/>
      </c>
      <c r="O631" s="27" t="str">
        <f>IF(I631="","",_xlfn.XLOOKUP(I631,Lists!$C:$C,Lists!$J:$J))</f>
        <v/>
      </c>
      <c r="P631" s="27" t="str">
        <f>IF(I631="","",_xlfn.XLOOKUP(I631,Lists!$C:$C,Lists!$E:$E))</f>
        <v/>
      </c>
      <c r="Q631" s="28" t="str">
        <f t="shared" si="44"/>
        <v/>
      </c>
      <c r="R631" s="26" t="str">
        <f t="shared" ca="1" si="45"/>
        <v/>
      </c>
      <c r="S631" s="27" t="str">
        <f>IF(I631="","",_xlfn.XLOOKUP(I631,Lists!$C:$C,Lists!$I:$I))</f>
        <v/>
      </c>
    </row>
    <row r="632" spans="3:19" x14ac:dyDescent="0.2">
      <c r="C632" s="26">
        <f>_xlfn.XLOOKUP(B632,Lists!B:B,Lists!A:A,"")</f>
        <v>0</v>
      </c>
      <c r="G632" s="26" t="str">
        <f t="shared" si="41"/>
        <v/>
      </c>
      <c r="H632" s="31" t="str">
        <f t="shared" si="42"/>
        <v/>
      </c>
      <c r="J632" s="27" t="str">
        <f>IF(I632="","",_xlfn.XLOOKUP(I632,Lists!$C:$C,Lists!$D:$D))</f>
        <v/>
      </c>
      <c r="N632" s="26" t="str">
        <f t="shared" si="43"/>
        <v/>
      </c>
      <c r="O632" s="27" t="str">
        <f>IF(I632="","",_xlfn.XLOOKUP(I632,Lists!$C:$C,Lists!$J:$J))</f>
        <v/>
      </c>
      <c r="P632" s="27" t="str">
        <f>IF(I632="","",_xlfn.XLOOKUP(I632,Lists!$C:$C,Lists!$E:$E))</f>
        <v/>
      </c>
      <c r="Q632" s="28" t="str">
        <f t="shared" si="44"/>
        <v/>
      </c>
      <c r="R632" s="26" t="str">
        <f t="shared" ca="1" si="45"/>
        <v/>
      </c>
      <c r="S632" s="27" t="str">
        <f>IF(I632="","",_xlfn.XLOOKUP(I632,Lists!$C:$C,Lists!$I:$I))</f>
        <v/>
      </c>
    </row>
    <row r="633" spans="3:19" x14ac:dyDescent="0.2">
      <c r="C633" s="26">
        <f>_xlfn.XLOOKUP(B633,Lists!B:B,Lists!A:A,"")</f>
        <v>0</v>
      </c>
      <c r="G633" s="26" t="str">
        <f t="shared" si="41"/>
        <v/>
      </c>
      <c r="H633" s="31" t="str">
        <f t="shared" si="42"/>
        <v/>
      </c>
      <c r="J633" s="27" t="str">
        <f>IF(I633="","",_xlfn.XLOOKUP(I633,Lists!$C:$C,Lists!$D:$D))</f>
        <v/>
      </c>
      <c r="N633" s="26" t="str">
        <f t="shared" si="43"/>
        <v/>
      </c>
      <c r="O633" s="27" t="str">
        <f>IF(I633="","",_xlfn.XLOOKUP(I633,Lists!$C:$C,Lists!$J:$J))</f>
        <v/>
      </c>
      <c r="P633" s="27" t="str">
        <f>IF(I633="","",_xlfn.XLOOKUP(I633,Lists!$C:$C,Lists!$E:$E))</f>
        <v/>
      </c>
      <c r="Q633" s="28" t="str">
        <f t="shared" si="44"/>
        <v/>
      </c>
      <c r="R633" s="26" t="str">
        <f t="shared" ca="1" si="45"/>
        <v/>
      </c>
      <c r="S633" s="27" t="str">
        <f>IF(I633="","",_xlfn.XLOOKUP(I633,Lists!$C:$C,Lists!$I:$I))</f>
        <v/>
      </c>
    </row>
    <row r="634" spans="3:19" x14ac:dyDescent="0.2">
      <c r="C634" s="26">
        <f>_xlfn.XLOOKUP(B634,Lists!B:B,Lists!A:A,"")</f>
        <v>0</v>
      </c>
      <c r="G634" s="26" t="str">
        <f t="shared" si="41"/>
        <v/>
      </c>
      <c r="H634" s="31" t="str">
        <f t="shared" si="42"/>
        <v/>
      </c>
      <c r="J634" s="27" t="str">
        <f>IF(I634="","",_xlfn.XLOOKUP(I634,Lists!$C:$C,Lists!$D:$D))</f>
        <v/>
      </c>
      <c r="N634" s="26" t="str">
        <f t="shared" si="43"/>
        <v/>
      </c>
      <c r="O634" s="27" t="str">
        <f>IF(I634="","",_xlfn.XLOOKUP(I634,Lists!$C:$C,Lists!$J:$J))</f>
        <v/>
      </c>
      <c r="P634" s="27" t="str">
        <f>IF(I634="","",_xlfn.XLOOKUP(I634,Lists!$C:$C,Lists!$E:$E))</f>
        <v/>
      </c>
      <c r="Q634" s="28" t="str">
        <f t="shared" si="44"/>
        <v/>
      </c>
      <c r="R634" s="26" t="str">
        <f t="shared" ca="1" si="45"/>
        <v/>
      </c>
      <c r="S634" s="27" t="str">
        <f>IF(I634="","",_xlfn.XLOOKUP(I634,Lists!$C:$C,Lists!$I:$I))</f>
        <v/>
      </c>
    </row>
    <row r="635" spans="3:19" x14ac:dyDescent="0.2">
      <c r="C635" s="26">
        <f>_xlfn.XLOOKUP(B635,Lists!B:B,Lists!A:A,"")</f>
        <v>0</v>
      </c>
      <c r="G635" s="26" t="str">
        <f t="shared" si="41"/>
        <v/>
      </c>
      <c r="H635" s="31" t="str">
        <f t="shared" si="42"/>
        <v/>
      </c>
      <c r="J635" s="27" t="str">
        <f>IF(I635="","",_xlfn.XLOOKUP(I635,Lists!$C:$C,Lists!$D:$D))</f>
        <v/>
      </c>
      <c r="N635" s="26" t="str">
        <f t="shared" si="43"/>
        <v/>
      </c>
      <c r="O635" s="27" t="str">
        <f>IF(I635="","",_xlfn.XLOOKUP(I635,Lists!$C:$C,Lists!$J:$J))</f>
        <v/>
      </c>
      <c r="P635" s="27" t="str">
        <f>IF(I635="","",_xlfn.XLOOKUP(I635,Lists!$C:$C,Lists!$E:$E))</f>
        <v/>
      </c>
      <c r="Q635" s="28" t="str">
        <f t="shared" si="44"/>
        <v/>
      </c>
      <c r="R635" s="26" t="str">
        <f t="shared" ca="1" si="45"/>
        <v/>
      </c>
      <c r="S635" s="27" t="str">
        <f>IF(I635="","",_xlfn.XLOOKUP(I635,Lists!$C:$C,Lists!$I:$I))</f>
        <v/>
      </c>
    </row>
    <row r="636" spans="3:19" x14ac:dyDescent="0.2">
      <c r="C636" s="26">
        <f>_xlfn.XLOOKUP(B636,Lists!B:B,Lists!A:A,"")</f>
        <v>0</v>
      </c>
      <c r="G636" s="26" t="str">
        <f t="shared" si="41"/>
        <v/>
      </c>
      <c r="H636" s="31" t="str">
        <f t="shared" si="42"/>
        <v/>
      </c>
      <c r="J636" s="27" t="str">
        <f>IF(I636="","",_xlfn.XLOOKUP(I636,Lists!$C:$C,Lists!$D:$D))</f>
        <v/>
      </c>
      <c r="N636" s="26" t="str">
        <f t="shared" si="43"/>
        <v/>
      </c>
      <c r="O636" s="27" t="str">
        <f>IF(I636="","",_xlfn.XLOOKUP(I636,Lists!$C:$C,Lists!$J:$J))</f>
        <v/>
      </c>
      <c r="P636" s="27" t="str">
        <f>IF(I636="","",_xlfn.XLOOKUP(I636,Lists!$C:$C,Lists!$E:$E))</f>
        <v/>
      </c>
      <c r="Q636" s="28" t="str">
        <f t="shared" si="44"/>
        <v/>
      </c>
      <c r="R636" s="26" t="str">
        <f t="shared" ca="1" si="45"/>
        <v/>
      </c>
      <c r="S636" s="27" t="str">
        <f>IF(I636="","",_xlfn.XLOOKUP(I636,Lists!$C:$C,Lists!$I:$I))</f>
        <v/>
      </c>
    </row>
    <row r="637" spans="3:19" x14ac:dyDescent="0.2">
      <c r="C637" s="26">
        <f>_xlfn.XLOOKUP(B637,Lists!B:B,Lists!A:A,"")</f>
        <v>0</v>
      </c>
      <c r="G637" s="26" t="str">
        <f t="shared" si="41"/>
        <v/>
      </c>
      <c r="H637" s="31" t="str">
        <f t="shared" si="42"/>
        <v/>
      </c>
      <c r="J637" s="27" t="str">
        <f>IF(I637="","",_xlfn.XLOOKUP(I637,Lists!$C:$C,Lists!$D:$D))</f>
        <v/>
      </c>
      <c r="N637" s="26" t="str">
        <f t="shared" si="43"/>
        <v/>
      </c>
      <c r="O637" s="27" t="str">
        <f>IF(I637="","",_xlfn.XLOOKUP(I637,Lists!$C:$C,Lists!$J:$J))</f>
        <v/>
      </c>
      <c r="P637" s="27" t="str">
        <f>IF(I637="","",_xlfn.XLOOKUP(I637,Lists!$C:$C,Lists!$E:$E))</f>
        <v/>
      </c>
      <c r="Q637" s="28" t="str">
        <f t="shared" si="44"/>
        <v/>
      </c>
      <c r="R637" s="26" t="str">
        <f t="shared" ca="1" si="45"/>
        <v/>
      </c>
      <c r="S637" s="27" t="str">
        <f>IF(I637="","",_xlfn.XLOOKUP(I637,Lists!$C:$C,Lists!$I:$I))</f>
        <v/>
      </c>
    </row>
    <row r="638" spans="3:19" x14ac:dyDescent="0.2">
      <c r="C638" s="26">
        <f>_xlfn.XLOOKUP(B638,Lists!B:B,Lists!A:A,"")</f>
        <v>0</v>
      </c>
      <c r="G638" s="26" t="str">
        <f t="shared" si="41"/>
        <v/>
      </c>
      <c r="H638" s="31" t="str">
        <f t="shared" si="42"/>
        <v/>
      </c>
      <c r="J638" s="27" t="str">
        <f>IF(I638="","",_xlfn.XLOOKUP(I638,Lists!$C:$C,Lists!$D:$D))</f>
        <v/>
      </c>
      <c r="N638" s="26" t="str">
        <f t="shared" si="43"/>
        <v/>
      </c>
      <c r="O638" s="27" t="str">
        <f>IF(I638="","",_xlfn.XLOOKUP(I638,Lists!$C:$C,Lists!$J:$J))</f>
        <v/>
      </c>
      <c r="P638" s="27" t="str">
        <f>IF(I638="","",_xlfn.XLOOKUP(I638,Lists!$C:$C,Lists!$E:$E))</f>
        <v/>
      </c>
      <c r="Q638" s="28" t="str">
        <f t="shared" si="44"/>
        <v/>
      </c>
      <c r="R638" s="26" t="str">
        <f t="shared" ca="1" si="45"/>
        <v/>
      </c>
      <c r="S638" s="27" t="str">
        <f>IF(I638="","",_xlfn.XLOOKUP(I638,Lists!$C:$C,Lists!$I:$I))</f>
        <v/>
      </c>
    </row>
    <row r="639" spans="3:19" x14ac:dyDescent="0.2">
      <c r="C639" s="26">
        <f>_xlfn.XLOOKUP(B639,Lists!B:B,Lists!A:A,"")</f>
        <v>0</v>
      </c>
      <c r="G639" s="26" t="str">
        <f t="shared" si="41"/>
        <v/>
      </c>
      <c r="H639" s="31" t="str">
        <f t="shared" si="42"/>
        <v/>
      </c>
      <c r="J639" s="27" t="str">
        <f>IF(I639="","",_xlfn.XLOOKUP(I639,Lists!$C:$C,Lists!$D:$D))</f>
        <v/>
      </c>
      <c r="N639" s="26" t="str">
        <f t="shared" si="43"/>
        <v/>
      </c>
      <c r="O639" s="27" t="str">
        <f>IF(I639="","",_xlfn.XLOOKUP(I639,Lists!$C:$C,Lists!$J:$J))</f>
        <v/>
      </c>
      <c r="P639" s="27" t="str">
        <f>IF(I639="","",_xlfn.XLOOKUP(I639,Lists!$C:$C,Lists!$E:$E))</f>
        <v/>
      </c>
      <c r="Q639" s="28" t="str">
        <f t="shared" si="44"/>
        <v/>
      </c>
      <c r="R639" s="26" t="str">
        <f t="shared" ca="1" si="45"/>
        <v/>
      </c>
      <c r="S639" s="27" t="str">
        <f>IF(I639="","",_xlfn.XLOOKUP(I639,Lists!$C:$C,Lists!$I:$I))</f>
        <v/>
      </c>
    </row>
    <row r="640" spans="3:19" x14ac:dyDescent="0.2">
      <c r="C640" s="26">
        <f>_xlfn.XLOOKUP(B640,Lists!B:B,Lists!A:A,"")</f>
        <v>0</v>
      </c>
      <c r="G640" s="26" t="str">
        <f t="shared" si="41"/>
        <v/>
      </c>
      <c r="H640" s="31" t="str">
        <f t="shared" si="42"/>
        <v/>
      </c>
      <c r="J640" s="27" t="str">
        <f>IF(I640="","",_xlfn.XLOOKUP(I640,Lists!$C:$C,Lists!$D:$D))</f>
        <v/>
      </c>
      <c r="N640" s="26" t="str">
        <f t="shared" si="43"/>
        <v/>
      </c>
      <c r="O640" s="27" t="str">
        <f>IF(I640="","",_xlfn.XLOOKUP(I640,Lists!$C:$C,Lists!$J:$J))</f>
        <v/>
      </c>
      <c r="P640" s="27" t="str">
        <f>IF(I640="","",_xlfn.XLOOKUP(I640,Lists!$C:$C,Lists!$E:$E))</f>
        <v/>
      </c>
      <c r="Q640" s="28" t="str">
        <f t="shared" si="44"/>
        <v/>
      </c>
      <c r="R640" s="26" t="str">
        <f t="shared" ca="1" si="45"/>
        <v/>
      </c>
      <c r="S640" s="27" t="str">
        <f>IF(I640="","",_xlfn.XLOOKUP(I640,Lists!$C:$C,Lists!$I:$I))</f>
        <v/>
      </c>
    </row>
    <row r="641" spans="3:19" x14ac:dyDescent="0.2">
      <c r="C641" s="26">
        <f>_xlfn.XLOOKUP(B641,Lists!B:B,Lists!A:A,"")</f>
        <v>0</v>
      </c>
      <c r="G641" s="26" t="str">
        <f t="shared" si="41"/>
        <v/>
      </c>
      <c r="H641" s="31" t="str">
        <f t="shared" si="42"/>
        <v/>
      </c>
      <c r="J641" s="27" t="str">
        <f>IF(I641="","",_xlfn.XLOOKUP(I641,Lists!$C:$C,Lists!$D:$D))</f>
        <v/>
      </c>
      <c r="N641" s="26" t="str">
        <f t="shared" si="43"/>
        <v/>
      </c>
      <c r="O641" s="27" t="str">
        <f>IF(I641="","",_xlfn.XLOOKUP(I641,Lists!$C:$C,Lists!$J:$J))</f>
        <v/>
      </c>
      <c r="P641" s="27" t="str">
        <f>IF(I641="","",_xlfn.XLOOKUP(I641,Lists!$C:$C,Lists!$E:$E))</f>
        <v/>
      </c>
      <c r="Q641" s="28" t="str">
        <f t="shared" si="44"/>
        <v/>
      </c>
      <c r="R641" s="26" t="str">
        <f t="shared" ca="1" si="45"/>
        <v/>
      </c>
      <c r="S641" s="27" t="str">
        <f>IF(I641="","",_xlfn.XLOOKUP(I641,Lists!$C:$C,Lists!$I:$I))</f>
        <v/>
      </c>
    </row>
    <row r="642" spans="3:19" x14ac:dyDescent="0.2">
      <c r="C642" s="26">
        <f>_xlfn.XLOOKUP(B642,Lists!B:B,Lists!A:A,"")</f>
        <v>0</v>
      </c>
      <c r="G642" s="26" t="str">
        <f t="shared" si="41"/>
        <v/>
      </c>
      <c r="H642" s="31" t="str">
        <f t="shared" si="42"/>
        <v/>
      </c>
      <c r="J642" s="27" t="str">
        <f>IF(I642="","",_xlfn.XLOOKUP(I642,Lists!$C:$C,Lists!$D:$D))</f>
        <v/>
      </c>
      <c r="N642" s="26" t="str">
        <f t="shared" si="43"/>
        <v/>
      </c>
      <c r="O642" s="27" t="str">
        <f>IF(I642="","",_xlfn.XLOOKUP(I642,Lists!$C:$C,Lists!$J:$J))</f>
        <v/>
      </c>
      <c r="P642" s="27" t="str">
        <f>IF(I642="","",_xlfn.XLOOKUP(I642,Lists!$C:$C,Lists!$E:$E))</f>
        <v/>
      </c>
      <c r="Q642" s="28" t="str">
        <f t="shared" si="44"/>
        <v/>
      </c>
      <c r="R642" s="26" t="str">
        <f t="shared" ca="1" si="45"/>
        <v/>
      </c>
      <c r="S642" s="27" t="str">
        <f>IF(I642="","",_xlfn.XLOOKUP(I642,Lists!$C:$C,Lists!$I:$I))</f>
        <v/>
      </c>
    </row>
    <row r="643" spans="3:19" x14ac:dyDescent="0.2">
      <c r="C643" s="26">
        <f>_xlfn.XLOOKUP(B643,Lists!B:B,Lists!A:A,"")</f>
        <v>0</v>
      </c>
      <c r="G643" s="26" t="str">
        <f t="shared" si="41"/>
        <v/>
      </c>
      <c r="H643" s="31" t="str">
        <f t="shared" si="42"/>
        <v/>
      </c>
      <c r="J643" s="27" t="str">
        <f>IF(I643="","",_xlfn.XLOOKUP(I643,Lists!$C:$C,Lists!$D:$D))</f>
        <v/>
      </c>
      <c r="N643" s="26" t="str">
        <f t="shared" si="43"/>
        <v/>
      </c>
      <c r="O643" s="27" t="str">
        <f>IF(I643="","",_xlfn.XLOOKUP(I643,Lists!$C:$C,Lists!$J:$J))</f>
        <v/>
      </c>
      <c r="P643" s="27" t="str">
        <f>IF(I643="","",_xlfn.XLOOKUP(I643,Lists!$C:$C,Lists!$E:$E))</f>
        <v/>
      </c>
      <c r="Q643" s="28" t="str">
        <f t="shared" si="44"/>
        <v/>
      </c>
      <c r="R643" s="26" t="str">
        <f t="shared" ca="1" si="45"/>
        <v/>
      </c>
      <c r="S643" s="27" t="str">
        <f>IF(I643="","",_xlfn.XLOOKUP(I643,Lists!$C:$C,Lists!$I:$I))</f>
        <v/>
      </c>
    </row>
    <row r="644" spans="3:19" x14ac:dyDescent="0.2">
      <c r="C644" s="26">
        <f>_xlfn.XLOOKUP(B644,Lists!B:B,Lists!A:A,"")</f>
        <v>0</v>
      </c>
      <c r="G644" s="26" t="str">
        <f t="shared" si="41"/>
        <v/>
      </c>
      <c r="H644" s="31" t="str">
        <f t="shared" si="42"/>
        <v/>
      </c>
      <c r="J644" s="27" t="str">
        <f>IF(I644="","",_xlfn.XLOOKUP(I644,Lists!$C:$C,Lists!$D:$D))</f>
        <v/>
      </c>
      <c r="N644" s="26" t="str">
        <f t="shared" si="43"/>
        <v/>
      </c>
      <c r="O644" s="27" t="str">
        <f>IF(I644="","",_xlfn.XLOOKUP(I644,Lists!$C:$C,Lists!$J:$J))</f>
        <v/>
      </c>
      <c r="P644" s="27" t="str">
        <f>IF(I644="","",_xlfn.XLOOKUP(I644,Lists!$C:$C,Lists!$E:$E))</f>
        <v/>
      </c>
      <c r="Q644" s="28" t="str">
        <f t="shared" si="44"/>
        <v/>
      </c>
      <c r="R644" s="26" t="str">
        <f t="shared" ca="1" si="45"/>
        <v/>
      </c>
      <c r="S644" s="27" t="str">
        <f>IF(I644="","",_xlfn.XLOOKUP(I644,Lists!$C:$C,Lists!$I:$I))</f>
        <v/>
      </c>
    </row>
    <row r="645" spans="3:19" x14ac:dyDescent="0.2">
      <c r="C645" s="26">
        <f>_xlfn.XLOOKUP(B645,Lists!B:B,Lists!A:A,"")</f>
        <v>0</v>
      </c>
      <c r="G645" s="26" t="str">
        <f t="shared" si="41"/>
        <v/>
      </c>
      <c r="H645" s="31" t="str">
        <f t="shared" si="42"/>
        <v/>
      </c>
      <c r="J645" s="27" t="str">
        <f>IF(I645="","",_xlfn.XLOOKUP(I645,Lists!$C:$C,Lists!$D:$D))</f>
        <v/>
      </c>
      <c r="N645" s="26" t="str">
        <f t="shared" si="43"/>
        <v/>
      </c>
      <c r="O645" s="27" t="str">
        <f>IF(I645="","",_xlfn.XLOOKUP(I645,Lists!$C:$C,Lists!$J:$J))</f>
        <v/>
      </c>
      <c r="P645" s="27" t="str">
        <f>IF(I645="","",_xlfn.XLOOKUP(I645,Lists!$C:$C,Lists!$E:$E))</f>
        <v/>
      </c>
      <c r="Q645" s="28" t="str">
        <f t="shared" si="44"/>
        <v/>
      </c>
      <c r="R645" s="26" t="str">
        <f t="shared" ca="1" si="45"/>
        <v/>
      </c>
      <c r="S645" s="27" t="str">
        <f>IF(I645="","",_xlfn.XLOOKUP(I645,Lists!$C:$C,Lists!$I:$I))</f>
        <v/>
      </c>
    </row>
    <row r="646" spans="3:19" x14ac:dyDescent="0.2">
      <c r="C646" s="26">
        <f>_xlfn.XLOOKUP(B646,Lists!B:B,Lists!A:A,"")</f>
        <v>0</v>
      </c>
      <c r="G646" s="26" t="str">
        <f t="shared" si="41"/>
        <v/>
      </c>
      <c r="H646" s="31" t="str">
        <f t="shared" si="42"/>
        <v/>
      </c>
      <c r="J646" s="27" t="str">
        <f>IF(I646="","",_xlfn.XLOOKUP(I646,Lists!$C:$C,Lists!$D:$D))</f>
        <v/>
      </c>
      <c r="N646" s="26" t="str">
        <f t="shared" si="43"/>
        <v/>
      </c>
      <c r="O646" s="27" t="str">
        <f>IF(I646="","",_xlfn.XLOOKUP(I646,Lists!$C:$C,Lists!$J:$J))</f>
        <v/>
      </c>
      <c r="P646" s="27" t="str">
        <f>IF(I646="","",_xlfn.XLOOKUP(I646,Lists!$C:$C,Lists!$E:$E))</f>
        <v/>
      </c>
      <c r="Q646" s="28" t="str">
        <f t="shared" si="44"/>
        <v/>
      </c>
      <c r="R646" s="26" t="str">
        <f t="shared" ca="1" si="45"/>
        <v/>
      </c>
      <c r="S646" s="27" t="str">
        <f>IF(I646="","",_xlfn.XLOOKUP(I646,Lists!$C:$C,Lists!$I:$I))</f>
        <v/>
      </c>
    </row>
    <row r="647" spans="3:19" x14ac:dyDescent="0.2">
      <c r="C647" s="26">
        <f>_xlfn.XLOOKUP(B647,Lists!B:B,Lists!A:A,"")</f>
        <v>0</v>
      </c>
      <c r="G647" s="26" t="str">
        <f t="shared" si="41"/>
        <v/>
      </c>
      <c r="H647" s="31" t="str">
        <f t="shared" si="42"/>
        <v/>
      </c>
      <c r="J647" s="27" t="str">
        <f>IF(I647="","",_xlfn.XLOOKUP(I647,Lists!$C:$C,Lists!$D:$D))</f>
        <v/>
      </c>
      <c r="N647" s="26" t="str">
        <f t="shared" si="43"/>
        <v/>
      </c>
      <c r="O647" s="27" t="str">
        <f>IF(I647="","",_xlfn.XLOOKUP(I647,Lists!$C:$C,Lists!$J:$J))</f>
        <v/>
      </c>
      <c r="P647" s="27" t="str">
        <f>IF(I647="","",_xlfn.XLOOKUP(I647,Lists!$C:$C,Lists!$E:$E))</f>
        <v/>
      </c>
      <c r="Q647" s="28" t="str">
        <f t="shared" si="44"/>
        <v/>
      </c>
      <c r="R647" s="26" t="str">
        <f t="shared" ca="1" si="45"/>
        <v/>
      </c>
      <c r="S647" s="27" t="str">
        <f>IF(I647="","",_xlfn.XLOOKUP(I647,Lists!$C:$C,Lists!$I:$I))</f>
        <v/>
      </c>
    </row>
    <row r="648" spans="3:19" x14ac:dyDescent="0.2">
      <c r="C648" s="26">
        <f>_xlfn.XLOOKUP(B648,Lists!B:B,Lists!A:A,"")</f>
        <v>0</v>
      </c>
      <c r="G648" s="26" t="str">
        <f t="shared" si="41"/>
        <v/>
      </c>
      <c r="H648" s="31" t="str">
        <f t="shared" si="42"/>
        <v/>
      </c>
      <c r="J648" s="27" t="str">
        <f>IF(I648="","",_xlfn.XLOOKUP(I648,Lists!$C:$C,Lists!$D:$D))</f>
        <v/>
      </c>
      <c r="N648" s="26" t="str">
        <f t="shared" si="43"/>
        <v/>
      </c>
      <c r="O648" s="27" t="str">
        <f>IF(I648="","",_xlfn.XLOOKUP(I648,Lists!$C:$C,Lists!$J:$J))</f>
        <v/>
      </c>
      <c r="P648" s="27" t="str">
        <f>IF(I648="","",_xlfn.XLOOKUP(I648,Lists!$C:$C,Lists!$E:$E))</f>
        <v/>
      </c>
      <c r="Q648" s="28" t="str">
        <f t="shared" si="44"/>
        <v/>
      </c>
      <c r="R648" s="26" t="str">
        <f t="shared" ca="1" si="45"/>
        <v/>
      </c>
      <c r="S648" s="27" t="str">
        <f>IF(I648="","",_xlfn.XLOOKUP(I648,Lists!$C:$C,Lists!$I:$I))</f>
        <v/>
      </c>
    </row>
    <row r="649" spans="3:19" x14ac:dyDescent="0.2">
      <c r="C649" s="26">
        <f>_xlfn.XLOOKUP(B649,Lists!B:B,Lists!A:A,"")</f>
        <v>0</v>
      </c>
      <c r="G649" s="26" t="str">
        <f t="shared" si="41"/>
        <v/>
      </c>
      <c r="H649" s="31" t="str">
        <f t="shared" si="42"/>
        <v/>
      </c>
      <c r="J649" s="27" t="str">
        <f>IF(I649="","",_xlfn.XLOOKUP(I649,Lists!$C:$C,Lists!$D:$D))</f>
        <v/>
      </c>
      <c r="N649" s="26" t="str">
        <f t="shared" si="43"/>
        <v/>
      </c>
      <c r="O649" s="27" t="str">
        <f>IF(I649="","",_xlfn.XLOOKUP(I649,Lists!$C:$C,Lists!$J:$J))</f>
        <v/>
      </c>
      <c r="P649" s="27" t="str">
        <f>IF(I649="","",_xlfn.XLOOKUP(I649,Lists!$C:$C,Lists!$E:$E))</f>
        <v/>
      </c>
      <c r="Q649" s="28" t="str">
        <f t="shared" si="44"/>
        <v/>
      </c>
      <c r="R649" s="26" t="str">
        <f t="shared" ca="1" si="45"/>
        <v/>
      </c>
      <c r="S649" s="27" t="str">
        <f>IF(I649="","",_xlfn.XLOOKUP(I649,Lists!$C:$C,Lists!$I:$I))</f>
        <v/>
      </c>
    </row>
    <row r="650" spans="3:19" x14ac:dyDescent="0.2">
      <c r="C650" s="26">
        <f>_xlfn.XLOOKUP(B650,Lists!B:B,Lists!A:A,"")</f>
        <v>0</v>
      </c>
      <c r="G650" s="26" t="str">
        <f t="shared" si="41"/>
        <v/>
      </c>
      <c r="H650" s="31" t="str">
        <f t="shared" si="42"/>
        <v/>
      </c>
      <c r="J650" s="27" t="str">
        <f>IF(I650="","",_xlfn.XLOOKUP(I650,Lists!$C:$C,Lists!$D:$D))</f>
        <v/>
      </c>
      <c r="N650" s="26" t="str">
        <f t="shared" si="43"/>
        <v/>
      </c>
      <c r="O650" s="27" t="str">
        <f>IF(I650="","",_xlfn.XLOOKUP(I650,Lists!$C:$C,Lists!$J:$J))</f>
        <v/>
      </c>
      <c r="P650" s="27" t="str">
        <f>IF(I650="","",_xlfn.XLOOKUP(I650,Lists!$C:$C,Lists!$E:$E))</f>
        <v/>
      </c>
      <c r="Q650" s="28" t="str">
        <f t="shared" si="44"/>
        <v/>
      </c>
      <c r="R650" s="26" t="str">
        <f t="shared" ca="1" si="45"/>
        <v/>
      </c>
      <c r="S650" s="27" t="str">
        <f>IF(I650="","",_xlfn.XLOOKUP(I650,Lists!$C:$C,Lists!$I:$I))</f>
        <v/>
      </c>
    </row>
    <row r="651" spans="3:19" x14ac:dyDescent="0.2">
      <c r="C651" s="26">
        <f>_xlfn.XLOOKUP(B651,Lists!B:B,Lists!A:A,"")</f>
        <v>0</v>
      </c>
      <c r="G651" s="26" t="str">
        <f t="shared" si="41"/>
        <v/>
      </c>
      <c r="H651" s="31" t="str">
        <f t="shared" si="42"/>
        <v/>
      </c>
      <c r="J651" s="27" t="str">
        <f>IF(I651="","",_xlfn.XLOOKUP(I651,Lists!$C:$C,Lists!$D:$D))</f>
        <v/>
      </c>
      <c r="N651" s="26" t="str">
        <f t="shared" si="43"/>
        <v/>
      </c>
      <c r="O651" s="27" t="str">
        <f>IF(I651="","",_xlfn.XLOOKUP(I651,Lists!$C:$C,Lists!$J:$J))</f>
        <v/>
      </c>
      <c r="P651" s="27" t="str">
        <f>IF(I651="","",_xlfn.XLOOKUP(I651,Lists!$C:$C,Lists!$E:$E))</f>
        <v/>
      </c>
      <c r="Q651" s="28" t="str">
        <f t="shared" si="44"/>
        <v/>
      </c>
      <c r="R651" s="26" t="str">
        <f t="shared" ca="1" si="45"/>
        <v/>
      </c>
      <c r="S651" s="27" t="str">
        <f>IF(I651="","",_xlfn.XLOOKUP(I651,Lists!$C:$C,Lists!$I:$I))</f>
        <v/>
      </c>
    </row>
    <row r="652" spans="3:19" x14ac:dyDescent="0.2">
      <c r="C652" s="26">
        <f>_xlfn.XLOOKUP(B652,Lists!B:B,Lists!A:A,"")</f>
        <v>0</v>
      </c>
      <c r="G652" s="26" t="str">
        <f t="shared" si="41"/>
        <v/>
      </c>
      <c r="H652" s="31" t="str">
        <f t="shared" si="42"/>
        <v/>
      </c>
      <c r="J652" s="27" t="str">
        <f>IF(I652="","",_xlfn.XLOOKUP(I652,Lists!$C:$C,Lists!$D:$D))</f>
        <v/>
      </c>
      <c r="N652" s="26" t="str">
        <f t="shared" si="43"/>
        <v/>
      </c>
      <c r="O652" s="27" t="str">
        <f>IF(I652="","",_xlfn.XLOOKUP(I652,Lists!$C:$C,Lists!$J:$J))</f>
        <v/>
      </c>
      <c r="P652" s="27" t="str">
        <f>IF(I652="","",_xlfn.XLOOKUP(I652,Lists!$C:$C,Lists!$E:$E))</f>
        <v/>
      </c>
      <c r="Q652" s="28" t="str">
        <f t="shared" si="44"/>
        <v/>
      </c>
      <c r="R652" s="26" t="str">
        <f t="shared" ca="1" si="45"/>
        <v/>
      </c>
      <c r="S652" s="27" t="str">
        <f>IF(I652="","",_xlfn.XLOOKUP(I652,Lists!$C:$C,Lists!$I:$I))</f>
        <v/>
      </c>
    </row>
    <row r="653" spans="3:19" x14ac:dyDescent="0.2">
      <c r="C653" s="26">
        <f>_xlfn.XLOOKUP(B653,Lists!B:B,Lists!A:A,"")</f>
        <v>0</v>
      </c>
      <c r="G653" s="26" t="str">
        <f t="shared" si="41"/>
        <v/>
      </c>
      <c r="H653" s="31" t="str">
        <f t="shared" si="42"/>
        <v/>
      </c>
      <c r="J653" s="27" t="str">
        <f>IF(I653="","",_xlfn.XLOOKUP(I653,Lists!$C:$C,Lists!$D:$D))</f>
        <v/>
      </c>
      <c r="N653" s="26" t="str">
        <f t="shared" si="43"/>
        <v/>
      </c>
      <c r="O653" s="27" t="str">
        <f>IF(I653="","",_xlfn.XLOOKUP(I653,Lists!$C:$C,Lists!$J:$J))</f>
        <v/>
      </c>
      <c r="P653" s="27" t="str">
        <f>IF(I653="","",_xlfn.XLOOKUP(I653,Lists!$C:$C,Lists!$E:$E))</f>
        <v/>
      </c>
      <c r="Q653" s="28" t="str">
        <f t="shared" si="44"/>
        <v/>
      </c>
      <c r="R653" s="26" t="str">
        <f t="shared" ca="1" si="45"/>
        <v/>
      </c>
      <c r="S653" s="27" t="str">
        <f>IF(I653="","",_xlfn.XLOOKUP(I653,Lists!$C:$C,Lists!$I:$I))</f>
        <v/>
      </c>
    </row>
    <row r="654" spans="3:19" x14ac:dyDescent="0.2">
      <c r="C654" s="26">
        <f>_xlfn.XLOOKUP(B654,Lists!B:B,Lists!A:A,"")</f>
        <v>0</v>
      </c>
      <c r="G654" s="26" t="str">
        <f t="shared" si="41"/>
        <v/>
      </c>
      <c r="H654" s="31" t="str">
        <f t="shared" si="42"/>
        <v/>
      </c>
      <c r="J654" s="27" t="str">
        <f>IF(I654="","",_xlfn.XLOOKUP(I654,Lists!$C:$C,Lists!$D:$D))</f>
        <v/>
      </c>
      <c r="N654" s="26" t="str">
        <f t="shared" si="43"/>
        <v/>
      </c>
      <c r="O654" s="27" t="str">
        <f>IF(I654="","",_xlfn.XLOOKUP(I654,Lists!$C:$C,Lists!$J:$J))</f>
        <v/>
      </c>
      <c r="P654" s="27" t="str">
        <f>IF(I654="","",_xlfn.XLOOKUP(I654,Lists!$C:$C,Lists!$E:$E))</f>
        <v/>
      </c>
      <c r="Q654" s="28" t="str">
        <f t="shared" si="44"/>
        <v/>
      </c>
      <c r="R654" s="26" t="str">
        <f t="shared" ca="1" si="45"/>
        <v/>
      </c>
      <c r="S654" s="27" t="str">
        <f>IF(I654="","",_xlfn.XLOOKUP(I654,Lists!$C:$C,Lists!$I:$I))</f>
        <v/>
      </c>
    </row>
    <row r="655" spans="3:19" x14ac:dyDescent="0.2">
      <c r="C655" s="26">
        <f>_xlfn.XLOOKUP(B655,Lists!B:B,Lists!A:A,"")</f>
        <v>0</v>
      </c>
      <c r="G655" s="26" t="str">
        <f t="shared" si="41"/>
        <v/>
      </c>
      <c r="H655" s="31" t="str">
        <f t="shared" si="42"/>
        <v/>
      </c>
      <c r="J655" s="27" t="str">
        <f>IF(I655="","",_xlfn.XLOOKUP(I655,Lists!$C:$C,Lists!$D:$D))</f>
        <v/>
      </c>
      <c r="N655" s="26" t="str">
        <f t="shared" si="43"/>
        <v/>
      </c>
      <c r="O655" s="27" t="str">
        <f>IF(I655="","",_xlfn.XLOOKUP(I655,Lists!$C:$C,Lists!$J:$J))</f>
        <v/>
      </c>
      <c r="P655" s="27" t="str">
        <f>IF(I655="","",_xlfn.XLOOKUP(I655,Lists!$C:$C,Lists!$E:$E))</f>
        <v/>
      </c>
      <c r="Q655" s="28" t="str">
        <f t="shared" si="44"/>
        <v/>
      </c>
      <c r="R655" s="26" t="str">
        <f t="shared" ca="1" si="45"/>
        <v/>
      </c>
      <c r="S655" s="27" t="str">
        <f>IF(I655="","",_xlfn.XLOOKUP(I655,Lists!$C:$C,Lists!$I:$I))</f>
        <v/>
      </c>
    </row>
    <row r="656" spans="3:19" x14ac:dyDescent="0.2">
      <c r="C656" s="26">
        <f>_xlfn.XLOOKUP(B656,Lists!B:B,Lists!A:A,"")</f>
        <v>0</v>
      </c>
      <c r="G656" s="26" t="str">
        <f t="shared" si="41"/>
        <v/>
      </c>
      <c r="H656" s="31" t="str">
        <f t="shared" si="42"/>
        <v/>
      </c>
      <c r="J656" s="27" t="str">
        <f>IF(I656="","",_xlfn.XLOOKUP(I656,Lists!$C:$C,Lists!$D:$D))</f>
        <v/>
      </c>
      <c r="N656" s="26" t="str">
        <f t="shared" si="43"/>
        <v/>
      </c>
      <c r="O656" s="27" t="str">
        <f>IF(I656="","",_xlfn.XLOOKUP(I656,Lists!$C:$C,Lists!$J:$J))</f>
        <v/>
      </c>
      <c r="P656" s="27" t="str">
        <f>IF(I656="","",_xlfn.XLOOKUP(I656,Lists!$C:$C,Lists!$E:$E))</f>
        <v/>
      </c>
      <c r="Q656" s="28" t="str">
        <f t="shared" si="44"/>
        <v/>
      </c>
      <c r="R656" s="26" t="str">
        <f t="shared" ca="1" si="45"/>
        <v/>
      </c>
      <c r="S656" s="27" t="str">
        <f>IF(I656="","",_xlfn.XLOOKUP(I656,Lists!$C:$C,Lists!$I:$I))</f>
        <v/>
      </c>
    </row>
    <row r="657" spans="3:19" x14ac:dyDescent="0.2">
      <c r="C657" s="26">
        <f>_xlfn.XLOOKUP(B657,Lists!B:B,Lists!A:A,"")</f>
        <v>0</v>
      </c>
      <c r="G657" s="26" t="str">
        <f t="shared" si="41"/>
        <v/>
      </c>
      <c r="H657" s="31" t="str">
        <f t="shared" si="42"/>
        <v/>
      </c>
      <c r="J657" s="27" t="str">
        <f>IF(I657="","",_xlfn.XLOOKUP(I657,Lists!$C:$C,Lists!$D:$D))</f>
        <v/>
      </c>
      <c r="N657" s="26" t="str">
        <f t="shared" si="43"/>
        <v/>
      </c>
      <c r="O657" s="27" t="str">
        <f>IF(I657="","",_xlfn.XLOOKUP(I657,Lists!$C:$C,Lists!$J:$J))</f>
        <v/>
      </c>
      <c r="P657" s="27" t="str">
        <f>IF(I657="","",_xlfn.XLOOKUP(I657,Lists!$C:$C,Lists!$E:$E))</f>
        <v/>
      </c>
      <c r="Q657" s="28" t="str">
        <f t="shared" si="44"/>
        <v/>
      </c>
      <c r="R657" s="26" t="str">
        <f t="shared" ca="1" si="45"/>
        <v/>
      </c>
      <c r="S657" s="27" t="str">
        <f>IF(I657="","",_xlfn.XLOOKUP(I657,Lists!$C:$C,Lists!$I:$I))</f>
        <v/>
      </c>
    </row>
    <row r="658" spans="3:19" x14ac:dyDescent="0.2">
      <c r="C658" s="26">
        <f>_xlfn.XLOOKUP(B658,Lists!B:B,Lists!A:A,"")</f>
        <v>0</v>
      </c>
      <c r="G658" s="26" t="str">
        <f t="shared" si="41"/>
        <v/>
      </c>
      <c r="H658" s="31" t="str">
        <f t="shared" si="42"/>
        <v/>
      </c>
      <c r="J658" s="27" t="str">
        <f>IF(I658="","",_xlfn.XLOOKUP(I658,Lists!$C:$C,Lists!$D:$D))</f>
        <v/>
      </c>
      <c r="N658" s="26" t="str">
        <f t="shared" si="43"/>
        <v/>
      </c>
      <c r="O658" s="27" t="str">
        <f>IF(I658="","",_xlfn.XLOOKUP(I658,Lists!$C:$C,Lists!$J:$J))</f>
        <v/>
      </c>
      <c r="P658" s="27" t="str">
        <f>IF(I658="","",_xlfn.XLOOKUP(I658,Lists!$C:$C,Lists!$E:$E))</f>
        <v/>
      </c>
      <c r="Q658" s="28" t="str">
        <f t="shared" si="44"/>
        <v/>
      </c>
      <c r="R658" s="26" t="str">
        <f t="shared" ca="1" si="45"/>
        <v/>
      </c>
      <c r="S658" s="27" t="str">
        <f>IF(I658="","",_xlfn.XLOOKUP(I658,Lists!$C:$C,Lists!$I:$I))</f>
        <v/>
      </c>
    </row>
    <row r="659" spans="3:19" x14ac:dyDescent="0.2">
      <c r="C659" s="26">
        <f>_xlfn.XLOOKUP(B659,Lists!B:B,Lists!A:A,"")</f>
        <v>0</v>
      </c>
      <c r="G659" s="26" t="str">
        <f t="shared" si="41"/>
        <v/>
      </c>
      <c r="H659" s="31" t="str">
        <f t="shared" si="42"/>
        <v/>
      </c>
      <c r="J659" s="27" t="str">
        <f>IF(I659="","",_xlfn.XLOOKUP(I659,Lists!$C:$C,Lists!$D:$D))</f>
        <v/>
      </c>
      <c r="N659" s="26" t="str">
        <f t="shared" si="43"/>
        <v/>
      </c>
      <c r="O659" s="27" t="str">
        <f>IF(I659="","",_xlfn.XLOOKUP(I659,Lists!$C:$C,Lists!$J:$J))</f>
        <v/>
      </c>
      <c r="P659" s="27" t="str">
        <f>IF(I659="","",_xlfn.XLOOKUP(I659,Lists!$C:$C,Lists!$E:$E))</f>
        <v/>
      </c>
      <c r="Q659" s="28" t="str">
        <f t="shared" si="44"/>
        <v/>
      </c>
      <c r="R659" s="26" t="str">
        <f t="shared" ca="1" si="45"/>
        <v/>
      </c>
      <c r="S659" s="27" t="str">
        <f>IF(I659="","",_xlfn.XLOOKUP(I659,Lists!$C:$C,Lists!$I:$I))</f>
        <v/>
      </c>
    </row>
    <row r="660" spans="3:19" x14ac:dyDescent="0.2">
      <c r="C660" s="26">
        <f>_xlfn.XLOOKUP(B660,Lists!B:B,Lists!A:A,"")</f>
        <v>0</v>
      </c>
      <c r="G660" s="26" t="str">
        <f t="shared" si="41"/>
        <v/>
      </c>
      <c r="H660" s="31" t="str">
        <f t="shared" si="42"/>
        <v/>
      </c>
      <c r="J660" s="27" t="str">
        <f>IF(I660="","",_xlfn.XLOOKUP(I660,Lists!$C:$C,Lists!$D:$D))</f>
        <v/>
      </c>
      <c r="N660" s="26" t="str">
        <f t="shared" si="43"/>
        <v/>
      </c>
      <c r="O660" s="27" t="str">
        <f>IF(I660="","",_xlfn.XLOOKUP(I660,Lists!$C:$C,Lists!$J:$J))</f>
        <v/>
      </c>
      <c r="P660" s="27" t="str">
        <f>IF(I660="","",_xlfn.XLOOKUP(I660,Lists!$C:$C,Lists!$E:$E))</f>
        <v/>
      </c>
      <c r="Q660" s="28" t="str">
        <f t="shared" si="44"/>
        <v/>
      </c>
      <c r="R660" s="26" t="str">
        <f t="shared" ca="1" si="45"/>
        <v/>
      </c>
      <c r="S660" s="27" t="str">
        <f>IF(I660="","",_xlfn.XLOOKUP(I660,Lists!$C:$C,Lists!$I:$I))</f>
        <v/>
      </c>
    </row>
    <row r="661" spans="3:19" x14ac:dyDescent="0.2">
      <c r="C661" s="26">
        <f>_xlfn.XLOOKUP(B661,Lists!B:B,Lists!A:A,"")</f>
        <v>0</v>
      </c>
      <c r="G661" s="26" t="str">
        <f t="shared" si="41"/>
        <v/>
      </c>
      <c r="H661" s="31" t="str">
        <f t="shared" si="42"/>
        <v/>
      </c>
      <c r="J661" s="27" t="str">
        <f>IF(I661="","",_xlfn.XLOOKUP(I661,Lists!$C:$C,Lists!$D:$D))</f>
        <v/>
      </c>
      <c r="N661" s="26" t="str">
        <f t="shared" si="43"/>
        <v/>
      </c>
      <c r="O661" s="27" t="str">
        <f>IF(I661="","",_xlfn.XLOOKUP(I661,Lists!$C:$C,Lists!$J:$J))</f>
        <v/>
      </c>
      <c r="P661" s="27" t="str">
        <f>IF(I661="","",_xlfn.XLOOKUP(I661,Lists!$C:$C,Lists!$E:$E))</f>
        <v/>
      </c>
      <c r="Q661" s="28" t="str">
        <f t="shared" si="44"/>
        <v/>
      </c>
      <c r="R661" s="26" t="str">
        <f t="shared" ca="1" si="45"/>
        <v/>
      </c>
      <c r="S661" s="27" t="str">
        <f>IF(I661="","",_xlfn.XLOOKUP(I661,Lists!$C:$C,Lists!$I:$I))</f>
        <v/>
      </c>
    </row>
    <row r="662" spans="3:19" x14ac:dyDescent="0.2">
      <c r="C662" s="26">
        <f>_xlfn.XLOOKUP(B662,Lists!B:B,Lists!A:A,"")</f>
        <v>0</v>
      </c>
      <c r="G662" s="26" t="str">
        <f t="shared" si="41"/>
        <v/>
      </c>
      <c r="H662" s="31" t="str">
        <f t="shared" si="42"/>
        <v/>
      </c>
      <c r="J662" s="27" t="str">
        <f>IF(I662="","",_xlfn.XLOOKUP(I662,Lists!$C:$C,Lists!$D:$D))</f>
        <v/>
      </c>
      <c r="N662" s="26" t="str">
        <f t="shared" si="43"/>
        <v/>
      </c>
      <c r="O662" s="27" t="str">
        <f>IF(I662="","",_xlfn.XLOOKUP(I662,Lists!$C:$C,Lists!$J:$J))</f>
        <v/>
      </c>
      <c r="P662" s="27" t="str">
        <f>IF(I662="","",_xlfn.XLOOKUP(I662,Lists!$C:$C,Lists!$E:$E))</f>
        <v/>
      </c>
      <c r="Q662" s="28" t="str">
        <f t="shared" si="44"/>
        <v/>
      </c>
      <c r="R662" s="26" t="str">
        <f t="shared" ca="1" si="45"/>
        <v/>
      </c>
      <c r="S662" s="27" t="str">
        <f>IF(I662="","",_xlfn.XLOOKUP(I662,Lists!$C:$C,Lists!$I:$I))</f>
        <v/>
      </c>
    </row>
    <row r="663" spans="3:19" x14ac:dyDescent="0.2">
      <c r="C663" s="26">
        <f>_xlfn.XLOOKUP(B663,Lists!B:B,Lists!A:A,"")</f>
        <v>0</v>
      </c>
      <c r="G663" s="26" t="str">
        <f t="shared" si="41"/>
        <v/>
      </c>
      <c r="H663" s="31" t="str">
        <f t="shared" si="42"/>
        <v/>
      </c>
      <c r="J663" s="27" t="str">
        <f>IF(I663="","",_xlfn.XLOOKUP(I663,Lists!$C:$C,Lists!$D:$D))</f>
        <v/>
      </c>
      <c r="N663" s="26" t="str">
        <f t="shared" si="43"/>
        <v/>
      </c>
      <c r="O663" s="27" t="str">
        <f>IF(I663="","",_xlfn.XLOOKUP(I663,Lists!$C:$C,Lists!$J:$J))</f>
        <v/>
      </c>
      <c r="P663" s="27" t="str">
        <f>IF(I663="","",_xlfn.XLOOKUP(I663,Lists!$C:$C,Lists!$E:$E))</f>
        <v/>
      </c>
      <c r="Q663" s="28" t="str">
        <f t="shared" si="44"/>
        <v/>
      </c>
      <c r="R663" s="26" t="str">
        <f t="shared" ca="1" si="45"/>
        <v/>
      </c>
      <c r="S663" s="27" t="str">
        <f>IF(I663="","",_xlfn.XLOOKUP(I663,Lists!$C:$C,Lists!$I:$I))</f>
        <v/>
      </c>
    </row>
    <row r="664" spans="3:19" x14ac:dyDescent="0.2">
      <c r="C664" s="26">
        <f>_xlfn.XLOOKUP(B664,Lists!B:B,Lists!A:A,"")</f>
        <v>0</v>
      </c>
      <c r="G664" s="26" t="str">
        <f t="shared" si="41"/>
        <v/>
      </c>
      <c r="H664" s="31" t="str">
        <f t="shared" si="42"/>
        <v/>
      </c>
      <c r="J664" s="27" t="str">
        <f>IF(I664="","",_xlfn.XLOOKUP(I664,Lists!$C:$C,Lists!$D:$D))</f>
        <v/>
      </c>
      <c r="N664" s="26" t="str">
        <f t="shared" si="43"/>
        <v/>
      </c>
      <c r="O664" s="27" t="str">
        <f>IF(I664="","",_xlfn.XLOOKUP(I664,Lists!$C:$C,Lists!$J:$J))</f>
        <v/>
      </c>
      <c r="P664" s="27" t="str">
        <f>IF(I664="","",_xlfn.XLOOKUP(I664,Lists!$C:$C,Lists!$E:$E))</f>
        <v/>
      </c>
      <c r="Q664" s="28" t="str">
        <f t="shared" si="44"/>
        <v/>
      </c>
      <c r="R664" s="26" t="str">
        <f t="shared" ca="1" si="45"/>
        <v/>
      </c>
      <c r="S664" s="27" t="str">
        <f>IF(I664="","",_xlfn.XLOOKUP(I664,Lists!$C:$C,Lists!$I:$I))</f>
        <v/>
      </c>
    </row>
    <row r="665" spans="3:19" x14ac:dyDescent="0.2">
      <c r="C665" s="26">
        <f>_xlfn.XLOOKUP(B665,Lists!B:B,Lists!A:A,"")</f>
        <v>0</v>
      </c>
      <c r="G665" s="26" t="str">
        <f t="shared" si="41"/>
        <v/>
      </c>
      <c r="H665" s="31" t="str">
        <f t="shared" si="42"/>
        <v/>
      </c>
      <c r="J665" s="27" t="str">
        <f>IF(I665="","",_xlfn.XLOOKUP(I665,Lists!$C:$C,Lists!$D:$D))</f>
        <v/>
      </c>
      <c r="N665" s="26" t="str">
        <f t="shared" si="43"/>
        <v/>
      </c>
      <c r="O665" s="27" t="str">
        <f>IF(I665="","",_xlfn.XLOOKUP(I665,Lists!$C:$C,Lists!$J:$J))</f>
        <v/>
      </c>
      <c r="P665" s="27" t="str">
        <f>IF(I665="","",_xlfn.XLOOKUP(I665,Lists!$C:$C,Lists!$E:$E))</f>
        <v/>
      </c>
      <c r="Q665" s="28" t="str">
        <f t="shared" si="44"/>
        <v/>
      </c>
      <c r="R665" s="26" t="str">
        <f t="shared" ca="1" si="45"/>
        <v/>
      </c>
      <c r="S665" s="27" t="str">
        <f>IF(I665="","",_xlfn.XLOOKUP(I665,Lists!$C:$C,Lists!$I:$I))</f>
        <v/>
      </c>
    </row>
    <row r="666" spans="3:19" x14ac:dyDescent="0.2">
      <c r="C666" s="26">
        <f>_xlfn.XLOOKUP(B666,Lists!B:B,Lists!A:A,"")</f>
        <v>0</v>
      </c>
      <c r="G666" s="26" t="str">
        <f t="shared" si="41"/>
        <v/>
      </c>
      <c r="H666" s="31" t="str">
        <f t="shared" si="42"/>
        <v/>
      </c>
      <c r="J666" s="27" t="str">
        <f>IF(I666="","",_xlfn.XLOOKUP(I666,Lists!$C:$C,Lists!$D:$D))</f>
        <v/>
      </c>
      <c r="N666" s="26" t="str">
        <f t="shared" si="43"/>
        <v/>
      </c>
      <c r="O666" s="27" t="str">
        <f>IF(I666="","",_xlfn.XLOOKUP(I666,Lists!$C:$C,Lists!$J:$J))</f>
        <v/>
      </c>
      <c r="P666" s="27" t="str">
        <f>IF(I666="","",_xlfn.XLOOKUP(I666,Lists!$C:$C,Lists!$E:$E))</f>
        <v/>
      </c>
      <c r="Q666" s="28" t="str">
        <f t="shared" si="44"/>
        <v/>
      </c>
      <c r="R666" s="26" t="str">
        <f t="shared" ca="1" si="45"/>
        <v/>
      </c>
      <c r="S666" s="27" t="str">
        <f>IF(I666="","",_xlfn.XLOOKUP(I666,Lists!$C:$C,Lists!$I:$I))</f>
        <v/>
      </c>
    </row>
    <row r="667" spans="3:19" x14ac:dyDescent="0.2">
      <c r="C667" s="26">
        <f>_xlfn.XLOOKUP(B667,Lists!B:B,Lists!A:A,"")</f>
        <v>0</v>
      </c>
      <c r="G667" s="26" t="str">
        <f t="shared" ref="G667:G730" si="46">IF(OR(E667="",F667=""),"",F667-E667+1)</f>
        <v/>
      </c>
      <c r="H667" s="31" t="str">
        <f t="shared" ref="H667:H730" si="47">IF(D667="","",IF(OR(D667="A",D667="B"),G667/80,IF(D667="A&amp;B",G667/160,"")))</f>
        <v/>
      </c>
      <c r="J667" s="27" t="str">
        <f>IF(I667="","",_xlfn.XLOOKUP(I667,Lists!$C:$C,Lists!$D:$D))</f>
        <v/>
      </c>
      <c r="N667" s="26" t="str">
        <f t="shared" ref="N667:N730" si="48">IF(OR(M667="",L667=""),"",(M667*L667)/100000)</f>
        <v/>
      </c>
      <c r="O667" s="27" t="str">
        <f>IF(I667="","",_xlfn.XLOOKUP(I667,Lists!$C:$C,Lists!$J:$J))</f>
        <v/>
      </c>
      <c r="P667" s="27" t="str">
        <f>IF(I667="","",_xlfn.XLOOKUP(I667,Lists!$C:$C,Lists!$E:$E))</f>
        <v/>
      </c>
      <c r="Q667" s="28" t="str">
        <f t="shared" ref="Q667:Q730" si="49">IF(OR(A667="",P667=""),"",A667+P667+1)</f>
        <v/>
      </c>
      <c r="R667" s="26" t="str">
        <f t="shared" ref="R667:R730" ca="1" si="50">IF(Q667="","",IF(Q667&lt;=TODAY(),"Allow","Not Allow"))</f>
        <v/>
      </c>
      <c r="S667" s="27" t="str">
        <f>IF(I667="","",_xlfn.XLOOKUP(I667,Lists!$C:$C,Lists!$I:$I))</f>
        <v/>
      </c>
    </row>
    <row r="668" spans="3:19" x14ac:dyDescent="0.2">
      <c r="C668" s="26">
        <f>_xlfn.XLOOKUP(B668,Lists!B:B,Lists!A:A,"")</f>
        <v>0</v>
      </c>
      <c r="G668" s="26" t="str">
        <f t="shared" si="46"/>
        <v/>
      </c>
      <c r="H668" s="31" t="str">
        <f t="shared" si="47"/>
        <v/>
      </c>
      <c r="J668" s="27" t="str">
        <f>IF(I668="","",_xlfn.XLOOKUP(I668,Lists!$C:$C,Lists!$D:$D))</f>
        <v/>
      </c>
      <c r="N668" s="26" t="str">
        <f t="shared" si="48"/>
        <v/>
      </c>
      <c r="O668" s="27" t="str">
        <f>IF(I668="","",_xlfn.XLOOKUP(I668,Lists!$C:$C,Lists!$J:$J))</f>
        <v/>
      </c>
      <c r="P668" s="27" t="str">
        <f>IF(I668="","",_xlfn.XLOOKUP(I668,Lists!$C:$C,Lists!$E:$E))</f>
        <v/>
      </c>
      <c r="Q668" s="28" t="str">
        <f t="shared" si="49"/>
        <v/>
      </c>
      <c r="R668" s="26" t="str">
        <f t="shared" ca="1" si="50"/>
        <v/>
      </c>
      <c r="S668" s="27" t="str">
        <f>IF(I668="","",_xlfn.XLOOKUP(I668,Lists!$C:$C,Lists!$I:$I))</f>
        <v/>
      </c>
    </row>
    <row r="669" spans="3:19" x14ac:dyDescent="0.2">
      <c r="C669" s="26">
        <f>_xlfn.XLOOKUP(B669,Lists!B:B,Lists!A:A,"")</f>
        <v>0</v>
      </c>
      <c r="G669" s="26" t="str">
        <f t="shared" si="46"/>
        <v/>
      </c>
      <c r="H669" s="31" t="str">
        <f t="shared" si="47"/>
        <v/>
      </c>
      <c r="J669" s="27" t="str">
        <f>IF(I669="","",_xlfn.XLOOKUP(I669,Lists!$C:$C,Lists!$D:$D))</f>
        <v/>
      </c>
      <c r="N669" s="26" t="str">
        <f t="shared" si="48"/>
        <v/>
      </c>
      <c r="O669" s="27" t="str">
        <f>IF(I669="","",_xlfn.XLOOKUP(I669,Lists!$C:$C,Lists!$J:$J))</f>
        <v/>
      </c>
      <c r="P669" s="27" t="str">
        <f>IF(I669="","",_xlfn.XLOOKUP(I669,Lists!$C:$C,Lists!$E:$E))</f>
        <v/>
      </c>
      <c r="Q669" s="28" t="str">
        <f t="shared" si="49"/>
        <v/>
      </c>
      <c r="R669" s="26" t="str">
        <f t="shared" ca="1" si="50"/>
        <v/>
      </c>
      <c r="S669" s="27" t="str">
        <f>IF(I669="","",_xlfn.XLOOKUP(I669,Lists!$C:$C,Lists!$I:$I))</f>
        <v/>
      </c>
    </row>
    <row r="670" spans="3:19" x14ac:dyDescent="0.2">
      <c r="C670" s="26">
        <f>_xlfn.XLOOKUP(B670,Lists!B:B,Lists!A:A,"")</f>
        <v>0</v>
      </c>
      <c r="G670" s="26" t="str">
        <f t="shared" si="46"/>
        <v/>
      </c>
      <c r="H670" s="31" t="str">
        <f t="shared" si="47"/>
        <v/>
      </c>
      <c r="J670" s="27" t="str">
        <f>IF(I670="","",_xlfn.XLOOKUP(I670,Lists!$C:$C,Lists!$D:$D))</f>
        <v/>
      </c>
      <c r="N670" s="26" t="str">
        <f t="shared" si="48"/>
        <v/>
      </c>
      <c r="O670" s="27" t="str">
        <f>IF(I670="","",_xlfn.XLOOKUP(I670,Lists!$C:$C,Lists!$J:$J))</f>
        <v/>
      </c>
      <c r="P670" s="27" t="str">
        <f>IF(I670="","",_xlfn.XLOOKUP(I670,Lists!$C:$C,Lists!$E:$E))</f>
        <v/>
      </c>
      <c r="Q670" s="28" t="str">
        <f t="shared" si="49"/>
        <v/>
      </c>
      <c r="R670" s="26" t="str">
        <f t="shared" ca="1" si="50"/>
        <v/>
      </c>
      <c r="S670" s="27" t="str">
        <f>IF(I670="","",_xlfn.XLOOKUP(I670,Lists!$C:$C,Lists!$I:$I))</f>
        <v/>
      </c>
    </row>
    <row r="671" spans="3:19" x14ac:dyDescent="0.2">
      <c r="C671" s="26">
        <f>_xlfn.XLOOKUP(B671,Lists!B:B,Lists!A:A,"")</f>
        <v>0</v>
      </c>
      <c r="G671" s="26" t="str">
        <f t="shared" si="46"/>
        <v/>
      </c>
      <c r="H671" s="31" t="str">
        <f t="shared" si="47"/>
        <v/>
      </c>
      <c r="J671" s="27" t="str">
        <f>IF(I671="","",_xlfn.XLOOKUP(I671,Lists!$C:$C,Lists!$D:$D))</f>
        <v/>
      </c>
      <c r="N671" s="26" t="str">
        <f t="shared" si="48"/>
        <v/>
      </c>
      <c r="O671" s="27" t="str">
        <f>IF(I671="","",_xlfn.XLOOKUP(I671,Lists!$C:$C,Lists!$J:$J))</f>
        <v/>
      </c>
      <c r="P671" s="27" t="str">
        <f>IF(I671="","",_xlfn.XLOOKUP(I671,Lists!$C:$C,Lists!$E:$E))</f>
        <v/>
      </c>
      <c r="Q671" s="28" t="str">
        <f t="shared" si="49"/>
        <v/>
      </c>
      <c r="R671" s="26" t="str">
        <f t="shared" ca="1" si="50"/>
        <v/>
      </c>
      <c r="S671" s="27" t="str">
        <f>IF(I671="","",_xlfn.XLOOKUP(I671,Lists!$C:$C,Lists!$I:$I))</f>
        <v/>
      </c>
    </row>
    <row r="672" spans="3:19" x14ac:dyDescent="0.2">
      <c r="C672" s="26">
        <f>_xlfn.XLOOKUP(B672,Lists!B:B,Lists!A:A,"")</f>
        <v>0</v>
      </c>
      <c r="G672" s="26" t="str">
        <f t="shared" si="46"/>
        <v/>
      </c>
      <c r="H672" s="31" t="str">
        <f t="shared" si="47"/>
        <v/>
      </c>
      <c r="J672" s="27" t="str">
        <f>IF(I672="","",_xlfn.XLOOKUP(I672,Lists!$C:$C,Lists!$D:$D))</f>
        <v/>
      </c>
      <c r="N672" s="26" t="str">
        <f t="shared" si="48"/>
        <v/>
      </c>
      <c r="O672" s="27" t="str">
        <f>IF(I672="","",_xlfn.XLOOKUP(I672,Lists!$C:$C,Lists!$J:$J))</f>
        <v/>
      </c>
      <c r="P672" s="27" t="str">
        <f>IF(I672="","",_xlfn.XLOOKUP(I672,Lists!$C:$C,Lists!$E:$E))</f>
        <v/>
      </c>
      <c r="Q672" s="28" t="str">
        <f t="shared" si="49"/>
        <v/>
      </c>
      <c r="R672" s="26" t="str">
        <f t="shared" ca="1" si="50"/>
        <v/>
      </c>
      <c r="S672" s="27" t="str">
        <f>IF(I672="","",_xlfn.XLOOKUP(I672,Lists!$C:$C,Lists!$I:$I))</f>
        <v/>
      </c>
    </row>
    <row r="673" spans="3:19" x14ac:dyDescent="0.2">
      <c r="C673" s="26">
        <f>_xlfn.XLOOKUP(B673,Lists!B:B,Lists!A:A,"")</f>
        <v>0</v>
      </c>
      <c r="G673" s="26" t="str">
        <f t="shared" si="46"/>
        <v/>
      </c>
      <c r="H673" s="31" t="str">
        <f t="shared" si="47"/>
        <v/>
      </c>
      <c r="J673" s="27" t="str">
        <f>IF(I673="","",_xlfn.XLOOKUP(I673,Lists!$C:$C,Lists!$D:$D))</f>
        <v/>
      </c>
      <c r="N673" s="26" t="str">
        <f t="shared" si="48"/>
        <v/>
      </c>
      <c r="O673" s="27" t="str">
        <f>IF(I673="","",_xlfn.XLOOKUP(I673,Lists!$C:$C,Lists!$J:$J))</f>
        <v/>
      </c>
      <c r="P673" s="27" t="str">
        <f>IF(I673="","",_xlfn.XLOOKUP(I673,Lists!$C:$C,Lists!$E:$E))</f>
        <v/>
      </c>
      <c r="Q673" s="28" t="str">
        <f t="shared" si="49"/>
        <v/>
      </c>
      <c r="R673" s="26" t="str">
        <f t="shared" ca="1" si="50"/>
        <v/>
      </c>
      <c r="S673" s="27" t="str">
        <f>IF(I673="","",_xlfn.XLOOKUP(I673,Lists!$C:$C,Lists!$I:$I))</f>
        <v/>
      </c>
    </row>
    <row r="674" spans="3:19" x14ac:dyDescent="0.2">
      <c r="C674" s="26">
        <f>_xlfn.XLOOKUP(B674,Lists!B:B,Lists!A:A,"")</f>
        <v>0</v>
      </c>
      <c r="G674" s="26" t="str">
        <f t="shared" si="46"/>
        <v/>
      </c>
      <c r="H674" s="31" t="str">
        <f t="shared" si="47"/>
        <v/>
      </c>
      <c r="J674" s="27" t="str">
        <f>IF(I674="","",_xlfn.XLOOKUP(I674,Lists!$C:$C,Lists!$D:$D))</f>
        <v/>
      </c>
      <c r="N674" s="26" t="str">
        <f t="shared" si="48"/>
        <v/>
      </c>
      <c r="O674" s="27" t="str">
        <f>IF(I674="","",_xlfn.XLOOKUP(I674,Lists!$C:$C,Lists!$J:$J))</f>
        <v/>
      </c>
      <c r="P674" s="27" t="str">
        <f>IF(I674="","",_xlfn.XLOOKUP(I674,Lists!$C:$C,Lists!$E:$E))</f>
        <v/>
      </c>
      <c r="Q674" s="28" t="str">
        <f t="shared" si="49"/>
        <v/>
      </c>
      <c r="R674" s="26" t="str">
        <f t="shared" ca="1" si="50"/>
        <v/>
      </c>
      <c r="S674" s="27" t="str">
        <f>IF(I674="","",_xlfn.XLOOKUP(I674,Lists!$C:$C,Lists!$I:$I))</f>
        <v/>
      </c>
    </row>
    <row r="675" spans="3:19" x14ac:dyDescent="0.2">
      <c r="C675" s="26">
        <f>_xlfn.XLOOKUP(B675,Lists!B:B,Lists!A:A,"")</f>
        <v>0</v>
      </c>
      <c r="G675" s="26" t="str">
        <f t="shared" si="46"/>
        <v/>
      </c>
      <c r="H675" s="31" t="str">
        <f t="shared" si="47"/>
        <v/>
      </c>
      <c r="J675" s="27" t="str">
        <f>IF(I675="","",_xlfn.XLOOKUP(I675,Lists!$C:$C,Lists!$D:$D))</f>
        <v/>
      </c>
      <c r="N675" s="26" t="str">
        <f t="shared" si="48"/>
        <v/>
      </c>
      <c r="O675" s="27" t="str">
        <f>IF(I675="","",_xlfn.XLOOKUP(I675,Lists!$C:$C,Lists!$J:$J))</f>
        <v/>
      </c>
      <c r="P675" s="27" t="str">
        <f>IF(I675="","",_xlfn.XLOOKUP(I675,Lists!$C:$C,Lists!$E:$E))</f>
        <v/>
      </c>
      <c r="Q675" s="28" t="str">
        <f t="shared" si="49"/>
        <v/>
      </c>
      <c r="R675" s="26" t="str">
        <f t="shared" ca="1" si="50"/>
        <v/>
      </c>
      <c r="S675" s="27" t="str">
        <f>IF(I675="","",_xlfn.XLOOKUP(I675,Lists!$C:$C,Lists!$I:$I))</f>
        <v/>
      </c>
    </row>
    <row r="676" spans="3:19" x14ac:dyDescent="0.2">
      <c r="C676" s="26">
        <f>_xlfn.XLOOKUP(B676,Lists!B:B,Lists!A:A,"")</f>
        <v>0</v>
      </c>
      <c r="G676" s="26" t="str">
        <f t="shared" si="46"/>
        <v/>
      </c>
      <c r="H676" s="31" t="str">
        <f t="shared" si="47"/>
        <v/>
      </c>
      <c r="J676" s="27" t="str">
        <f>IF(I676="","",_xlfn.XLOOKUP(I676,Lists!$C:$C,Lists!$D:$D))</f>
        <v/>
      </c>
      <c r="N676" s="26" t="str">
        <f t="shared" si="48"/>
        <v/>
      </c>
      <c r="O676" s="27" t="str">
        <f>IF(I676="","",_xlfn.XLOOKUP(I676,Lists!$C:$C,Lists!$J:$J))</f>
        <v/>
      </c>
      <c r="P676" s="27" t="str">
        <f>IF(I676="","",_xlfn.XLOOKUP(I676,Lists!$C:$C,Lists!$E:$E))</f>
        <v/>
      </c>
      <c r="Q676" s="28" t="str">
        <f t="shared" si="49"/>
        <v/>
      </c>
      <c r="R676" s="26" t="str">
        <f t="shared" ca="1" si="50"/>
        <v/>
      </c>
      <c r="S676" s="27" t="str">
        <f>IF(I676="","",_xlfn.XLOOKUP(I676,Lists!$C:$C,Lists!$I:$I))</f>
        <v/>
      </c>
    </row>
    <row r="677" spans="3:19" x14ac:dyDescent="0.2">
      <c r="C677" s="26">
        <f>_xlfn.XLOOKUP(B677,Lists!B:B,Lists!A:A,"")</f>
        <v>0</v>
      </c>
      <c r="G677" s="26" t="str">
        <f t="shared" si="46"/>
        <v/>
      </c>
      <c r="H677" s="31" t="str">
        <f t="shared" si="47"/>
        <v/>
      </c>
      <c r="J677" s="27" t="str">
        <f>IF(I677="","",_xlfn.XLOOKUP(I677,Lists!$C:$C,Lists!$D:$D))</f>
        <v/>
      </c>
      <c r="N677" s="26" t="str">
        <f t="shared" si="48"/>
        <v/>
      </c>
      <c r="O677" s="27" t="str">
        <f>IF(I677="","",_xlfn.XLOOKUP(I677,Lists!$C:$C,Lists!$J:$J))</f>
        <v/>
      </c>
      <c r="P677" s="27" t="str">
        <f>IF(I677="","",_xlfn.XLOOKUP(I677,Lists!$C:$C,Lists!$E:$E))</f>
        <v/>
      </c>
      <c r="Q677" s="28" t="str">
        <f t="shared" si="49"/>
        <v/>
      </c>
      <c r="R677" s="26" t="str">
        <f t="shared" ca="1" si="50"/>
        <v/>
      </c>
      <c r="S677" s="27" t="str">
        <f>IF(I677="","",_xlfn.XLOOKUP(I677,Lists!$C:$C,Lists!$I:$I))</f>
        <v/>
      </c>
    </row>
    <row r="678" spans="3:19" x14ac:dyDescent="0.2">
      <c r="C678" s="26">
        <f>_xlfn.XLOOKUP(B678,Lists!B:B,Lists!A:A,"")</f>
        <v>0</v>
      </c>
      <c r="G678" s="26" t="str">
        <f t="shared" si="46"/>
        <v/>
      </c>
      <c r="H678" s="31" t="str">
        <f t="shared" si="47"/>
        <v/>
      </c>
      <c r="J678" s="27" t="str">
        <f>IF(I678="","",_xlfn.XLOOKUP(I678,Lists!$C:$C,Lists!$D:$D))</f>
        <v/>
      </c>
      <c r="N678" s="26" t="str">
        <f t="shared" si="48"/>
        <v/>
      </c>
      <c r="O678" s="27" t="str">
        <f>IF(I678="","",_xlfn.XLOOKUP(I678,Lists!$C:$C,Lists!$J:$J))</f>
        <v/>
      </c>
      <c r="P678" s="27" t="str">
        <f>IF(I678="","",_xlfn.XLOOKUP(I678,Lists!$C:$C,Lists!$E:$E))</f>
        <v/>
      </c>
      <c r="Q678" s="28" t="str">
        <f t="shared" si="49"/>
        <v/>
      </c>
      <c r="R678" s="26" t="str">
        <f t="shared" ca="1" si="50"/>
        <v/>
      </c>
      <c r="S678" s="27" t="str">
        <f>IF(I678="","",_xlfn.XLOOKUP(I678,Lists!$C:$C,Lists!$I:$I))</f>
        <v/>
      </c>
    </row>
    <row r="679" spans="3:19" x14ac:dyDescent="0.2">
      <c r="C679" s="26">
        <f>_xlfn.XLOOKUP(B679,Lists!B:B,Lists!A:A,"")</f>
        <v>0</v>
      </c>
      <c r="G679" s="26" t="str">
        <f t="shared" si="46"/>
        <v/>
      </c>
      <c r="H679" s="31" t="str">
        <f t="shared" si="47"/>
        <v/>
      </c>
      <c r="J679" s="27" t="str">
        <f>IF(I679="","",_xlfn.XLOOKUP(I679,Lists!$C:$C,Lists!$D:$D))</f>
        <v/>
      </c>
      <c r="N679" s="26" t="str">
        <f t="shared" si="48"/>
        <v/>
      </c>
      <c r="O679" s="27" t="str">
        <f>IF(I679="","",_xlfn.XLOOKUP(I679,Lists!$C:$C,Lists!$J:$J))</f>
        <v/>
      </c>
      <c r="P679" s="27" t="str">
        <f>IF(I679="","",_xlfn.XLOOKUP(I679,Lists!$C:$C,Lists!$E:$E))</f>
        <v/>
      </c>
      <c r="Q679" s="28" t="str">
        <f t="shared" si="49"/>
        <v/>
      </c>
      <c r="R679" s="26" t="str">
        <f t="shared" ca="1" si="50"/>
        <v/>
      </c>
      <c r="S679" s="27" t="str">
        <f>IF(I679="","",_xlfn.XLOOKUP(I679,Lists!$C:$C,Lists!$I:$I))</f>
        <v/>
      </c>
    </row>
    <row r="680" spans="3:19" x14ac:dyDescent="0.2">
      <c r="C680" s="26">
        <f>_xlfn.XLOOKUP(B680,Lists!B:B,Lists!A:A,"")</f>
        <v>0</v>
      </c>
      <c r="G680" s="26" t="str">
        <f t="shared" si="46"/>
        <v/>
      </c>
      <c r="H680" s="31" t="str">
        <f t="shared" si="47"/>
        <v/>
      </c>
      <c r="J680" s="27" t="str">
        <f>IF(I680="","",_xlfn.XLOOKUP(I680,Lists!$C:$C,Lists!$D:$D))</f>
        <v/>
      </c>
      <c r="N680" s="26" t="str">
        <f t="shared" si="48"/>
        <v/>
      </c>
      <c r="O680" s="27" t="str">
        <f>IF(I680="","",_xlfn.XLOOKUP(I680,Lists!$C:$C,Lists!$J:$J))</f>
        <v/>
      </c>
      <c r="P680" s="27" t="str">
        <f>IF(I680="","",_xlfn.XLOOKUP(I680,Lists!$C:$C,Lists!$E:$E))</f>
        <v/>
      </c>
      <c r="Q680" s="28" t="str">
        <f t="shared" si="49"/>
        <v/>
      </c>
      <c r="R680" s="26" t="str">
        <f t="shared" ca="1" si="50"/>
        <v/>
      </c>
      <c r="S680" s="27" t="str">
        <f>IF(I680="","",_xlfn.XLOOKUP(I680,Lists!$C:$C,Lists!$I:$I))</f>
        <v/>
      </c>
    </row>
    <row r="681" spans="3:19" x14ac:dyDescent="0.2">
      <c r="C681" s="26">
        <f>_xlfn.XLOOKUP(B681,Lists!B:B,Lists!A:A,"")</f>
        <v>0</v>
      </c>
      <c r="G681" s="26" t="str">
        <f t="shared" si="46"/>
        <v/>
      </c>
      <c r="H681" s="31" t="str">
        <f t="shared" si="47"/>
        <v/>
      </c>
      <c r="J681" s="27" t="str">
        <f>IF(I681="","",_xlfn.XLOOKUP(I681,Lists!$C:$C,Lists!$D:$D))</f>
        <v/>
      </c>
      <c r="N681" s="26" t="str">
        <f t="shared" si="48"/>
        <v/>
      </c>
      <c r="O681" s="27" t="str">
        <f>IF(I681="","",_xlfn.XLOOKUP(I681,Lists!$C:$C,Lists!$J:$J))</f>
        <v/>
      </c>
      <c r="P681" s="27" t="str">
        <f>IF(I681="","",_xlfn.XLOOKUP(I681,Lists!$C:$C,Lists!$E:$E))</f>
        <v/>
      </c>
      <c r="Q681" s="28" t="str">
        <f t="shared" si="49"/>
        <v/>
      </c>
      <c r="R681" s="26" t="str">
        <f t="shared" ca="1" si="50"/>
        <v/>
      </c>
      <c r="S681" s="27" t="str">
        <f>IF(I681="","",_xlfn.XLOOKUP(I681,Lists!$C:$C,Lists!$I:$I))</f>
        <v/>
      </c>
    </row>
    <row r="682" spans="3:19" x14ac:dyDescent="0.2">
      <c r="C682" s="26">
        <f>_xlfn.XLOOKUP(B682,Lists!B:B,Lists!A:A,"")</f>
        <v>0</v>
      </c>
      <c r="G682" s="26" t="str">
        <f t="shared" si="46"/>
        <v/>
      </c>
      <c r="H682" s="31" t="str">
        <f t="shared" si="47"/>
        <v/>
      </c>
      <c r="J682" s="27" t="str">
        <f>IF(I682="","",_xlfn.XLOOKUP(I682,Lists!$C:$C,Lists!$D:$D))</f>
        <v/>
      </c>
      <c r="N682" s="26" t="str">
        <f t="shared" si="48"/>
        <v/>
      </c>
      <c r="O682" s="27" t="str">
        <f>IF(I682="","",_xlfn.XLOOKUP(I682,Lists!$C:$C,Lists!$J:$J))</f>
        <v/>
      </c>
      <c r="P682" s="27" t="str">
        <f>IF(I682="","",_xlfn.XLOOKUP(I682,Lists!$C:$C,Lists!$E:$E))</f>
        <v/>
      </c>
      <c r="Q682" s="28" t="str">
        <f t="shared" si="49"/>
        <v/>
      </c>
      <c r="R682" s="26" t="str">
        <f t="shared" ca="1" si="50"/>
        <v/>
      </c>
      <c r="S682" s="27" t="str">
        <f>IF(I682="","",_xlfn.XLOOKUP(I682,Lists!$C:$C,Lists!$I:$I))</f>
        <v/>
      </c>
    </row>
    <row r="683" spans="3:19" x14ac:dyDescent="0.2">
      <c r="C683" s="26">
        <f>_xlfn.XLOOKUP(B683,Lists!B:B,Lists!A:A,"")</f>
        <v>0</v>
      </c>
      <c r="G683" s="26" t="str">
        <f t="shared" si="46"/>
        <v/>
      </c>
      <c r="H683" s="31" t="str">
        <f t="shared" si="47"/>
        <v/>
      </c>
      <c r="J683" s="27" t="str">
        <f>IF(I683="","",_xlfn.XLOOKUP(I683,Lists!$C:$C,Lists!$D:$D))</f>
        <v/>
      </c>
      <c r="N683" s="26" t="str">
        <f t="shared" si="48"/>
        <v/>
      </c>
      <c r="O683" s="27" t="str">
        <f>IF(I683="","",_xlfn.XLOOKUP(I683,Lists!$C:$C,Lists!$J:$J))</f>
        <v/>
      </c>
      <c r="P683" s="27" t="str">
        <f>IF(I683="","",_xlfn.XLOOKUP(I683,Lists!$C:$C,Lists!$E:$E))</f>
        <v/>
      </c>
      <c r="Q683" s="28" t="str">
        <f t="shared" si="49"/>
        <v/>
      </c>
      <c r="R683" s="26" t="str">
        <f t="shared" ca="1" si="50"/>
        <v/>
      </c>
      <c r="S683" s="27" t="str">
        <f>IF(I683="","",_xlfn.XLOOKUP(I683,Lists!$C:$C,Lists!$I:$I))</f>
        <v/>
      </c>
    </row>
    <row r="684" spans="3:19" x14ac:dyDescent="0.2">
      <c r="C684" s="26">
        <f>_xlfn.XLOOKUP(B684,Lists!B:B,Lists!A:A,"")</f>
        <v>0</v>
      </c>
      <c r="G684" s="26" t="str">
        <f t="shared" si="46"/>
        <v/>
      </c>
      <c r="H684" s="31" t="str">
        <f t="shared" si="47"/>
        <v/>
      </c>
      <c r="J684" s="27" t="str">
        <f>IF(I684="","",_xlfn.XLOOKUP(I684,Lists!$C:$C,Lists!$D:$D))</f>
        <v/>
      </c>
      <c r="N684" s="26" t="str">
        <f t="shared" si="48"/>
        <v/>
      </c>
      <c r="O684" s="27" t="str">
        <f>IF(I684="","",_xlfn.XLOOKUP(I684,Lists!$C:$C,Lists!$J:$J))</f>
        <v/>
      </c>
      <c r="P684" s="27" t="str">
        <f>IF(I684="","",_xlfn.XLOOKUP(I684,Lists!$C:$C,Lists!$E:$E))</f>
        <v/>
      </c>
      <c r="Q684" s="28" t="str">
        <f t="shared" si="49"/>
        <v/>
      </c>
      <c r="R684" s="26" t="str">
        <f t="shared" ca="1" si="50"/>
        <v/>
      </c>
      <c r="S684" s="27" t="str">
        <f>IF(I684="","",_xlfn.XLOOKUP(I684,Lists!$C:$C,Lists!$I:$I))</f>
        <v/>
      </c>
    </row>
    <row r="685" spans="3:19" x14ac:dyDescent="0.2">
      <c r="C685" s="26">
        <f>_xlfn.XLOOKUP(B685,Lists!B:B,Lists!A:A,"")</f>
        <v>0</v>
      </c>
      <c r="G685" s="26" t="str">
        <f t="shared" si="46"/>
        <v/>
      </c>
      <c r="H685" s="31" t="str">
        <f t="shared" si="47"/>
        <v/>
      </c>
      <c r="J685" s="27" t="str">
        <f>IF(I685="","",_xlfn.XLOOKUP(I685,Lists!$C:$C,Lists!$D:$D))</f>
        <v/>
      </c>
      <c r="N685" s="26" t="str">
        <f t="shared" si="48"/>
        <v/>
      </c>
      <c r="O685" s="27" t="str">
        <f>IF(I685="","",_xlfn.XLOOKUP(I685,Lists!$C:$C,Lists!$J:$J))</f>
        <v/>
      </c>
      <c r="P685" s="27" t="str">
        <f>IF(I685="","",_xlfn.XLOOKUP(I685,Lists!$C:$C,Lists!$E:$E))</f>
        <v/>
      </c>
      <c r="Q685" s="28" t="str">
        <f t="shared" si="49"/>
        <v/>
      </c>
      <c r="R685" s="26" t="str">
        <f t="shared" ca="1" si="50"/>
        <v/>
      </c>
      <c r="S685" s="27" t="str">
        <f>IF(I685="","",_xlfn.XLOOKUP(I685,Lists!$C:$C,Lists!$I:$I))</f>
        <v/>
      </c>
    </row>
    <row r="686" spans="3:19" x14ac:dyDescent="0.2">
      <c r="C686" s="26">
        <f>_xlfn.XLOOKUP(B686,Lists!B:B,Lists!A:A,"")</f>
        <v>0</v>
      </c>
      <c r="G686" s="26" t="str">
        <f t="shared" si="46"/>
        <v/>
      </c>
      <c r="H686" s="31" t="str">
        <f t="shared" si="47"/>
        <v/>
      </c>
      <c r="J686" s="27" t="str">
        <f>IF(I686="","",_xlfn.XLOOKUP(I686,Lists!$C:$C,Lists!$D:$D))</f>
        <v/>
      </c>
      <c r="N686" s="26" t="str">
        <f t="shared" si="48"/>
        <v/>
      </c>
      <c r="O686" s="27" t="str">
        <f>IF(I686="","",_xlfn.XLOOKUP(I686,Lists!$C:$C,Lists!$J:$J))</f>
        <v/>
      </c>
      <c r="P686" s="27" t="str">
        <f>IF(I686="","",_xlfn.XLOOKUP(I686,Lists!$C:$C,Lists!$E:$E))</f>
        <v/>
      </c>
      <c r="Q686" s="28" t="str">
        <f t="shared" si="49"/>
        <v/>
      </c>
      <c r="R686" s="26" t="str">
        <f t="shared" ca="1" si="50"/>
        <v/>
      </c>
      <c r="S686" s="27" t="str">
        <f>IF(I686="","",_xlfn.XLOOKUP(I686,Lists!$C:$C,Lists!$I:$I))</f>
        <v/>
      </c>
    </row>
    <row r="687" spans="3:19" x14ac:dyDescent="0.2">
      <c r="C687" s="26">
        <f>_xlfn.XLOOKUP(B687,Lists!B:B,Lists!A:A,"")</f>
        <v>0</v>
      </c>
      <c r="G687" s="26" t="str">
        <f t="shared" si="46"/>
        <v/>
      </c>
      <c r="H687" s="31" t="str">
        <f t="shared" si="47"/>
        <v/>
      </c>
      <c r="J687" s="27" t="str">
        <f>IF(I687="","",_xlfn.XLOOKUP(I687,Lists!$C:$C,Lists!$D:$D))</f>
        <v/>
      </c>
      <c r="N687" s="26" t="str">
        <f t="shared" si="48"/>
        <v/>
      </c>
      <c r="O687" s="27" t="str">
        <f>IF(I687="","",_xlfn.XLOOKUP(I687,Lists!$C:$C,Lists!$J:$J))</f>
        <v/>
      </c>
      <c r="P687" s="27" t="str">
        <f>IF(I687="","",_xlfn.XLOOKUP(I687,Lists!$C:$C,Lists!$E:$E))</f>
        <v/>
      </c>
      <c r="Q687" s="28" t="str">
        <f t="shared" si="49"/>
        <v/>
      </c>
      <c r="R687" s="26" t="str">
        <f t="shared" ca="1" si="50"/>
        <v/>
      </c>
      <c r="S687" s="27" t="str">
        <f>IF(I687="","",_xlfn.XLOOKUP(I687,Lists!$C:$C,Lists!$I:$I))</f>
        <v/>
      </c>
    </row>
    <row r="688" spans="3:19" x14ac:dyDescent="0.2">
      <c r="C688" s="26">
        <f>_xlfn.XLOOKUP(B688,Lists!B:B,Lists!A:A,"")</f>
        <v>0</v>
      </c>
      <c r="G688" s="26" t="str">
        <f t="shared" si="46"/>
        <v/>
      </c>
      <c r="H688" s="31" t="str">
        <f t="shared" si="47"/>
        <v/>
      </c>
      <c r="J688" s="27" t="str">
        <f>IF(I688="","",_xlfn.XLOOKUP(I688,Lists!$C:$C,Lists!$D:$D))</f>
        <v/>
      </c>
      <c r="N688" s="26" t="str">
        <f t="shared" si="48"/>
        <v/>
      </c>
      <c r="O688" s="27" t="str">
        <f>IF(I688="","",_xlfn.XLOOKUP(I688,Lists!$C:$C,Lists!$J:$J))</f>
        <v/>
      </c>
      <c r="P688" s="27" t="str">
        <f>IF(I688="","",_xlfn.XLOOKUP(I688,Lists!$C:$C,Lists!$E:$E))</f>
        <v/>
      </c>
      <c r="Q688" s="28" t="str">
        <f t="shared" si="49"/>
        <v/>
      </c>
      <c r="R688" s="26" t="str">
        <f t="shared" ca="1" si="50"/>
        <v/>
      </c>
      <c r="S688" s="27" t="str">
        <f>IF(I688="","",_xlfn.XLOOKUP(I688,Lists!$C:$C,Lists!$I:$I))</f>
        <v/>
      </c>
    </row>
    <row r="689" spans="3:19" x14ac:dyDescent="0.2">
      <c r="C689" s="26">
        <f>_xlfn.XLOOKUP(B689,Lists!B:B,Lists!A:A,"")</f>
        <v>0</v>
      </c>
      <c r="G689" s="26" t="str">
        <f t="shared" si="46"/>
        <v/>
      </c>
      <c r="H689" s="31" t="str">
        <f t="shared" si="47"/>
        <v/>
      </c>
      <c r="J689" s="27" t="str">
        <f>IF(I689="","",_xlfn.XLOOKUP(I689,Lists!$C:$C,Lists!$D:$D))</f>
        <v/>
      </c>
      <c r="N689" s="26" t="str">
        <f t="shared" si="48"/>
        <v/>
      </c>
      <c r="O689" s="27" t="str">
        <f>IF(I689="","",_xlfn.XLOOKUP(I689,Lists!$C:$C,Lists!$J:$J))</f>
        <v/>
      </c>
      <c r="P689" s="27" t="str">
        <f>IF(I689="","",_xlfn.XLOOKUP(I689,Lists!$C:$C,Lists!$E:$E))</f>
        <v/>
      </c>
      <c r="Q689" s="28" t="str">
        <f t="shared" si="49"/>
        <v/>
      </c>
      <c r="R689" s="26" t="str">
        <f t="shared" ca="1" si="50"/>
        <v/>
      </c>
      <c r="S689" s="27" t="str">
        <f>IF(I689="","",_xlfn.XLOOKUP(I689,Lists!$C:$C,Lists!$I:$I))</f>
        <v/>
      </c>
    </row>
    <row r="690" spans="3:19" x14ac:dyDescent="0.2">
      <c r="C690" s="26">
        <f>_xlfn.XLOOKUP(B690,Lists!B:B,Lists!A:A,"")</f>
        <v>0</v>
      </c>
      <c r="G690" s="26" t="str">
        <f t="shared" si="46"/>
        <v/>
      </c>
      <c r="H690" s="31" t="str">
        <f t="shared" si="47"/>
        <v/>
      </c>
      <c r="J690" s="27" t="str">
        <f>IF(I690="","",_xlfn.XLOOKUP(I690,Lists!$C:$C,Lists!$D:$D))</f>
        <v/>
      </c>
      <c r="N690" s="26" t="str">
        <f t="shared" si="48"/>
        <v/>
      </c>
      <c r="O690" s="27" t="str">
        <f>IF(I690="","",_xlfn.XLOOKUP(I690,Lists!$C:$C,Lists!$J:$J))</f>
        <v/>
      </c>
      <c r="P690" s="27" t="str">
        <f>IF(I690="","",_xlfn.XLOOKUP(I690,Lists!$C:$C,Lists!$E:$E))</f>
        <v/>
      </c>
      <c r="Q690" s="28" t="str">
        <f t="shared" si="49"/>
        <v/>
      </c>
      <c r="R690" s="26" t="str">
        <f t="shared" ca="1" si="50"/>
        <v/>
      </c>
      <c r="S690" s="27" t="str">
        <f>IF(I690="","",_xlfn.XLOOKUP(I690,Lists!$C:$C,Lists!$I:$I))</f>
        <v/>
      </c>
    </row>
    <row r="691" spans="3:19" x14ac:dyDescent="0.2">
      <c r="C691" s="26">
        <f>_xlfn.XLOOKUP(B691,Lists!B:B,Lists!A:A,"")</f>
        <v>0</v>
      </c>
      <c r="G691" s="26" t="str">
        <f t="shared" si="46"/>
        <v/>
      </c>
      <c r="H691" s="31" t="str">
        <f t="shared" si="47"/>
        <v/>
      </c>
      <c r="J691" s="27" t="str">
        <f>IF(I691="","",_xlfn.XLOOKUP(I691,Lists!$C:$C,Lists!$D:$D))</f>
        <v/>
      </c>
      <c r="N691" s="26" t="str">
        <f t="shared" si="48"/>
        <v/>
      </c>
      <c r="O691" s="27" t="str">
        <f>IF(I691="","",_xlfn.XLOOKUP(I691,Lists!$C:$C,Lists!$J:$J))</f>
        <v/>
      </c>
      <c r="P691" s="27" t="str">
        <f>IF(I691="","",_xlfn.XLOOKUP(I691,Lists!$C:$C,Lists!$E:$E))</f>
        <v/>
      </c>
      <c r="Q691" s="28" t="str">
        <f t="shared" si="49"/>
        <v/>
      </c>
      <c r="R691" s="26" t="str">
        <f t="shared" ca="1" si="50"/>
        <v/>
      </c>
      <c r="S691" s="27" t="str">
        <f>IF(I691="","",_xlfn.XLOOKUP(I691,Lists!$C:$C,Lists!$I:$I))</f>
        <v/>
      </c>
    </row>
    <row r="692" spans="3:19" x14ac:dyDescent="0.2">
      <c r="C692" s="26">
        <f>_xlfn.XLOOKUP(B692,Lists!B:B,Lists!A:A,"")</f>
        <v>0</v>
      </c>
      <c r="G692" s="26" t="str">
        <f t="shared" si="46"/>
        <v/>
      </c>
      <c r="H692" s="31" t="str">
        <f t="shared" si="47"/>
        <v/>
      </c>
      <c r="J692" s="27" t="str">
        <f>IF(I692="","",_xlfn.XLOOKUP(I692,Lists!$C:$C,Lists!$D:$D))</f>
        <v/>
      </c>
      <c r="N692" s="26" t="str">
        <f t="shared" si="48"/>
        <v/>
      </c>
      <c r="O692" s="27" t="str">
        <f>IF(I692="","",_xlfn.XLOOKUP(I692,Lists!$C:$C,Lists!$J:$J))</f>
        <v/>
      </c>
      <c r="P692" s="27" t="str">
        <f>IF(I692="","",_xlfn.XLOOKUP(I692,Lists!$C:$C,Lists!$E:$E))</f>
        <v/>
      </c>
      <c r="Q692" s="28" t="str">
        <f t="shared" si="49"/>
        <v/>
      </c>
      <c r="R692" s="26" t="str">
        <f t="shared" ca="1" si="50"/>
        <v/>
      </c>
      <c r="S692" s="27" t="str">
        <f>IF(I692="","",_xlfn.XLOOKUP(I692,Lists!$C:$C,Lists!$I:$I))</f>
        <v/>
      </c>
    </row>
    <row r="693" spans="3:19" x14ac:dyDescent="0.2">
      <c r="C693" s="26">
        <f>_xlfn.XLOOKUP(B693,Lists!B:B,Lists!A:A,"")</f>
        <v>0</v>
      </c>
      <c r="G693" s="26" t="str">
        <f t="shared" si="46"/>
        <v/>
      </c>
      <c r="H693" s="31" t="str">
        <f t="shared" si="47"/>
        <v/>
      </c>
      <c r="J693" s="27" t="str">
        <f>IF(I693="","",_xlfn.XLOOKUP(I693,Lists!$C:$C,Lists!$D:$D))</f>
        <v/>
      </c>
      <c r="N693" s="26" t="str">
        <f t="shared" si="48"/>
        <v/>
      </c>
      <c r="O693" s="27" t="str">
        <f>IF(I693="","",_xlfn.XLOOKUP(I693,Lists!$C:$C,Lists!$J:$J))</f>
        <v/>
      </c>
      <c r="P693" s="27" t="str">
        <f>IF(I693="","",_xlfn.XLOOKUP(I693,Lists!$C:$C,Lists!$E:$E))</f>
        <v/>
      </c>
      <c r="Q693" s="28" t="str">
        <f t="shared" si="49"/>
        <v/>
      </c>
      <c r="R693" s="26" t="str">
        <f t="shared" ca="1" si="50"/>
        <v/>
      </c>
      <c r="S693" s="27" t="str">
        <f>IF(I693="","",_xlfn.XLOOKUP(I693,Lists!$C:$C,Lists!$I:$I))</f>
        <v/>
      </c>
    </row>
    <row r="694" spans="3:19" x14ac:dyDescent="0.2">
      <c r="C694" s="26">
        <f>_xlfn.XLOOKUP(B694,Lists!B:B,Lists!A:A,"")</f>
        <v>0</v>
      </c>
      <c r="G694" s="26" t="str">
        <f t="shared" si="46"/>
        <v/>
      </c>
      <c r="H694" s="31" t="str">
        <f t="shared" si="47"/>
        <v/>
      </c>
      <c r="J694" s="27" t="str">
        <f>IF(I694="","",_xlfn.XLOOKUP(I694,Lists!$C:$C,Lists!$D:$D))</f>
        <v/>
      </c>
      <c r="N694" s="26" t="str">
        <f t="shared" si="48"/>
        <v/>
      </c>
      <c r="O694" s="27" t="str">
        <f>IF(I694="","",_xlfn.XLOOKUP(I694,Lists!$C:$C,Lists!$J:$J))</f>
        <v/>
      </c>
      <c r="P694" s="27" t="str">
        <f>IF(I694="","",_xlfn.XLOOKUP(I694,Lists!$C:$C,Lists!$E:$E))</f>
        <v/>
      </c>
      <c r="Q694" s="28" t="str">
        <f t="shared" si="49"/>
        <v/>
      </c>
      <c r="R694" s="26" t="str">
        <f t="shared" ca="1" si="50"/>
        <v/>
      </c>
      <c r="S694" s="27" t="str">
        <f>IF(I694="","",_xlfn.XLOOKUP(I694,Lists!$C:$C,Lists!$I:$I))</f>
        <v/>
      </c>
    </row>
    <row r="695" spans="3:19" x14ac:dyDescent="0.2">
      <c r="C695" s="26">
        <f>_xlfn.XLOOKUP(B695,Lists!B:B,Lists!A:A,"")</f>
        <v>0</v>
      </c>
      <c r="G695" s="26" t="str">
        <f t="shared" si="46"/>
        <v/>
      </c>
      <c r="H695" s="31" t="str">
        <f t="shared" si="47"/>
        <v/>
      </c>
      <c r="J695" s="27" t="str">
        <f>IF(I695="","",_xlfn.XLOOKUP(I695,Lists!$C:$C,Lists!$D:$D))</f>
        <v/>
      </c>
      <c r="N695" s="26" t="str">
        <f t="shared" si="48"/>
        <v/>
      </c>
      <c r="O695" s="27" t="str">
        <f>IF(I695="","",_xlfn.XLOOKUP(I695,Lists!$C:$C,Lists!$J:$J))</f>
        <v/>
      </c>
      <c r="P695" s="27" t="str">
        <f>IF(I695="","",_xlfn.XLOOKUP(I695,Lists!$C:$C,Lists!$E:$E))</f>
        <v/>
      </c>
      <c r="Q695" s="28" t="str">
        <f t="shared" si="49"/>
        <v/>
      </c>
      <c r="R695" s="26" t="str">
        <f t="shared" ca="1" si="50"/>
        <v/>
      </c>
      <c r="S695" s="27" t="str">
        <f>IF(I695="","",_xlfn.XLOOKUP(I695,Lists!$C:$C,Lists!$I:$I))</f>
        <v/>
      </c>
    </row>
    <row r="696" spans="3:19" x14ac:dyDescent="0.2">
      <c r="C696" s="26">
        <f>_xlfn.XLOOKUP(B696,Lists!B:B,Lists!A:A,"")</f>
        <v>0</v>
      </c>
      <c r="G696" s="26" t="str">
        <f t="shared" si="46"/>
        <v/>
      </c>
      <c r="H696" s="31" t="str">
        <f t="shared" si="47"/>
        <v/>
      </c>
      <c r="J696" s="27" t="str">
        <f>IF(I696="","",_xlfn.XLOOKUP(I696,Lists!$C:$C,Lists!$D:$D))</f>
        <v/>
      </c>
      <c r="N696" s="26" t="str">
        <f t="shared" si="48"/>
        <v/>
      </c>
      <c r="O696" s="27" t="str">
        <f>IF(I696="","",_xlfn.XLOOKUP(I696,Lists!$C:$C,Lists!$J:$J))</f>
        <v/>
      </c>
      <c r="P696" s="27" t="str">
        <f>IF(I696="","",_xlfn.XLOOKUP(I696,Lists!$C:$C,Lists!$E:$E))</f>
        <v/>
      </c>
      <c r="Q696" s="28" t="str">
        <f t="shared" si="49"/>
        <v/>
      </c>
      <c r="R696" s="26" t="str">
        <f t="shared" ca="1" si="50"/>
        <v/>
      </c>
      <c r="S696" s="27" t="str">
        <f>IF(I696="","",_xlfn.XLOOKUP(I696,Lists!$C:$C,Lists!$I:$I))</f>
        <v/>
      </c>
    </row>
    <row r="697" spans="3:19" x14ac:dyDescent="0.2">
      <c r="C697" s="26">
        <f>_xlfn.XLOOKUP(B697,Lists!B:B,Lists!A:A,"")</f>
        <v>0</v>
      </c>
      <c r="G697" s="26" t="str">
        <f t="shared" si="46"/>
        <v/>
      </c>
      <c r="H697" s="31" t="str">
        <f t="shared" si="47"/>
        <v/>
      </c>
      <c r="J697" s="27" t="str">
        <f>IF(I697="","",_xlfn.XLOOKUP(I697,Lists!$C:$C,Lists!$D:$D))</f>
        <v/>
      </c>
      <c r="N697" s="26" t="str">
        <f t="shared" si="48"/>
        <v/>
      </c>
      <c r="O697" s="27" t="str">
        <f>IF(I697="","",_xlfn.XLOOKUP(I697,Lists!$C:$C,Lists!$J:$J))</f>
        <v/>
      </c>
      <c r="P697" s="27" t="str">
        <f>IF(I697="","",_xlfn.XLOOKUP(I697,Lists!$C:$C,Lists!$E:$E))</f>
        <v/>
      </c>
      <c r="Q697" s="28" t="str">
        <f t="shared" si="49"/>
        <v/>
      </c>
      <c r="R697" s="26" t="str">
        <f t="shared" ca="1" si="50"/>
        <v/>
      </c>
      <c r="S697" s="27" t="str">
        <f>IF(I697="","",_xlfn.XLOOKUP(I697,Lists!$C:$C,Lists!$I:$I))</f>
        <v/>
      </c>
    </row>
    <row r="698" spans="3:19" x14ac:dyDescent="0.2">
      <c r="C698" s="26">
        <f>_xlfn.XLOOKUP(B698,Lists!B:B,Lists!A:A,"")</f>
        <v>0</v>
      </c>
      <c r="G698" s="26" t="str">
        <f t="shared" si="46"/>
        <v/>
      </c>
      <c r="H698" s="31" t="str">
        <f t="shared" si="47"/>
        <v/>
      </c>
      <c r="J698" s="27" t="str">
        <f>IF(I698="","",_xlfn.XLOOKUP(I698,Lists!$C:$C,Lists!$D:$D))</f>
        <v/>
      </c>
      <c r="N698" s="26" t="str">
        <f t="shared" si="48"/>
        <v/>
      </c>
      <c r="O698" s="27" t="str">
        <f>IF(I698="","",_xlfn.XLOOKUP(I698,Lists!$C:$C,Lists!$J:$J))</f>
        <v/>
      </c>
      <c r="P698" s="27" t="str">
        <f>IF(I698="","",_xlfn.XLOOKUP(I698,Lists!$C:$C,Lists!$E:$E))</f>
        <v/>
      </c>
      <c r="Q698" s="28" t="str">
        <f t="shared" si="49"/>
        <v/>
      </c>
      <c r="R698" s="26" t="str">
        <f t="shared" ca="1" si="50"/>
        <v/>
      </c>
      <c r="S698" s="27" t="str">
        <f>IF(I698="","",_xlfn.XLOOKUP(I698,Lists!$C:$C,Lists!$I:$I))</f>
        <v/>
      </c>
    </row>
    <row r="699" spans="3:19" x14ac:dyDescent="0.2">
      <c r="C699" s="26">
        <f>_xlfn.XLOOKUP(B699,Lists!B:B,Lists!A:A,"")</f>
        <v>0</v>
      </c>
      <c r="G699" s="26" t="str">
        <f t="shared" si="46"/>
        <v/>
      </c>
      <c r="H699" s="31" t="str">
        <f t="shared" si="47"/>
        <v/>
      </c>
      <c r="J699" s="27" t="str">
        <f>IF(I699="","",_xlfn.XLOOKUP(I699,Lists!$C:$C,Lists!$D:$D))</f>
        <v/>
      </c>
      <c r="N699" s="26" t="str">
        <f t="shared" si="48"/>
        <v/>
      </c>
      <c r="O699" s="27" t="str">
        <f>IF(I699="","",_xlfn.XLOOKUP(I699,Lists!$C:$C,Lists!$J:$J))</f>
        <v/>
      </c>
      <c r="P699" s="27" t="str">
        <f>IF(I699="","",_xlfn.XLOOKUP(I699,Lists!$C:$C,Lists!$E:$E))</f>
        <v/>
      </c>
      <c r="Q699" s="28" t="str">
        <f t="shared" si="49"/>
        <v/>
      </c>
      <c r="R699" s="26" t="str">
        <f t="shared" ca="1" si="50"/>
        <v/>
      </c>
      <c r="S699" s="27" t="str">
        <f>IF(I699="","",_xlfn.XLOOKUP(I699,Lists!$C:$C,Lists!$I:$I))</f>
        <v/>
      </c>
    </row>
    <row r="700" spans="3:19" x14ac:dyDescent="0.2">
      <c r="C700" s="26">
        <f>_xlfn.XLOOKUP(B700,Lists!B:B,Lists!A:A,"")</f>
        <v>0</v>
      </c>
      <c r="G700" s="26" t="str">
        <f t="shared" si="46"/>
        <v/>
      </c>
      <c r="H700" s="31" t="str">
        <f t="shared" si="47"/>
        <v/>
      </c>
      <c r="J700" s="27" t="str">
        <f>IF(I700="","",_xlfn.XLOOKUP(I700,Lists!$C:$C,Lists!$D:$D))</f>
        <v/>
      </c>
      <c r="N700" s="26" t="str">
        <f t="shared" si="48"/>
        <v/>
      </c>
      <c r="O700" s="27" t="str">
        <f>IF(I700="","",_xlfn.XLOOKUP(I700,Lists!$C:$C,Lists!$J:$J))</f>
        <v/>
      </c>
      <c r="P700" s="27" t="str">
        <f>IF(I700="","",_xlfn.XLOOKUP(I700,Lists!$C:$C,Lists!$E:$E))</f>
        <v/>
      </c>
      <c r="Q700" s="28" t="str">
        <f t="shared" si="49"/>
        <v/>
      </c>
      <c r="R700" s="26" t="str">
        <f t="shared" ca="1" si="50"/>
        <v/>
      </c>
      <c r="S700" s="27" t="str">
        <f>IF(I700="","",_xlfn.XLOOKUP(I700,Lists!$C:$C,Lists!$I:$I))</f>
        <v/>
      </c>
    </row>
    <row r="701" spans="3:19" x14ac:dyDescent="0.2">
      <c r="C701" s="26">
        <f>_xlfn.XLOOKUP(B701,Lists!B:B,Lists!A:A,"")</f>
        <v>0</v>
      </c>
      <c r="G701" s="26" t="str">
        <f t="shared" si="46"/>
        <v/>
      </c>
      <c r="H701" s="31" t="str">
        <f t="shared" si="47"/>
        <v/>
      </c>
      <c r="J701" s="27" t="str">
        <f>IF(I701="","",_xlfn.XLOOKUP(I701,Lists!$C:$C,Lists!$D:$D))</f>
        <v/>
      </c>
      <c r="N701" s="26" t="str">
        <f t="shared" si="48"/>
        <v/>
      </c>
      <c r="O701" s="27" t="str">
        <f>IF(I701="","",_xlfn.XLOOKUP(I701,Lists!$C:$C,Lists!$J:$J))</f>
        <v/>
      </c>
      <c r="P701" s="27" t="str">
        <f>IF(I701="","",_xlfn.XLOOKUP(I701,Lists!$C:$C,Lists!$E:$E))</f>
        <v/>
      </c>
      <c r="Q701" s="28" t="str">
        <f t="shared" si="49"/>
        <v/>
      </c>
      <c r="R701" s="26" t="str">
        <f t="shared" ca="1" si="50"/>
        <v/>
      </c>
      <c r="S701" s="27" t="str">
        <f>IF(I701="","",_xlfn.XLOOKUP(I701,Lists!$C:$C,Lists!$I:$I))</f>
        <v/>
      </c>
    </row>
    <row r="702" spans="3:19" x14ac:dyDescent="0.2">
      <c r="C702" s="26">
        <f>_xlfn.XLOOKUP(B702,Lists!B:B,Lists!A:A,"")</f>
        <v>0</v>
      </c>
      <c r="G702" s="26" t="str">
        <f t="shared" si="46"/>
        <v/>
      </c>
      <c r="H702" s="31" t="str">
        <f t="shared" si="47"/>
        <v/>
      </c>
      <c r="J702" s="27" t="str">
        <f>IF(I702="","",_xlfn.XLOOKUP(I702,Lists!$C:$C,Lists!$D:$D))</f>
        <v/>
      </c>
      <c r="N702" s="26" t="str">
        <f t="shared" si="48"/>
        <v/>
      </c>
      <c r="O702" s="27" t="str">
        <f>IF(I702="","",_xlfn.XLOOKUP(I702,Lists!$C:$C,Lists!$J:$J))</f>
        <v/>
      </c>
      <c r="P702" s="27" t="str">
        <f>IF(I702="","",_xlfn.XLOOKUP(I702,Lists!$C:$C,Lists!$E:$E))</f>
        <v/>
      </c>
      <c r="Q702" s="28" t="str">
        <f t="shared" si="49"/>
        <v/>
      </c>
      <c r="R702" s="26" t="str">
        <f t="shared" ca="1" si="50"/>
        <v/>
      </c>
      <c r="S702" s="27" t="str">
        <f>IF(I702="","",_xlfn.XLOOKUP(I702,Lists!$C:$C,Lists!$I:$I))</f>
        <v/>
      </c>
    </row>
    <row r="703" spans="3:19" x14ac:dyDescent="0.2">
      <c r="C703" s="26">
        <f>_xlfn.XLOOKUP(B703,Lists!B:B,Lists!A:A,"")</f>
        <v>0</v>
      </c>
      <c r="G703" s="26" t="str">
        <f t="shared" si="46"/>
        <v/>
      </c>
      <c r="H703" s="31" t="str">
        <f t="shared" si="47"/>
        <v/>
      </c>
      <c r="J703" s="27" t="str">
        <f>IF(I703="","",_xlfn.XLOOKUP(I703,Lists!$C:$C,Lists!$D:$D))</f>
        <v/>
      </c>
      <c r="N703" s="26" t="str">
        <f t="shared" si="48"/>
        <v/>
      </c>
      <c r="O703" s="27" t="str">
        <f>IF(I703="","",_xlfn.XLOOKUP(I703,Lists!$C:$C,Lists!$J:$J))</f>
        <v/>
      </c>
      <c r="P703" s="27" t="str">
        <f>IF(I703="","",_xlfn.XLOOKUP(I703,Lists!$C:$C,Lists!$E:$E))</f>
        <v/>
      </c>
      <c r="Q703" s="28" t="str">
        <f t="shared" si="49"/>
        <v/>
      </c>
      <c r="R703" s="26" t="str">
        <f t="shared" ca="1" si="50"/>
        <v/>
      </c>
      <c r="S703" s="27" t="str">
        <f>IF(I703="","",_xlfn.XLOOKUP(I703,Lists!$C:$C,Lists!$I:$I))</f>
        <v/>
      </c>
    </row>
    <row r="704" spans="3:19" x14ac:dyDescent="0.2">
      <c r="C704" s="26">
        <f>_xlfn.XLOOKUP(B704,Lists!B:B,Lists!A:A,"")</f>
        <v>0</v>
      </c>
      <c r="G704" s="26" t="str">
        <f t="shared" si="46"/>
        <v/>
      </c>
      <c r="H704" s="31" t="str">
        <f t="shared" si="47"/>
        <v/>
      </c>
      <c r="J704" s="27" t="str">
        <f>IF(I704="","",_xlfn.XLOOKUP(I704,Lists!$C:$C,Lists!$D:$D))</f>
        <v/>
      </c>
      <c r="N704" s="26" t="str">
        <f t="shared" si="48"/>
        <v/>
      </c>
      <c r="O704" s="27" t="str">
        <f>IF(I704="","",_xlfn.XLOOKUP(I704,Lists!$C:$C,Lists!$J:$J))</f>
        <v/>
      </c>
      <c r="P704" s="27" t="str">
        <f>IF(I704="","",_xlfn.XLOOKUP(I704,Lists!$C:$C,Lists!$E:$E))</f>
        <v/>
      </c>
      <c r="Q704" s="28" t="str">
        <f t="shared" si="49"/>
        <v/>
      </c>
      <c r="R704" s="26" t="str">
        <f t="shared" ca="1" si="50"/>
        <v/>
      </c>
      <c r="S704" s="27" t="str">
        <f>IF(I704="","",_xlfn.XLOOKUP(I704,Lists!$C:$C,Lists!$I:$I))</f>
        <v/>
      </c>
    </row>
    <row r="705" spans="3:19" x14ac:dyDescent="0.2">
      <c r="C705" s="26">
        <f>_xlfn.XLOOKUP(B705,Lists!B:B,Lists!A:A,"")</f>
        <v>0</v>
      </c>
      <c r="G705" s="26" t="str">
        <f t="shared" si="46"/>
        <v/>
      </c>
      <c r="H705" s="31" t="str">
        <f t="shared" si="47"/>
        <v/>
      </c>
      <c r="J705" s="27" t="str">
        <f>IF(I705="","",_xlfn.XLOOKUP(I705,Lists!$C:$C,Lists!$D:$D))</f>
        <v/>
      </c>
      <c r="N705" s="26" t="str">
        <f t="shared" si="48"/>
        <v/>
      </c>
      <c r="O705" s="27" t="str">
        <f>IF(I705="","",_xlfn.XLOOKUP(I705,Lists!$C:$C,Lists!$J:$J))</f>
        <v/>
      </c>
      <c r="P705" s="27" t="str">
        <f>IF(I705="","",_xlfn.XLOOKUP(I705,Lists!$C:$C,Lists!$E:$E))</f>
        <v/>
      </c>
      <c r="Q705" s="28" t="str">
        <f t="shared" si="49"/>
        <v/>
      </c>
      <c r="R705" s="26" t="str">
        <f t="shared" ca="1" si="50"/>
        <v/>
      </c>
      <c r="S705" s="27" t="str">
        <f>IF(I705="","",_xlfn.XLOOKUP(I705,Lists!$C:$C,Lists!$I:$I))</f>
        <v/>
      </c>
    </row>
    <row r="706" spans="3:19" x14ac:dyDescent="0.2">
      <c r="C706" s="26">
        <f>_xlfn.XLOOKUP(B706,Lists!B:B,Lists!A:A,"")</f>
        <v>0</v>
      </c>
      <c r="G706" s="26" t="str">
        <f t="shared" si="46"/>
        <v/>
      </c>
      <c r="H706" s="31" t="str">
        <f t="shared" si="47"/>
        <v/>
      </c>
      <c r="J706" s="27" t="str">
        <f>IF(I706="","",_xlfn.XLOOKUP(I706,Lists!$C:$C,Lists!$D:$D))</f>
        <v/>
      </c>
      <c r="N706" s="26" t="str">
        <f t="shared" si="48"/>
        <v/>
      </c>
      <c r="O706" s="27" t="str">
        <f>IF(I706="","",_xlfn.XLOOKUP(I706,Lists!$C:$C,Lists!$J:$J))</f>
        <v/>
      </c>
      <c r="P706" s="27" t="str">
        <f>IF(I706="","",_xlfn.XLOOKUP(I706,Lists!$C:$C,Lists!$E:$E))</f>
        <v/>
      </c>
      <c r="Q706" s="28" t="str">
        <f t="shared" si="49"/>
        <v/>
      </c>
      <c r="R706" s="26" t="str">
        <f t="shared" ca="1" si="50"/>
        <v/>
      </c>
      <c r="S706" s="27" t="str">
        <f>IF(I706="","",_xlfn.XLOOKUP(I706,Lists!$C:$C,Lists!$I:$I))</f>
        <v/>
      </c>
    </row>
    <row r="707" spans="3:19" x14ac:dyDescent="0.2">
      <c r="C707" s="26">
        <f>_xlfn.XLOOKUP(B707,Lists!B:B,Lists!A:A,"")</f>
        <v>0</v>
      </c>
      <c r="G707" s="26" t="str">
        <f t="shared" si="46"/>
        <v/>
      </c>
      <c r="H707" s="31" t="str">
        <f t="shared" si="47"/>
        <v/>
      </c>
      <c r="J707" s="27" t="str">
        <f>IF(I707="","",_xlfn.XLOOKUP(I707,Lists!$C:$C,Lists!$D:$D))</f>
        <v/>
      </c>
      <c r="N707" s="26" t="str">
        <f t="shared" si="48"/>
        <v/>
      </c>
      <c r="O707" s="27" t="str">
        <f>IF(I707="","",_xlfn.XLOOKUP(I707,Lists!$C:$C,Lists!$J:$J))</f>
        <v/>
      </c>
      <c r="P707" s="27" t="str">
        <f>IF(I707="","",_xlfn.XLOOKUP(I707,Lists!$C:$C,Lists!$E:$E))</f>
        <v/>
      </c>
      <c r="Q707" s="28" t="str">
        <f t="shared" si="49"/>
        <v/>
      </c>
      <c r="R707" s="26" t="str">
        <f t="shared" ca="1" si="50"/>
        <v/>
      </c>
      <c r="S707" s="27" t="str">
        <f>IF(I707="","",_xlfn.XLOOKUP(I707,Lists!$C:$C,Lists!$I:$I))</f>
        <v/>
      </c>
    </row>
    <row r="708" spans="3:19" x14ac:dyDescent="0.2">
      <c r="C708" s="26">
        <f>_xlfn.XLOOKUP(B708,Lists!B:B,Lists!A:A,"")</f>
        <v>0</v>
      </c>
      <c r="G708" s="26" t="str">
        <f t="shared" si="46"/>
        <v/>
      </c>
      <c r="H708" s="31" t="str">
        <f t="shared" si="47"/>
        <v/>
      </c>
      <c r="J708" s="27" t="str">
        <f>IF(I708="","",_xlfn.XLOOKUP(I708,Lists!$C:$C,Lists!$D:$D))</f>
        <v/>
      </c>
      <c r="N708" s="26" t="str">
        <f t="shared" si="48"/>
        <v/>
      </c>
      <c r="O708" s="27" t="str">
        <f>IF(I708="","",_xlfn.XLOOKUP(I708,Lists!$C:$C,Lists!$J:$J))</f>
        <v/>
      </c>
      <c r="P708" s="27" t="str">
        <f>IF(I708="","",_xlfn.XLOOKUP(I708,Lists!$C:$C,Lists!$E:$E))</f>
        <v/>
      </c>
      <c r="Q708" s="28" t="str">
        <f t="shared" si="49"/>
        <v/>
      </c>
      <c r="R708" s="26" t="str">
        <f t="shared" ca="1" si="50"/>
        <v/>
      </c>
      <c r="S708" s="27" t="str">
        <f>IF(I708="","",_xlfn.XLOOKUP(I708,Lists!$C:$C,Lists!$I:$I))</f>
        <v/>
      </c>
    </row>
    <row r="709" spans="3:19" x14ac:dyDescent="0.2">
      <c r="C709" s="26">
        <f>_xlfn.XLOOKUP(B709,Lists!B:B,Lists!A:A,"")</f>
        <v>0</v>
      </c>
      <c r="G709" s="26" t="str">
        <f t="shared" si="46"/>
        <v/>
      </c>
      <c r="H709" s="31" t="str">
        <f t="shared" si="47"/>
        <v/>
      </c>
      <c r="J709" s="27" t="str">
        <f>IF(I709="","",_xlfn.XLOOKUP(I709,Lists!$C:$C,Lists!$D:$D))</f>
        <v/>
      </c>
      <c r="N709" s="26" t="str">
        <f t="shared" si="48"/>
        <v/>
      </c>
      <c r="O709" s="27" t="str">
        <f>IF(I709="","",_xlfn.XLOOKUP(I709,Lists!$C:$C,Lists!$J:$J))</f>
        <v/>
      </c>
      <c r="P709" s="27" t="str">
        <f>IF(I709="","",_xlfn.XLOOKUP(I709,Lists!$C:$C,Lists!$E:$E))</f>
        <v/>
      </c>
      <c r="Q709" s="28" t="str">
        <f t="shared" si="49"/>
        <v/>
      </c>
      <c r="R709" s="26" t="str">
        <f t="shared" ca="1" si="50"/>
        <v/>
      </c>
      <c r="S709" s="27" t="str">
        <f>IF(I709="","",_xlfn.XLOOKUP(I709,Lists!$C:$C,Lists!$I:$I))</f>
        <v/>
      </c>
    </row>
    <row r="710" spans="3:19" x14ac:dyDescent="0.2">
      <c r="C710" s="26">
        <f>_xlfn.XLOOKUP(B710,Lists!B:B,Lists!A:A,"")</f>
        <v>0</v>
      </c>
      <c r="G710" s="26" t="str">
        <f t="shared" si="46"/>
        <v/>
      </c>
      <c r="H710" s="31" t="str">
        <f t="shared" si="47"/>
        <v/>
      </c>
      <c r="J710" s="27" t="str">
        <f>IF(I710="","",_xlfn.XLOOKUP(I710,Lists!$C:$C,Lists!$D:$D))</f>
        <v/>
      </c>
      <c r="N710" s="26" t="str">
        <f t="shared" si="48"/>
        <v/>
      </c>
      <c r="O710" s="27" t="str">
        <f>IF(I710="","",_xlfn.XLOOKUP(I710,Lists!$C:$C,Lists!$J:$J))</f>
        <v/>
      </c>
      <c r="P710" s="27" t="str">
        <f>IF(I710="","",_xlfn.XLOOKUP(I710,Lists!$C:$C,Lists!$E:$E))</f>
        <v/>
      </c>
      <c r="Q710" s="28" t="str">
        <f t="shared" si="49"/>
        <v/>
      </c>
      <c r="R710" s="26" t="str">
        <f t="shared" ca="1" si="50"/>
        <v/>
      </c>
      <c r="S710" s="27" t="str">
        <f>IF(I710="","",_xlfn.XLOOKUP(I710,Lists!$C:$C,Lists!$I:$I))</f>
        <v/>
      </c>
    </row>
    <row r="711" spans="3:19" x14ac:dyDescent="0.2">
      <c r="C711" s="26">
        <f>_xlfn.XLOOKUP(B711,Lists!B:B,Lists!A:A,"")</f>
        <v>0</v>
      </c>
      <c r="G711" s="26" t="str">
        <f t="shared" si="46"/>
        <v/>
      </c>
      <c r="H711" s="31" t="str">
        <f t="shared" si="47"/>
        <v/>
      </c>
      <c r="J711" s="27" t="str">
        <f>IF(I711="","",_xlfn.XLOOKUP(I711,Lists!$C:$C,Lists!$D:$D))</f>
        <v/>
      </c>
      <c r="N711" s="26" t="str">
        <f t="shared" si="48"/>
        <v/>
      </c>
      <c r="O711" s="27" t="str">
        <f>IF(I711="","",_xlfn.XLOOKUP(I711,Lists!$C:$C,Lists!$J:$J))</f>
        <v/>
      </c>
      <c r="P711" s="27" t="str">
        <f>IF(I711="","",_xlfn.XLOOKUP(I711,Lists!$C:$C,Lists!$E:$E))</f>
        <v/>
      </c>
      <c r="Q711" s="28" t="str">
        <f t="shared" si="49"/>
        <v/>
      </c>
      <c r="R711" s="26" t="str">
        <f t="shared" ca="1" si="50"/>
        <v/>
      </c>
      <c r="S711" s="27" t="str">
        <f>IF(I711="","",_xlfn.XLOOKUP(I711,Lists!$C:$C,Lists!$I:$I))</f>
        <v/>
      </c>
    </row>
    <row r="712" spans="3:19" x14ac:dyDescent="0.2">
      <c r="C712" s="26">
        <f>_xlfn.XLOOKUP(B712,Lists!B:B,Lists!A:A,"")</f>
        <v>0</v>
      </c>
      <c r="G712" s="26" t="str">
        <f t="shared" si="46"/>
        <v/>
      </c>
      <c r="H712" s="31" t="str">
        <f t="shared" si="47"/>
        <v/>
      </c>
      <c r="J712" s="27" t="str">
        <f>IF(I712="","",_xlfn.XLOOKUP(I712,Lists!$C:$C,Lists!$D:$D))</f>
        <v/>
      </c>
      <c r="N712" s="26" t="str">
        <f t="shared" si="48"/>
        <v/>
      </c>
      <c r="O712" s="27" t="str">
        <f>IF(I712="","",_xlfn.XLOOKUP(I712,Lists!$C:$C,Lists!$J:$J))</f>
        <v/>
      </c>
      <c r="P712" s="27" t="str">
        <f>IF(I712="","",_xlfn.XLOOKUP(I712,Lists!$C:$C,Lists!$E:$E))</f>
        <v/>
      </c>
      <c r="Q712" s="28" t="str">
        <f t="shared" si="49"/>
        <v/>
      </c>
      <c r="R712" s="26" t="str">
        <f t="shared" ca="1" si="50"/>
        <v/>
      </c>
      <c r="S712" s="27" t="str">
        <f>IF(I712="","",_xlfn.XLOOKUP(I712,Lists!$C:$C,Lists!$I:$I))</f>
        <v/>
      </c>
    </row>
    <row r="713" spans="3:19" x14ac:dyDescent="0.2">
      <c r="C713" s="26">
        <f>_xlfn.XLOOKUP(B713,Lists!B:B,Lists!A:A,"")</f>
        <v>0</v>
      </c>
      <c r="G713" s="26" t="str">
        <f t="shared" si="46"/>
        <v/>
      </c>
      <c r="H713" s="31" t="str">
        <f t="shared" si="47"/>
        <v/>
      </c>
      <c r="J713" s="27" t="str">
        <f>IF(I713="","",_xlfn.XLOOKUP(I713,Lists!$C:$C,Lists!$D:$D))</f>
        <v/>
      </c>
      <c r="N713" s="26" t="str">
        <f t="shared" si="48"/>
        <v/>
      </c>
      <c r="O713" s="27" t="str">
        <f>IF(I713="","",_xlfn.XLOOKUP(I713,Lists!$C:$C,Lists!$J:$J))</f>
        <v/>
      </c>
      <c r="P713" s="27" t="str">
        <f>IF(I713="","",_xlfn.XLOOKUP(I713,Lists!$C:$C,Lists!$E:$E))</f>
        <v/>
      </c>
      <c r="Q713" s="28" t="str">
        <f t="shared" si="49"/>
        <v/>
      </c>
      <c r="R713" s="26" t="str">
        <f t="shared" ca="1" si="50"/>
        <v/>
      </c>
      <c r="S713" s="27" t="str">
        <f>IF(I713="","",_xlfn.XLOOKUP(I713,Lists!$C:$C,Lists!$I:$I))</f>
        <v/>
      </c>
    </row>
    <row r="714" spans="3:19" x14ac:dyDescent="0.2">
      <c r="C714" s="26">
        <f>_xlfn.XLOOKUP(B714,Lists!B:B,Lists!A:A,"")</f>
        <v>0</v>
      </c>
      <c r="G714" s="26" t="str">
        <f t="shared" si="46"/>
        <v/>
      </c>
      <c r="H714" s="31" t="str">
        <f t="shared" si="47"/>
        <v/>
      </c>
      <c r="J714" s="27" t="str">
        <f>IF(I714="","",_xlfn.XLOOKUP(I714,Lists!$C:$C,Lists!$D:$D))</f>
        <v/>
      </c>
      <c r="N714" s="26" t="str">
        <f t="shared" si="48"/>
        <v/>
      </c>
      <c r="O714" s="27" t="str">
        <f>IF(I714="","",_xlfn.XLOOKUP(I714,Lists!$C:$C,Lists!$J:$J))</f>
        <v/>
      </c>
      <c r="P714" s="27" t="str">
        <f>IF(I714="","",_xlfn.XLOOKUP(I714,Lists!$C:$C,Lists!$E:$E))</f>
        <v/>
      </c>
      <c r="Q714" s="28" t="str">
        <f t="shared" si="49"/>
        <v/>
      </c>
      <c r="R714" s="26" t="str">
        <f t="shared" ca="1" si="50"/>
        <v/>
      </c>
      <c r="S714" s="27" t="str">
        <f>IF(I714="","",_xlfn.XLOOKUP(I714,Lists!$C:$C,Lists!$I:$I))</f>
        <v/>
      </c>
    </row>
    <row r="715" spans="3:19" x14ac:dyDescent="0.2">
      <c r="C715" s="26">
        <f>_xlfn.XLOOKUP(B715,Lists!B:B,Lists!A:A,"")</f>
        <v>0</v>
      </c>
      <c r="G715" s="26" t="str">
        <f t="shared" ref="G715:G778" si="51">IF(OR(E715="",F715=""),"",F715-E715+1)</f>
        <v/>
      </c>
      <c r="H715" s="31" t="str">
        <f t="shared" ref="H715:H778" si="52">IF(D715="","",IF(OR(D715="A",D715="B"),G715/80,IF(D715="A&amp;B",G715/160,"")))</f>
        <v/>
      </c>
      <c r="J715" s="27" t="str">
        <f>IF(I715="","",_xlfn.XLOOKUP(I715,Lists!$C:$C,Lists!$D:$D))</f>
        <v/>
      </c>
      <c r="N715" s="26" t="str">
        <f t="shared" ref="N715:N778" si="53">IF(OR(M715="",L715=""),"",(M715*L715)/100000)</f>
        <v/>
      </c>
      <c r="O715" s="27" t="str">
        <f>IF(I715="","",_xlfn.XLOOKUP(I715,Lists!$C:$C,Lists!$J:$J))</f>
        <v/>
      </c>
      <c r="P715" s="27" t="str">
        <f>IF(I715="","",_xlfn.XLOOKUP(I715,Lists!$C:$C,Lists!$E:$E))</f>
        <v/>
      </c>
      <c r="Q715" s="28" t="str">
        <f t="shared" ref="Q715:Q778" si="54">IF(OR(A715="",P715=""),"",A715+P715+1)</f>
        <v/>
      </c>
      <c r="R715" s="26" t="str">
        <f t="shared" ref="R715:R778" ca="1" si="55">IF(Q715="","",IF(Q715&lt;=TODAY(),"Allow","Not Allow"))</f>
        <v/>
      </c>
      <c r="S715" s="27" t="str">
        <f>IF(I715="","",_xlfn.XLOOKUP(I715,Lists!$C:$C,Lists!$I:$I))</f>
        <v/>
      </c>
    </row>
    <row r="716" spans="3:19" x14ac:dyDescent="0.2">
      <c r="C716" s="26">
        <f>_xlfn.XLOOKUP(B716,Lists!B:B,Lists!A:A,"")</f>
        <v>0</v>
      </c>
      <c r="G716" s="26" t="str">
        <f t="shared" si="51"/>
        <v/>
      </c>
      <c r="H716" s="31" t="str">
        <f t="shared" si="52"/>
        <v/>
      </c>
      <c r="J716" s="27" t="str">
        <f>IF(I716="","",_xlfn.XLOOKUP(I716,Lists!$C:$C,Lists!$D:$D))</f>
        <v/>
      </c>
      <c r="N716" s="26" t="str">
        <f t="shared" si="53"/>
        <v/>
      </c>
      <c r="O716" s="27" t="str">
        <f>IF(I716="","",_xlfn.XLOOKUP(I716,Lists!$C:$C,Lists!$J:$J))</f>
        <v/>
      </c>
      <c r="P716" s="27" t="str">
        <f>IF(I716="","",_xlfn.XLOOKUP(I716,Lists!$C:$C,Lists!$E:$E))</f>
        <v/>
      </c>
      <c r="Q716" s="28" t="str">
        <f t="shared" si="54"/>
        <v/>
      </c>
      <c r="R716" s="26" t="str">
        <f t="shared" ca="1" si="55"/>
        <v/>
      </c>
      <c r="S716" s="27" t="str">
        <f>IF(I716="","",_xlfn.XLOOKUP(I716,Lists!$C:$C,Lists!$I:$I))</f>
        <v/>
      </c>
    </row>
    <row r="717" spans="3:19" x14ac:dyDescent="0.2">
      <c r="C717" s="26">
        <f>_xlfn.XLOOKUP(B717,Lists!B:B,Lists!A:A,"")</f>
        <v>0</v>
      </c>
      <c r="G717" s="26" t="str">
        <f t="shared" si="51"/>
        <v/>
      </c>
      <c r="H717" s="31" t="str">
        <f t="shared" si="52"/>
        <v/>
      </c>
      <c r="J717" s="27" t="str">
        <f>IF(I717="","",_xlfn.XLOOKUP(I717,Lists!$C:$C,Lists!$D:$D))</f>
        <v/>
      </c>
      <c r="N717" s="26" t="str">
        <f t="shared" si="53"/>
        <v/>
      </c>
      <c r="O717" s="27" t="str">
        <f>IF(I717="","",_xlfn.XLOOKUP(I717,Lists!$C:$C,Lists!$J:$J))</f>
        <v/>
      </c>
      <c r="P717" s="27" t="str">
        <f>IF(I717="","",_xlfn.XLOOKUP(I717,Lists!$C:$C,Lists!$E:$E))</f>
        <v/>
      </c>
      <c r="Q717" s="28" t="str">
        <f t="shared" si="54"/>
        <v/>
      </c>
      <c r="R717" s="26" t="str">
        <f t="shared" ca="1" si="55"/>
        <v/>
      </c>
      <c r="S717" s="27" t="str">
        <f>IF(I717="","",_xlfn.XLOOKUP(I717,Lists!$C:$C,Lists!$I:$I))</f>
        <v/>
      </c>
    </row>
    <row r="718" spans="3:19" x14ac:dyDescent="0.2">
      <c r="C718" s="26">
        <f>_xlfn.XLOOKUP(B718,Lists!B:B,Lists!A:A,"")</f>
        <v>0</v>
      </c>
      <c r="G718" s="26" t="str">
        <f t="shared" si="51"/>
        <v/>
      </c>
      <c r="H718" s="31" t="str">
        <f t="shared" si="52"/>
        <v/>
      </c>
      <c r="J718" s="27" t="str">
        <f>IF(I718="","",_xlfn.XLOOKUP(I718,Lists!$C:$C,Lists!$D:$D))</f>
        <v/>
      </c>
      <c r="N718" s="26" t="str">
        <f t="shared" si="53"/>
        <v/>
      </c>
      <c r="O718" s="27" t="str">
        <f>IF(I718="","",_xlfn.XLOOKUP(I718,Lists!$C:$C,Lists!$J:$J))</f>
        <v/>
      </c>
      <c r="P718" s="27" t="str">
        <f>IF(I718="","",_xlfn.XLOOKUP(I718,Lists!$C:$C,Lists!$E:$E))</f>
        <v/>
      </c>
      <c r="Q718" s="28" t="str">
        <f t="shared" si="54"/>
        <v/>
      </c>
      <c r="R718" s="26" t="str">
        <f t="shared" ca="1" si="55"/>
        <v/>
      </c>
      <c r="S718" s="27" t="str">
        <f>IF(I718="","",_xlfn.XLOOKUP(I718,Lists!$C:$C,Lists!$I:$I))</f>
        <v/>
      </c>
    </row>
    <row r="719" spans="3:19" x14ac:dyDescent="0.2">
      <c r="C719" s="26">
        <f>_xlfn.XLOOKUP(B719,Lists!B:B,Lists!A:A,"")</f>
        <v>0</v>
      </c>
      <c r="G719" s="26" t="str">
        <f t="shared" si="51"/>
        <v/>
      </c>
      <c r="H719" s="31" t="str">
        <f t="shared" si="52"/>
        <v/>
      </c>
      <c r="J719" s="27" t="str">
        <f>IF(I719="","",_xlfn.XLOOKUP(I719,Lists!$C:$C,Lists!$D:$D))</f>
        <v/>
      </c>
      <c r="N719" s="26" t="str">
        <f t="shared" si="53"/>
        <v/>
      </c>
      <c r="O719" s="27" t="str">
        <f>IF(I719="","",_xlfn.XLOOKUP(I719,Lists!$C:$C,Lists!$J:$J))</f>
        <v/>
      </c>
      <c r="P719" s="27" t="str">
        <f>IF(I719="","",_xlfn.XLOOKUP(I719,Lists!$C:$C,Lists!$E:$E))</f>
        <v/>
      </c>
      <c r="Q719" s="28" t="str">
        <f t="shared" si="54"/>
        <v/>
      </c>
      <c r="R719" s="26" t="str">
        <f t="shared" ca="1" si="55"/>
        <v/>
      </c>
      <c r="S719" s="27" t="str">
        <f>IF(I719="","",_xlfn.XLOOKUP(I719,Lists!$C:$C,Lists!$I:$I))</f>
        <v/>
      </c>
    </row>
    <row r="720" spans="3:19" x14ac:dyDescent="0.2">
      <c r="C720" s="26">
        <f>_xlfn.XLOOKUP(B720,Lists!B:B,Lists!A:A,"")</f>
        <v>0</v>
      </c>
      <c r="G720" s="26" t="str">
        <f t="shared" si="51"/>
        <v/>
      </c>
      <c r="H720" s="31" t="str">
        <f t="shared" si="52"/>
        <v/>
      </c>
      <c r="J720" s="27" t="str">
        <f>IF(I720="","",_xlfn.XLOOKUP(I720,Lists!$C:$C,Lists!$D:$D))</f>
        <v/>
      </c>
      <c r="N720" s="26" t="str">
        <f t="shared" si="53"/>
        <v/>
      </c>
      <c r="O720" s="27" t="str">
        <f>IF(I720="","",_xlfn.XLOOKUP(I720,Lists!$C:$C,Lists!$J:$J))</f>
        <v/>
      </c>
      <c r="P720" s="27" t="str">
        <f>IF(I720="","",_xlfn.XLOOKUP(I720,Lists!$C:$C,Lists!$E:$E))</f>
        <v/>
      </c>
      <c r="Q720" s="28" t="str">
        <f t="shared" si="54"/>
        <v/>
      </c>
      <c r="R720" s="26" t="str">
        <f t="shared" ca="1" si="55"/>
        <v/>
      </c>
      <c r="S720" s="27" t="str">
        <f>IF(I720="","",_xlfn.XLOOKUP(I720,Lists!$C:$C,Lists!$I:$I))</f>
        <v/>
      </c>
    </row>
    <row r="721" spans="3:19" x14ac:dyDescent="0.2">
      <c r="C721" s="26">
        <f>_xlfn.XLOOKUP(B721,Lists!B:B,Lists!A:A,"")</f>
        <v>0</v>
      </c>
      <c r="G721" s="26" t="str">
        <f t="shared" si="51"/>
        <v/>
      </c>
      <c r="H721" s="31" t="str">
        <f t="shared" si="52"/>
        <v/>
      </c>
      <c r="J721" s="27" t="str">
        <f>IF(I721="","",_xlfn.XLOOKUP(I721,Lists!$C:$C,Lists!$D:$D))</f>
        <v/>
      </c>
      <c r="N721" s="26" t="str">
        <f t="shared" si="53"/>
        <v/>
      </c>
      <c r="O721" s="27" t="str">
        <f>IF(I721="","",_xlfn.XLOOKUP(I721,Lists!$C:$C,Lists!$J:$J))</f>
        <v/>
      </c>
      <c r="P721" s="27" t="str">
        <f>IF(I721="","",_xlfn.XLOOKUP(I721,Lists!$C:$C,Lists!$E:$E))</f>
        <v/>
      </c>
      <c r="Q721" s="28" t="str">
        <f t="shared" si="54"/>
        <v/>
      </c>
      <c r="R721" s="26" t="str">
        <f t="shared" ca="1" si="55"/>
        <v/>
      </c>
      <c r="S721" s="27" t="str">
        <f>IF(I721="","",_xlfn.XLOOKUP(I721,Lists!$C:$C,Lists!$I:$I))</f>
        <v/>
      </c>
    </row>
    <row r="722" spans="3:19" x14ac:dyDescent="0.2">
      <c r="C722" s="26">
        <f>_xlfn.XLOOKUP(B722,Lists!B:B,Lists!A:A,"")</f>
        <v>0</v>
      </c>
      <c r="G722" s="26" t="str">
        <f t="shared" si="51"/>
        <v/>
      </c>
      <c r="H722" s="31" t="str">
        <f t="shared" si="52"/>
        <v/>
      </c>
      <c r="J722" s="27" t="str">
        <f>IF(I722="","",_xlfn.XLOOKUP(I722,Lists!$C:$C,Lists!$D:$D))</f>
        <v/>
      </c>
      <c r="N722" s="26" t="str">
        <f t="shared" si="53"/>
        <v/>
      </c>
      <c r="O722" s="27" t="str">
        <f>IF(I722="","",_xlfn.XLOOKUP(I722,Lists!$C:$C,Lists!$J:$J))</f>
        <v/>
      </c>
      <c r="P722" s="27" t="str">
        <f>IF(I722="","",_xlfn.XLOOKUP(I722,Lists!$C:$C,Lists!$E:$E))</f>
        <v/>
      </c>
      <c r="Q722" s="28" t="str">
        <f t="shared" si="54"/>
        <v/>
      </c>
      <c r="R722" s="26" t="str">
        <f t="shared" ca="1" si="55"/>
        <v/>
      </c>
      <c r="S722" s="27" t="str">
        <f>IF(I722="","",_xlfn.XLOOKUP(I722,Lists!$C:$C,Lists!$I:$I))</f>
        <v/>
      </c>
    </row>
    <row r="723" spans="3:19" x14ac:dyDescent="0.2">
      <c r="C723" s="26">
        <f>_xlfn.XLOOKUP(B723,Lists!B:B,Lists!A:A,"")</f>
        <v>0</v>
      </c>
      <c r="G723" s="26" t="str">
        <f t="shared" si="51"/>
        <v/>
      </c>
      <c r="H723" s="31" t="str">
        <f t="shared" si="52"/>
        <v/>
      </c>
      <c r="J723" s="27" t="str">
        <f>IF(I723="","",_xlfn.XLOOKUP(I723,Lists!$C:$C,Lists!$D:$D))</f>
        <v/>
      </c>
      <c r="N723" s="26" t="str">
        <f t="shared" si="53"/>
        <v/>
      </c>
      <c r="O723" s="27" t="str">
        <f>IF(I723="","",_xlfn.XLOOKUP(I723,Lists!$C:$C,Lists!$J:$J))</f>
        <v/>
      </c>
      <c r="P723" s="27" t="str">
        <f>IF(I723="","",_xlfn.XLOOKUP(I723,Lists!$C:$C,Lists!$E:$E))</f>
        <v/>
      </c>
      <c r="Q723" s="28" t="str">
        <f t="shared" si="54"/>
        <v/>
      </c>
      <c r="R723" s="26" t="str">
        <f t="shared" ca="1" si="55"/>
        <v/>
      </c>
      <c r="S723" s="27" t="str">
        <f>IF(I723="","",_xlfn.XLOOKUP(I723,Lists!$C:$C,Lists!$I:$I))</f>
        <v/>
      </c>
    </row>
    <row r="724" spans="3:19" x14ac:dyDescent="0.2">
      <c r="C724" s="26">
        <f>_xlfn.XLOOKUP(B724,Lists!B:B,Lists!A:A,"")</f>
        <v>0</v>
      </c>
      <c r="G724" s="26" t="str">
        <f t="shared" si="51"/>
        <v/>
      </c>
      <c r="H724" s="31" t="str">
        <f t="shared" si="52"/>
        <v/>
      </c>
      <c r="J724" s="27" t="str">
        <f>IF(I724="","",_xlfn.XLOOKUP(I724,Lists!$C:$C,Lists!$D:$D))</f>
        <v/>
      </c>
      <c r="N724" s="26" t="str">
        <f t="shared" si="53"/>
        <v/>
      </c>
      <c r="O724" s="27" t="str">
        <f>IF(I724="","",_xlfn.XLOOKUP(I724,Lists!$C:$C,Lists!$J:$J))</f>
        <v/>
      </c>
      <c r="P724" s="27" t="str">
        <f>IF(I724="","",_xlfn.XLOOKUP(I724,Lists!$C:$C,Lists!$E:$E))</f>
        <v/>
      </c>
      <c r="Q724" s="28" t="str">
        <f t="shared" si="54"/>
        <v/>
      </c>
      <c r="R724" s="26" t="str">
        <f t="shared" ca="1" si="55"/>
        <v/>
      </c>
      <c r="S724" s="27" t="str">
        <f>IF(I724="","",_xlfn.XLOOKUP(I724,Lists!$C:$C,Lists!$I:$I))</f>
        <v/>
      </c>
    </row>
    <row r="725" spans="3:19" x14ac:dyDescent="0.2">
      <c r="C725" s="26">
        <f>_xlfn.XLOOKUP(B725,Lists!B:B,Lists!A:A,"")</f>
        <v>0</v>
      </c>
      <c r="G725" s="26" t="str">
        <f t="shared" si="51"/>
        <v/>
      </c>
      <c r="H725" s="31" t="str">
        <f t="shared" si="52"/>
        <v/>
      </c>
      <c r="J725" s="27" t="str">
        <f>IF(I725="","",_xlfn.XLOOKUP(I725,Lists!$C:$C,Lists!$D:$D))</f>
        <v/>
      </c>
      <c r="N725" s="26" t="str">
        <f t="shared" si="53"/>
        <v/>
      </c>
      <c r="O725" s="27" t="str">
        <f>IF(I725="","",_xlfn.XLOOKUP(I725,Lists!$C:$C,Lists!$J:$J))</f>
        <v/>
      </c>
      <c r="P725" s="27" t="str">
        <f>IF(I725="","",_xlfn.XLOOKUP(I725,Lists!$C:$C,Lists!$E:$E))</f>
        <v/>
      </c>
      <c r="Q725" s="28" t="str">
        <f t="shared" si="54"/>
        <v/>
      </c>
      <c r="R725" s="26" t="str">
        <f t="shared" ca="1" si="55"/>
        <v/>
      </c>
      <c r="S725" s="27" t="str">
        <f>IF(I725="","",_xlfn.XLOOKUP(I725,Lists!$C:$C,Lists!$I:$I))</f>
        <v/>
      </c>
    </row>
    <row r="726" spans="3:19" x14ac:dyDescent="0.2">
      <c r="C726" s="26">
        <f>_xlfn.XLOOKUP(B726,Lists!B:B,Lists!A:A,"")</f>
        <v>0</v>
      </c>
      <c r="G726" s="26" t="str">
        <f t="shared" si="51"/>
        <v/>
      </c>
      <c r="H726" s="31" t="str">
        <f t="shared" si="52"/>
        <v/>
      </c>
      <c r="J726" s="27" t="str">
        <f>IF(I726="","",_xlfn.XLOOKUP(I726,Lists!$C:$C,Lists!$D:$D))</f>
        <v/>
      </c>
      <c r="N726" s="26" t="str">
        <f t="shared" si="53"/>
        <v/>
      </c>
      <c r="O726" s="27" t="str">
        <f>IF(I726="","",_xlfn.XLOOKUP(I726,Lists!$C:$C,Lists!$J:$J))</f>
        <v/>
      </c>
      <c r="P726" s="27" t="str">
        <f>IF(I726="","",_xlfn.XLOOKUP(I726,Lists!$C:$C,Lists!$E:$E))</f>
        <v/>
      </c>
      <c r="Q726" s="28" t="str">
        <f t="shared" si="54"/>
        <v/>
      </c>
      <c r="R726" s="26" t="str">
        <f t="shared" ca="1" si="55"/>
        <v/>
      </c>
      <c r="S726" s="27" t="str">
        <f>IF(I726="","",_xlfn.XLOOKUP(I726,Lists!$C:$C,Lists!$I:$I))</f>
        <v/>
      </c>
    </row>
    <row r="727" spans="3:19" x14ac:dyDescent="0.2">
      <c r="C727" s="26">
        <f>_xlfn.XLOOKUP(B727,Lists!B:B,Lists!A:A,"")</f>
        <v>0</v>
      </c>
      <c r="G727" s="26" t="str">
        <f t="shared" si="51"/>
        <v/>
      </c>
      <c r="H727" s="31" t="str">
        <f t="shared" si="52"/>
        <v/>
      </c>
      <c r="J727" s="27" t="str">
        <f>IF(I727="","",_xlfn.XLOOKUP(I727,Lists!$C:$C,Lists!$D:$D))</f>
        <v/>
      </c>
      <c r="N727" s="26" t="str">
        <f t="shared" si="53"/>
        <v/>
      </c>
      <c r="O727" s="27" t="str">
        <f>IF(I727="","",_xlfn.XLOOKUP(I727,Lists!$C:$C,Lists!$J:$J))</f>
        <v/>
      </c>
      <c r="P727" s="27" t="str">
        <f>IF(I727="","",_xlfn.XLOOKUP(I727,Lists!$C:$C,Lists!$E:$E))</f>
        <v/>
      </c>
      <c r="Q727" s="28" t="str">
        <f t="shared" si="54"/>
        <v/>
      </c>
      <c r="R727" s="26" t="str">
        <f t="shared" ca="1" si="55"/>
        <v/>
      </c>
      <c r="S727" s="27" t="str">
        <f>IF(I727="","",_xlfn.XLOOKUP(I727,Lists!$C:$C,Lists!$I:$I))</f>
        <v/>
      </c>
    </row>
    <row r="728" spans="3:19" x14ac:dyDescent="0.2">
      <c r="C728" s="26">
        <f>_xlfn.XLOOKUP(B728,Lists!B:B,Lists!A:A,"")</f>
        <v>0</v>
      </c>
      <c r="G728" s="26" t="str">
        <f t="shared" si="51"/>
        <v/>
      </c>
      <c r="H728" s="31" t="str">
        <f t="shared" si="52"/>
        <v/>
      </c>
      <c r="J728" s="27" t="str">
        <f>IF(I728="","",_xlfn.XLOOKUP(I728,Lists!$C:$C,Lists!$D:$D))</f>
        <v/>
      </c>
      <c r="N728" s="26" t="str">
        <f t="shared" si="53"/>
        <v/>
      </c>
      <c r="O728" s="27" t="str">
        <f>IF(I728="","",_xlfn.XLOOKUP(I728,Lists!$C:$C,Lists!$J:$J))</f>
        <v/>
      </c>
      <c r="P728" s="27" t="str">
        <f>IF(I728="","",_xlfn.XLOOKUP(I728,Lists!$C:$C,Lists!$E:$E))</f>
        <v/>
      </c>
      <c r="Q728" s="28" t="str">
        <f t="shared" si="54"/>
        <v/>
      </c>
      <c r="R728" s="26" t="str">
        <f t="shared" ca="1" si="55"/>
        <v/>
      </c>
      <c r="S728" s="27" t="str">
        <f>IF(I728="","",_xlfn.XLOOKUP(I728,Lists!$C:$C,Lists!$I:$I))</f>
        <v/>
      </c>
    </row>
    <row r="729" spans="3:19" x14ac:dyDescent="0.2">
      <c r="C729" s="26">
        <f>_xlfn.XLOOKUP(B729,Lists!B:B,Lists!A:A,"")</f>
        <v>0</v>
      </c>
      <c r="G729" s="26" t="str">
        <f t="shared" si="51"/>
        <v/>
      </c>
      <c r="H729" s="31" t="str">
        <f t="shared" si="52"/>
        <v/>
      </c>
      <c r="J729" s="27" t="str">
        <f>IF(I729="","",_xlfn.XLOOKUP(I729,Lists!$C:$C,Lists!$D:$D))</f>
        <v/>
      </c>
      <c r="N729" s="26" t="str">
        <f t="shared" si="53"/>
        <v/>
      </c>
      <c r="O729" s="27" t="str">
        <f>IF(I729="","",_xlfn.XLOOKUP(I729,Lists!$C:$C,Lists!$J:$J))</f>
        <v/>
      </c>
      <c r="P729" s="27" t="str">
        <f>IF(I729="","",_xlfn.XLOOKUP(I729,Lists!$C:$C,Lists!$E:$E))</f>
        <v/>
      </c>
      <c r="Q729" s="28" t="str">
        <f t="shared" si="54"/>
        <v/>
      </c>
      <c r="R729" s="26" t="str">
        <f t="shared" ca="1" si="55"/>
        <v/>
      </c>
      <c r="S729" s="27" t="str">
        <f>IF(I729="","",_xlfn.XLOOKUP(I729,Lists!$C:$C,Lists!$I:$I))</f>
        <v/>
      </c>
    </row>
    <row r="730" spans="3:19" x14ac:dyDescent="0.2">
      <c r="C730" s="26">
        <f>_xlfn.XLOOKUP(B730,Lists!B:B,Lists!A:A,"")</f>
        <v>0</v>
      </c>
      <c r="G730" s="26" t="str">
        <f t="shared" si="51"/>
        <v/>
      </c>
      <c r="H730" s="31" t="str">
        <f t="shared" si="52"/>
        <v/>
      </c>
      <c r="J730" s="27" t="str">
        <f>IF(I730="","",_xlfn.XLOOKUP(I730,Lists!$C:$C,Lists!$D:$D))</f>
        <v/>
      </c>
      <c r="N730" s="26" t="str">
        <f t="shared" si="53"/>
        <v/>
      </c>
      <c r="O730" s="27" t="str">
        <f>IF(I730="","",_xlfn.XLOOKUP(I730,Lists!$C:$C,Lists!$J:$J))</f>
        <v/>
      </c>
      <c r="P730" s="27" t="str">
        <f>IF(I730="","",_xlfn.XLOOKUP(I730,Lists!$C:$C,Lists!$E:$E))</f>
        <v/>
      </c>
      <c r="Q730" s="28" t="str">
        <f t="shared" si="54"/>
        <v/>
      </c>
      <c r="R730" s="26" t="str">
        <f t="shared" ca="1" si="55"/>
        <v/>
      </c>
      <c r="S730" s="27" t="str">
        <f>IF(I730="","",_xlfn.XLOOKUP(I730,Lists!$C:$C,Lists!$I:$I))</f>
        <v/>
      </c>
    </row>
    <row r="731" spans="3:19" x14ac:dyDescent="0.2">
      <c r="C731" s="26">
        <f>_xlfn.XLOOKUP(B731,Lists!B:B,Lists!A:A,"")</f>
        <v>0</v>
      </c>
      <c r="G731" s="26" t="str">
        <f t="shared" si="51"/>
        <v/>
      </c>
      <c r="H731" s="31" t="str">
        <f t="shared" si="52"/>
        <v/>
      </c>
      <c r="J731" s="27" t="str">
        <f>IF(I731="","",_xlfn.XLOOKUP(I731,Lists!$C:$C,Lists!$D:$D))</f>
        <v/>
      </c>
      <c r="N731" s="26" t="str">
        <f t="shared" si="53"/>
        <v/>
      </c>
      <c r="O731" s="27" t="str">
        <f>IF(I731="","",_xlfn.XLOOKUP(I731,Lists!$C:$C,Lists!$J:$J))</f>
        <v/>
      </c>
      <c r="P731" s="27" t="str">
        <f>IF(I731="","",_xlfn.XLOOKUP(I731,Lists!$C:$C,Lists!$E:$E))</f>
        <v/>
      </c>
      <c r="Q731" s="28" t="str">
        <f t="shared" si="54"/>
        <v/>
      </c>
      <c r="R731" s="26" t="str">
        <f t="shared" ca="1" si="55"/>
        <v/>
      </c>
      <c r="S731" s="27" t="str">
        <f>IF(I731="","",_xlfn.XLOOKUP(I731,Lists!$C:$C,Lists!$I:$I))</f>
        <v/>
      </c>
    </row>
    <row r="732" spans="3:19" x14ac:dyDescent="0.2">
      <c r="C732" s="26">
        <f>_xlfn.XLOOKUP(B732,Lists!B:B,Lists!A:A,"")</f>
        <v>0</v>
      </c>
      <c r="G732" s="26" t="str">
        <f t="shared" si="51"/>
        <v/>
      </c>
      <c r="H732" s="31" t="str">
        <f t="shared" si="52"/>
        <v/>
      </c>
      <c r="J732" s="27" t="str">
        <f>IF(I732="","",_xlfn.XLOOKUP(I732,Lists!$C:$C,Lists!$D:$D))</f>
        <v/>
      </c>
      <c r="N732" s="26" t="str">
        <f t="shared" si="53"/>
        <v/>
      </c>
      <c r="O732" s="27" t="str">
        <f>IF(I732="","",_xlfn.XLOOKUP(I732,Lists!$C:$C,Lists!$J:$J))</f>
        <v/>
      </c>
      <c r="P732" s="27" t="str">
        <f>IF(I732="","",_xlfn.XLOOKUP(I732,Lists!$C:$C,Lists!$E:$E))</f>
        <v/>
      </c>
      <c r="Q732" s="28" t="str">
        <f t="shared" si="54"/>
        <v/>
      </c>
      <c r="R732" s="26" t="str">
        <f t="shared" ca="1" si="55"/>
        <v/>
      </c>
      <c r="S732" s="27" t="str">
        <f>IF(I732="","",_xlfn.XLOOKUP(I732,Lists!$C:$C,Lists!$I:$I))</f>
        <v/>
      </c>
    </row>
    <row r="733" spans="3:19" x14ac:dyDescent="0.2">
      <c r="C733" s="26">
        <f>_xlfn.XLOOKUP(B733,Lists!B:B,Lists!A:A,"")</f>
        <v>0</v>
      </c>
      <c r="G733" s="26" t="str">
        <f t="shared" si="51"/>
        <v/>
      </c>
      <c r="H733" s="31" t="str">
        <f t="shared" si="52"/>
        <v/>
      </c>
      <c r="J733" s="27" t="str">
        <f>IF(I733="","",_xlfn.XLOOKUP(I733,Lists!$C:$C,Lists!$D:$D))</f>
        <v/>
      </c>
      <c r="N733" s="26" t="str">
        <f t="shared" si="53"/>
        <v/>
      </c>
      <c r="O733" s="27" t="str">
        <f>IF(I733="","",_xlfn.XLOOKUP(I733,Lists!$C:$C,Lists!$J:$J))</f>
        <v/>
      </c>
      <c r="P733" s="27" t="str">
        <f>IF(I733="","",_xlfn.XLOOKUP(I733,Lists!$C:$C,Lists!$E:$E))</f>
        <v/>
      </c>
      <c r="Q733" s="28" t="str">
        <f t="shared" si="54"/>
        <v/>
      </c>
      <c r="R733" s="26" t="str">
        <f t="shared" ca="1" si="55"/>
        <v/>
      </c>
      <c r="S733" s="27" t="str">
        <f>IF(I733="","",_xlfn.XLOOKUP(I733,Lists!$C:$C,Lists!$I:$I))</f>
        <v/>
      </c>
    </row>
    <row r="734" spans="3:19" x14ac:dyDescent="0.2">
      <c r="C734" s="26">
        <f>_xlfn.XLOOKUP(B734,Lists!B:B,Lists!A:A,"")</f>
        <v>0</v>
      </c>
      <c r="G734" s="26" t="str">
        <f t="shared" si="51"/>
        <v/>
      </c>
      <c r="H734" s="31" t="str">
        <f t="shared" si="52"/>
        <v/>
      </c>
      <c r="J734" s="27" t="str">
        <f>IF(I734="","",_xlfn.XLOOKUP(I734,Lists!$C:$C,Lists!$D:$D))</f>
        <v/>
      </c>
      <c r="N734" s="26" t="str">
        <f t="shared" si="53"/>
        <v/>
      </c>
      <c r="O734" s="27" t="str">
        <f>IF(I734="","",_xlfn.XLOOKUP(I734,Lists!$C:$C,Lists!$J:$J))</f>
        <v/>
      </c>
      <c r="P734" s="27" t="str">
        <f>IF(I734="","",_xlfn.XLOOKUP(I734,Lists!$C:$C,Lists!$E:$E))</f>
        <v/>
      </c>
      <c r="Q734" s="28" t="str">
        <f t="shared" si="54"/>
        <v/>
      </c>
      <c r="R734" s="26" t="str">
        <f t="shared" ca="1" si="55"/>
        <v/>
      </c>
      <c r="S734" s="27" t="str">
        <f>IF(I734="","",_xlfn.XLOOKUP(I734,Lists!$C:$C,Lists!$I:$I))</f>
        <v/>
      </c>
    </row>
    <row r="735" spans="3:19" x14ac:dyDescent="0.2">
      <c r="C735" s="26">
        <f>_xlfn.XLOOKUP(B735,Lists!B:B,Lists!A:A,"")</f>
        <v>0</v>
      </c>
      <c r="G735" s="26" t="str">
        <f t="shared" si="51"/>
        <v/>
      </c>
      <c r="H735" s="31" t="str">
        <f t="shared" si="52"/>
        <v/>
      </c>
      <c r="J735" s="27" t="str">
        <f>IF(I735="","",_xlfn.XLOOKUP(I735,Lists!$C:$C,Lists!$D:$D))</f>
        <v/>
      </c>
      <c r="N735" s="26" t="str">
        <f t="shared" si="53"/>
        <v/>
      </c>
      <c r="O735" s="27" t="str">
        <f>IF(I735="","",_xlfn.XLOOKUP(I735,Lists!$C:$C,Lists!$J:$J))</f>
        <v/>
      </c>
      <c r="P735" s="27" t="str">
        <f>IF(I735="","",_xlfn.XLOOKUP(I735,Lists!$C:$C,Lists!$E:$E))</f>
        <v/>
      </c>
      <c r="Q735" s="28" t="str">
        <f t="shared" si="54"/>
        <v/>
      </c>
      <c r="R735" s="26" t="str">
        <f t="shared" ca="1" si="55"/>
        <v/>
      </c>
      <c r="S735" s="27" t="str">
        <f>IF(I735="","",_xlfn.XLOOKUP(I735,Lists!$C:$C,Lists!$I:$I))</f>
        <v/>
      </c>
    </row>
    <row r="736" spans="3:19" x14ac:dyDescent="0.2">
      <c r="C736" s="26">
        <f>_xlfn.XLOOKUP(B736,Lists!B:B,Lists!A:A,"")</f>
        <v>0</v>
      </c>
      <c r="G736" s="26" t="str">
        <f t="shared" si="51"/>
        <v/>
      </c>
      <c r="H736" s="31" t="str">
        <f t="shared" si="52"/>
        <v/>
      </c>
      <c r="J736" s="27" t="str">
        <f>IF(I736="","",_xlfn.XLOOKUP(I736,Lists!$C:$C,Lists!$D:$D))</f>
        <v/>
      </c>
      <c r="N736" s="26" t="str">
        <f t="shared" si="53"/>
        <v/>
      </c>
      <c r="O736" s="27" t="str">
        <f>IF(I736="","",_xlfn.XLOOKUP(I736,Lists!$C:$C,Lists!$J:$J))</f>
        <v/>
      </c>
      <c r="P736" s="27" t="str">
        <f>IF(I736="","",_xlfn.XLOOKUP(I736,Lists!$C:$C,Lists!$E:$E))</f>
        <v/>
      </c>
      <c r="Q736" s="28" t="str">
        <f t="shared" si="54"/>
        <v/>
      </c>
      <c r="R736" s="26" t="str">
        <f t="shared" ca="1" si="55"/>
        <v/>
      </c>
      <c r="S736" s="27" t="str">
        <f>IF(I736="","",_xlfn.XLOOKUP(I736,Lists!$C:$C,Lists!$I:$I))</f>
        <v/>
      </c>
    </row>
    <row r="737" spans="3:19" x14ac:dyDescent="0.2">
      <c r="C737" s="26">
        <f>_xlfn.XLOOKUP(B737,Lists!B:B,Lists!A:A,"")</f>
        <v>0</v>
      </c>
      <c r="G737" s="26" t="str">
        <f t="shared" si="51"/>
        <v/>
      </c>
      <c r="H737" s="31" t="str">
        <f t="shared" si="52"/>
        <v/>
      </c>
      <c r="J737" s="27" t="str">
        <f>IF(I737="","",_xlfn.XLOOKUP(I737,Lists!$C:$C,Lists!$D:$D))</f>
        <v/>
      </c>
      <c r="N737" s="26" t="str">
        <f t="shared" si="53"/>
        <v/>
      </c>
      <c r="O737" s="27" t="str">
        <f>IF(I737="","",_xlfn.XLOOKUP(I737,Lists!$C:$C,Lists!$J:$J))</f>
        <v/>
      </c>
      <c r="P737" s="27" t="str">
        <f>IF(I737="","",_xlfn.XLOOKUP(I737,Lists!$C:$C,Lists!$E:$E))</f>
        <v/>
      </c>
      <c r="Q737" s="28" t="str">
        <f t="shared" si="54"/>
        <v/>
      </c>
      <c r="R737" s="26" t="str">
        <f t="shared" ca="1" si="55"/>
        <v/>
      </c>
      <c r="S737" s="27" t="str">
        <f>IF(I737="","",_xlfn.XLOOKUP(I737,Lists!$C:$C,Lists!$I:$I))</f>
        <v/>
      </c>
    </row>
    <row r="738" spans="3:19" x14ac:dyDescent="0.2">
      <c r="C738" s="26">
        <f>_xlfn.XLOOKUP(B738,Lists!B:B,Lists!A:A,"")</f>
        <v>0</v>
      </c>
      <c r="G738" s="26" t="str">
        <f t="shared" si="51"/>
        <v/>
      </c>
      <c r="H738" s="31" t="str">
        <f t="shared" si="52"/>
        <v/>
      </c>
      <c r="J738" s="27" t="str">
        <f>IF(I738="","",_xlfn.XLOOKUP(I738,Lists!$C:$C,Lists!$D:$D))</f>
        <v/>
      </c>
      <c r="N738" s="26" t="str">
        <f t="shared" si="53"/>
        <v/>
      </c>
      <c r="O738" s="27" t="str">
        <f>IF(I738="","",_xlfn.XLOOKUP(I738,Lists!$C:$C,Lists!$J:$J))</f>
        <v/>
      </c>
      <c r="P738" s="27" t="str">
        <f>IF(I738="","",_xlfn.XLOOKUP(I738,Lists!$C:$C,Lists!$E:$E))</f>
        <v/>
      </c>
      <c r="Q738" s="28" t="str">
        <f t="shared" si="54"/>
        <v/>
      </c>
      <c r="R738" s="26" t="str">
        <f t="shared" ca="1" si="55"/>
        <v/>
      </c>
      <c r="S738" s="27" t="str">
        <f>IF(I738="","",_xlfn.XLOOKUP(I738,Lists!$C:$C,Lists!$I:$I))</f>
        <v/>
      </c>
    </row>
    <row r="739" spans="3:19" x14ac:dyDescent="0.2">
      <c r="C739" s="26">
        <f>_xlfn.XLOOKUP(B739,Lists!B:B,Lists!A:A,"")</f>
        <v>0</v>
      </c>
      <c r="G739" s="26" t="str">
        <f t="shared" si="51"/>
        <v/>
      </c>
      <c r="H739" s="31" t="str">
        <f t="shared" si="52"/>
        <v/>
      </c>
      <c r="J739" s="27" t="str">
        <f>IF(I739="","",_xlfn.XLOOKUP(I739,Lists!$C:$C,Lists!$D:$D))</f>
        <v/>
      </c>
      <c r="N739" s="26" t="str">
        <f t="shared" si="53"/>
        <v/>
      </c>
      <c r="O739" s="27" t="str">
        <f>IF(I739="","",_xlfn.XLOOKUP(I739,Lists!$C:$C,Lists!$J:$J))</f>
        <v/>
      </c>
      <c r="P739" s="27" t="str">
        <f>IF(I739="","",_xlfn.XLOOKUP(I739,Lists!$C:$C,Lists!$E:$E))</f>
        <v/>
      </c>
      <c r="Q739" s="28" t="str">
        <f t="shared" si="54"/>
        <v/>
      </c>
      <c r="R739" s="26" t="str">
        <f t="shared" ca="1" si="55"/>
        <v/>
      </c>
      <c r="S739" s="27" t="str">
        <f>IF(I739="","",_xlfn.XLOOKUP(I739,Lists!$C:$C,Lists!$I:$I))</f>
        <v/>
      </c>
    </row>
    <row r="740" spans="3:19" x14ac:dyDescent="0.2">
      <c r="C740" s="26">
        <f>_xlfn.XLOOKUP(B740,Lists!B:B,Lists!A:A,"")</f>
        <v>0</v>
      </c>
      <c r="G740" s="26" t="str">
        <f t="shared" si="51"/>
        <v/>
      </c>
      <c r="H740" s="31" t="str">
        <f t="shared" si="52"/>
        <v/>
      </c>
      <c r="J740" s="27" t="str">
        <f>IF(I740="","",_xlfn.XLOOKUP(I740,Lists!$C:$C,Lists!$D:$D))</f>
        <v/>
      </c>
      <c r="N740" s="26" t="str">
        <f t="shared" si="53"/>
        <v/>
      </c>
      <c r="O740" s="27" t="str">
        <f>IF(I740="","",_xlfn.XLOOKUP(I740,Lists!$C:$C,Lists!$J:$J))</f>
        <v/>
      </c>
      <c r="P740" s="27" t="str">
        <f>IF(I740="","",_xlfn.XLOOKUP(I740,Lists!$C:$C,Lists!$E:$E))</f>
        <v/>
      </c>
      <c r="Q740" s="28" t="str">
        <f t="shared" si="54"/>
        <v/>
      </c>
      <c r="R740" s="26" t="str">
        <f t="shared" ca="1" si="55"/>
        <v/>
      </c>
      <c r="S740" s="27" t="str">
        <f>IF(I740="","",_xlfn.XLOOKUP(I740,Lists!$C:$C,Lists!$I:$I))</f>
        <v/>
      </c>
    </row>
    <row r="741" spans="3:19" x14ac:dyDescent="0.2">
      <c r="C741" s="26">
        <f>_xlfn.XLOOKUP(B741,Lists!B:B,Lists!A:A,"")</f>
        <v>0</v>
      </c>
      <c r="G741" s="26" t="str">
        <f t="shared" si="51"/>
        <v/>
      </c>
      <c r="H741" s="31" t="str">
        <f t="shared" si="52"/>
        <v/>
      </c>
      <c r="J741" s="27" t="str">
        <f>IF(I741="","",_xlfn.XLOOKUP(I741,Lists!$C:$C,Lists!$D:$D))</f>
        <v/>
      </c>
      <c r="N741" s="26" t="str">
        <f t="shared" si="53"/>
        <v/>
      </c>
      <c r="O741" s="27" t="str">
        <f>IF(I741="","",_xlfn.XLOOKUP(I741,Lists!$C:$C,Lists!$J:$J))</f>
        <v/>
      </c>
      <c r="P741" s="27" t="str">
        <f>IF(I741="","",_xlfn.XLOOKUP(I741,Lists!$C:$C,Lists!$E:$E))</f>
        <v/>
      </c>
      <c r="Q741" s="28" t="str">
        <f t="shared" si="54"/>
        <v/>
      </c>
      <c r="R741" s="26" t="str">
        <f t="shared" ca="1" si="55"/>
        <v/>
      </c>
      <c r="S741" s="27" t="str">
        <f>IF(I741="","",_xlfn.XLOOKUP(I741,Lists!$C:$C,Lists!$I:$I))</f>
        <v/>
      </c>
    </row>
    <row r="742" spans="3:19" x14ac:dyDescent="0.2">
      <c r="C742" s="26">
        <f>_xlfn.XLOOKUP(B742,Lists!B:B,Lists!A:A,"")</f>
        <v>0</v>
      </c>
      <c r="G742" s="26" t="str">
        <f t="shared" si="51"/>
        <v/>
      </c>
      <c r="H742" s="31" t="str">
        <f t="shared" si="52"/>
        <v/>
      </c>
      <c r="J742" s="27" t="str">
        <f>IF(I742="","",_xlfn.XLOOKUP(I742,Lists!$C:$C,Lists!$D:$D))</f>
        <v/>
      </c>
      <c r="N742" s="26" t="str">
        <f t="shared" si="53"/>
        <v/>
      </c>
      <c r="O742" s="27" t="str">
        <f>IF(I742="","",_xlfn.XLOOKUP(I742,Lists!$C:$C,Lists!$J:$J))</f>
        <v/>
      </c>
      <c r="P742" s="27" t="str">
        <f>IF(I742="","",_xlfn.XLOOKUP(I742,Lists!$C:$C,Lists!$E:$E))</f>
        <v/>
      </c>
      <c r="Q742" s="28" t="str">
        <f t="shared" si="54"/>
        <v/>
      </c>
      <c r="R742" s="26" t="str">
        <f t="shared" ca="1" si="55"/>
        <v/>
      </c>
      <c r="S742" s="27" t="str">
        <f>IF(I742="","",_xlfn.XLOOKUP(I742,Lists!$C:$C,Lists!$I:$I))</f>
        <v/>
      </c>
    </row>
    <row r="743" spans="3:19" x14ac:dyDescent="0.2">
      <c r="C743" s="26">
        <f>_xlfn.XLOOKUP(B743,Lists!B:B,Lists!A:A,"")</f>
        <v>0</v>
      </c>
      <c r="G743" s="26" t="str">
        <f t="shared" si="51"/>
        <v/>
      </c>
      <c r="H743" s="31" t="str">
        <f t="shared" si="52"/>
        <v/>
      </c>
      <c r="J743" s="27" t="str">
        <f>IF(I743="","",_xlfn.XLOOKUP(I743,Lists!$C:$C,Lists!$D:$D))</f>
        <v/>
      </c>
      <c r="N743" s="26" t="str">
        <f t="shared" si="53"/>
        <v/>
      </c>
      <c r="O743" s="27" t="str">
        <f>IF(I743="","",_xlfn.XLOOKUP(I743,Lists!$C:$C,Lists!$J:$J))</f>
        <v/>
      </c>
      <c r="P743" s="27" t="str">
        <f>IF(I743="","",_xlfn.XLOOKUP(I743,Lists!$C:$C,Lists!$E:$E))</f>
        <v/>
      </c>
      <c r="Q743" s="28" t="str">
        <f t="shared" si="54"/>
        <v/>
      </c>
      <c r="R743" s="26" t="str">
        <f t="shared" ca="1" si="55"/>
        <v/>
      </c>
      <c r="S743" s="27" t="str">
        <f>IF(I743="","",_xlfn.XLOOKUP(I743,Lists!$C:$C,Lists!$I:$I))</f>
        <v/>
      </c>
    </row>
    <row r="744" spans="3:19" x14ac:dyDescent="0.2">
      <c r="C744" s="26">
        <f>_xlfn.XLOOKUP(B744,Lists!B:B,Lists!A:A,"")</f>
        <v>0</v>
      </c>
      <c r="G744" s="26" t="str">
        <f t="shared" si="51"/>
        <v/>
      </c>
      <c r="H744" s="31" t="str">
        <f t="shared" si="52"/>
        <v/>
      </c>
      <c r="J744" s="27" t="str">
        <f>IF(I744="","",_xlfn.XLOOKUP(I744,Lists!$C:$C,Lists!$D:$D))</f>
        <v/>
      </c>
      <c r="N744" s="26" t="str">
        <f t="shared" si="53"/>
        <v/>
      </c>
      <c r="O744" s="27" t="str">
        <f>IF(I744="","",_xlfn.XLOOKUP(I744,Lists!$C:$C,Lists!$J:$J))</f>
        <v/>
      </c>
      <c r="P744" s="27" t="str">
        <f>IF(I744="","",_xlfn.XLOOKUP(I744,Lists!$C:$C,Lists!$E:$E))</f>
        <v/>
      </c>
      <c r="Q744" s="28" t="str">
        <f t="shared" si="54"/>
        <v/>
      </c>
      <c r="R744" s="26" t="str">
        <f t="shared" ca="1" si="55"/>
        <v/>
      </c>
      <c r="S744" s="27" t="str">
        <f>IF(I744="","",_xlfn.XLOOKUP(I744,Lists!$C:$C,Lists!$I:$I))</f>
        <v/>
      </c>
    </row>
    <row r="745" spans="3:19" x14ac:dyDescent="0.2">
      <c r="C745" s="26">
        <f>_xlfn.XLOOKUP(B745,Lists!B:B,Lists!A:A,"")</f>
        <v>0</v>
      </c>
      <c r="G745" s="26" t="str">
        <f t="shared" si="51"/>
        <v/>
      </c>
      <c r="H745" s="31" t="str">
        <f t="shared" si="52"/>
        <v/>
      </c>
      <c r="J745" s="27" t="str">
        <f>IF(I745="","",_xlfn.XLOOKUP(I745,Lists!$C:$C,Lists!$D:$D))</f>
        <v/>
      </c>
      <c r="N745" s="26" t="str">
        <f t="shared" si="53"/>
        <v/>
      </c>
      <c r="O745" s="27" t="str">
        <f>IF(I745="","",_xlfn.XLOOKUP(I745,Lists!$C:$C,Lists!$J:$J))</f>
        <v/>
      </c>
      <c r="P745" s="27" t="str">
        <f>IF(I745="","",_xlfn.XLOOKUP(I745,Lists!$C:$C,Lists!$E:$E))</f>
        <v/>
      </c>
      <c r="Q745" s="28" t="str">
        <f t="shared" si="54"/>
        <v/>
      </c>
      <c r="R745" s="26" t="str">
        <f t="shared" ca="1" si="55"/>
        <v/>
      </c>
      <c r="S745" s="27" t="str">
        <f>IF(I745="","",_xlfn.XLOOKUP(I745,Lists!$C:$C,Lists!$I:$I))</f>
        <v/>
      </c>
    </row>
    <row r="746" spans="3:19" x14ac:dyDescent="0.2">
      <c r="C746" s="26">
        <f>_xlfn.XLOOKUP(B746,Lists!B:B,Lists!A:A,"")</f>
        <v>0</v>
      </c>
      <c r="G746" s="26" t="str">
        <f t="shared" si="51"/>
        <v/>
      </c>
      <c r="H746" s="31" t="str">
        <f t="shared" si="52"/>
        <v/>
      </c>
      <c r="J746" s="27" t="str">
        <f>IF(I746="","",_xlfn.XLOOKUP(I746,Lists!$C:$C,Lists!$D:$D))</f>
        <v/>
      </c>
      <c r="N746" s="26" t="str">
        <f t="shared" si="53"/>
        <v/>
      </c>
      <c r="O746" s="27" t="str">
        <f>IF(I746="","",_xlfn.XLOOKUP(I746,Lists!$C:$C,Lists!$J:$J))</f>
        <v/>
      </c>
      <c r="P746" s="27" t="str">
        <f>IF(I746="","",_xlfn.XLOOKUP(I746,Lists!$C:$C,Lists!$E:$E))</f>
        <v/>
      </c>
      <c r="Q746" s="28" t="str">
        <f t="shared" si="54"/>
        <v/>
      </c>
      <c r="R746" s="26" t="str">
        <f t="shared" ca="1" si="55"/>
        <v/>
      </c>
      <c r="S746" s="27" t="str">
        <f>IF(I746="","",_xlfn.XLOOKUP(I746,Lists!$C:$C,Lists!$I:$I))</f>
        <v/>
      </c>
    </row>
    <row r="747" spans="3:19" x14ac:dyDescent="0.2">
      <c r="C747" s="26">
        <f>_xlfn.XLOOKUP(B747,Lists!B:B,Lists!A:A,"")</f>
        <v>0</v>
      </c>
      <c r="G747" s="26" t="str">
        <f t="shared" si="51"/>
        <v/>
      </c>
      <c r="H747" s="31" t="str">
        <f t="shared" si="52"/>
        <v/>
      </c>
      <c r="J747" s="27" t="str">
        <f>IF(I747="","",_xlfn.XLOOKUP(I747,Lists!$C:$C,Lists!$D:$D))</f>
        <v/>
      </c>
      <c r="N747" s="26" t="str">
        <f t="shared" si="53"/>
        <v/>
      </c>
      <c r="O747" s="27" t="str">
        <f>IF(I747="","",_xlfn.XLOOKUP(I747,Lists!$C:$C,Lists!$J:$J))</f>
        <v/>
      </c>
      <c r="P747" s="27" t="str">
        <f>IF(I747="","",_xlfn.XLOOKUP(I747,Lists!$C:$C,Lists!$E:$E))</f>
        <v/>
      </c>
      <c r="Q747" s="28" t="str">
        <f t="shared" si="54"/>
        <v/>
      </c>
      <c r="R747" s="26" t="str">
        <f t="shared" ca="1" si="55"/>
        <v/>
      </c>
      <c r="S747" s="27" t="str">
        <f>IF(I747="","",_xlfn.XLOOKUP(I747,Lists!$C:$C,Lists!$I:$I))</f>
        <v/>
      </c>
    </row>
    <row r="748" spans="3:19" x14ac:dyDescent="0.2">
      <c r="C748" s="26">
        <f>_xlfn.XLOOKUP(B748,Lists!B:B,Lists!A:A,"")</f>
        <v>0</v>
      </c>
      <c r="G748" s="26" t="str">
        <f t="shared" si="51"/>
        <v/>
      </c>
      <c r="H748" s="31" t="str">
        <f t="shared" si="52"/>
        <v/>
      </c>
      <c r="J748" s="27" t="str">
        <f>IF(I748="","",_xlfn.XLOOKUP(I748,Lists!$C:$C,Lists!$D:$D))</f>
        <v/>
      </c>
      <c r="N748" s="26" t="str">
        <f t="shared" si="53"/>
        <v/>
      </c>
      <c r="O748" s="27" t="str">
        <f>IF(I748="","",_xlfn.XLOOKUP(I748,Lists!$C:$C,Lists!$J:$J))</f>
        <v/>
      </c>
      <c r="P748" s="27" t="str">
        <f>IF(I748="","",_xlfn.XLOOKUP(I748,Lists!$C:$C,Lists!$E:$E))</f>
        <v/>
      </c>
      <c r="Q748" s="28" t="str">
        <f t="shared" si="54"/>
        <v/>
      </c>
      <c r="R748" s="26" t="str">
        <f t="shared" ca="1" si="55"/>
        <v/>
      </c>
      <c r="S748" s="27" t="str">
        <f>IF(I748="","",_xlfn.XLOOKUP(I748,Lists!$C:$C,Lists!$I:$I))</f>
        <v/>
      </c>
    </row>
    <row r="749" spans="3:19" x14ac:dyDescent="0.2">
      <c r="C749" s="26">
        <f>_xlfn.XLOOKUP(B749,Lists!B:B,Lists!A:A,"")</f>
        <v>0</v>
      </c>
      <c r="G749" s="26" t="str">
        <f t="shared" si="51"/>
        <v/>
      </c>
      <c r="H749" s="31" t="str">
        <f t="shared" si="52"/>
        <v/>
      </c>
      <c r="J749" s="27" t="str">
        <f>IF(I749="","",_xlfn.XLOOKUP(I749,Lists!$C:$C,Lists!$D:$D))</f>
        <v/>
      </c>
      <c r="N749" s="26" t="str">
        <f t="shared" si="53"/>
        <v/>
      </c>
      <c r="O749" s="27" t="str">
        <f>IF(I749="","",_xlfn.XLOOKUP(I749,Lists!$C:$C,Lists!$J:$J))</f>
        <v/>
      </c>
      <c r="P749" s="27" t="str">
        <f>IF(I749="","",_xlfn.XLOOKUP(I749,Lists!$C:$C,Lists!$E:$E))</f>
        <v/>
      </c>
      <c r="Q749" s="28" t="str">
        <f t="shared" si="54"/>
        <v/>
      </c>
      <c r="R749" s="26" t="str">
        <f t="shared" ca="1" si="55"/>
        <v/>
      </c>
      <c r="S749" s="27" t="str">
        <f>IF(I749="","",_xlfn.XLOOKUP(I749,Lists!$C:$C,Lists!$I:$I))</f>
        <v/>
      </c>
    </row>
    <row r="750" spans="3:19" x14ac:dyDescent="0.2">
      <c r="C750" s="26">
        <f>_xlfn.XLOOKUP(B750,Lists!B:B,Lists!A:A,"")</f>
        <v>0</v>
      </c>
      <c r="G750" s="26" t="str">
        <f t="shared" si="51"/>
        <v/>
      </c>
      <c r="H750" s="31" t="str">
        <f t="shared" si="52"/>
        <v/>
      </c>
      <c r="J750" s="27" t="str">
        <f>IF(I750="","",_xlfn.XLOOKUP(I750,Lists!$C:$C,Lists!$D:$D))</f>
        <v/>
      </c>
      <c r="N750" s="26" t="str">
        <f t="shared" si="53"/>
        <v/>
      </c>
      <c r="O750" s="27" t="str">
        <f>IF(I750="","",_xlfn.XLOOKUP(I750,Lists!$C:$C,Lists!$J:$J))</f>
        <v/>
      </c>
      <c r="P750" s="27" t="str">
        <f>IF(I750="","",_xlfn.XLOOKUP(I750,Lists!$C:$C,Lists!$E:$E))</f>
        <v/>
      </c>
      <c r="Q750" s="28" t="str">
        <f t="shared" si="54"/>
        <v/>
      </c>
      <c r="R750" s="26" t="str">
        <f t="shared" ca="1" si="55"/>
        <v/>
      </c>
      <c r="S750" s="27" t="str">
        <f>IF(I750="","",_xlfn.XLOOKUP(I750,Lists!$C:$C,Lists!$I:$I))</f>
        <v/>
      </c>
    </row>
    <row r="751" spans="3:19" x14ac:dyDescent="0.2">
      <c r="C751" s="26">
        <f>_xlfn.XLOOKUP(B751,Lists!B:B,Lists!A:A,"")</f>
        <v>0</v>
      </c>
      <c r="G751" s="26" t="str">
        <f t="shared" si="51"/>
        <v/>
      </c>
      <c r="H751" s="31" t="str">
        <f t="shared" si="52"/>
        <v/>
      </c>
      <c r="J751" s="27" t="str">
        <f>IF(I751="","",_xlfn.XLOOKUP(I751,Lists!$C:$C,Lists!$D:$D))</f>
        <v/>
      </c>
      <c r="N751" s="26" t="str">
        <f t="shared" si="53"/>
        <v/>
      </c>
      <c r="O751" s="27" t="str">
        <f>IF(I751="","",_xlfn.XLOOKUP(I751,Lists!$C:$C,Lists!$J:$J))</f>
        <v/>
      </c>
      <c r="P751" s="27" t="str">
        <f>IF(I751="","",_xlfn.XLOOKUP(I751,Lists!$C:$C,Lists!$E:$E))</f>
        <v/>
      </c>
      <c r="Q751" s="28" t="str">
        <f t="shared" si="54"/>
        <v/>
      </c>
      <c r="R751" s="26" t="str">
        <f t="shared" ca="1" si="55"/>
        <v/>
      </c>
      <c r="S751" s="27" t="str">
        <f>IF(I751="","",_xlfn.XLOOKUP(I751,Lists!$C:$C,Lists!$I:$I))</f>
        <v/>
      </c>
    </row>
    <row r="752" spans="3:19" x14ac:dyDescent="0.2">
      <c r="C752" s="26">
        <f>_xlfn.XLOOKUP(B752,Lists!B:B,Lists!A:A,"")</f>
        <v>0</v>
      </c>
      <c r="G752" s="26" t="str">
        <f t="shared" si="51"/>
        <v/>
      </c>
      <c r="H752" s="31" t="str">
        <f t="shared" si="52"/>
        <v/>
      </c>
      <c r="J752" s="27" t="str">
        <f>IF(I752="","",_xlfn.XLOOKUP(I752,Lists!$C:$C,Lists!$D:$D))</f>
        <v/>
      </c>
      <c r="N752" s="26" t="str">
        <f t="shared" si="53"/>
        <v/>
      </c>
      <c r="O752" s="27" t="str">
        <f>IF(I752="","",_xlfn.XLOOKUP(I752,Lists!$C:$C,Lists!$J:$J))</f>
        <v/>
      </c>
      <c r="P752" s="27" t="str">
        <f>IF(I752="","",_xlfn.XLOOKUP(I752,Lists!$C:$C,Lists!$E:$E))</f>
        <v/>
      </c>
      <c r="Q752" s="28" t="str">
        <f t="shared" si="54"/>
        <v/>
      </c>
      <c r="R752" s="26" t="str">
        <f t="shared" ca="1" si="55"/>
        <v/>
      </c>
      <c r="S752" s="27" t="str">
        <f>IF(I752="","",_xlfn.XLOOKUP(I752,Lists!$C:$C,Lists!$I:$I))</f>
        <v/>
      </c>
    </row>
    <row r="753" spans="3:19" x14ac:dyDescent="0.2">
      <c r="C753" s="26">
        <f>_xlfn.XLOOKUP(B753,Lists!B:B,Lists!A:A,"")</f>
        <v>0</v>
      </c>
      <c r="G753" s="26" t="str">
        <f t="shared" si="51"/>
        <v/>
      </c>
      <c r="H753" s="31" t="str">
        <f t="shared" si="52"/>
        <v/>
      </c>
      <c r="J753" s="27" t="str">
        <f>IF(I753="","",_xlfn.XLOOKUP(I753,Lists!$C:$C,Lists!$D:$D))</f>
        <v/>
      </c>
      <c r="N753" s="26" t="str">
        <f t="shared" si="53"/>
        <v/>
      </c>
      <c r="O753" s="27" t="str">
        <f>IF(I753="","",_xlfn.XLOOKUP(I753,Lists!$C:$C,Lists!$J:$J))</f>
        <v/>
      </c>
      <c r="P753" s="27" t="str">
        <f>IF(I753="","",_xlfn.XLOOKUP(I753,Lists!$C:$C,Lists!$E:$E))</f>
        <v/>
      </c>
      <c r="Q753" s="28" t="str">
        <f t="shared" si="54"/>
        <v/>
      </c>
      <c r="R753" s="26" t="str">
        <f t="shared" ca="1" si="55"/>
        <v/>
      </c>
      <c r="S753" s="27" t="str">
        <f>IF(I753="","",_xlfn.XLOOKUP(I753,Lists!$C:$C,Lists!$I:$I))</f>
        <v/>
      </c>
    </row>
    <row r="754" spans="3:19" x14ac:dyDescent="0.2">
      <c r="C754" s="26">
        <f>_xlfn.XLOOKUP(B754,Lists!B:B,Lists!A:A,"")</f>
        <v>0</v>
      </c>
      <c r="G754" s="26" t="str">
        <f t="shared" si="51"/>
        <v/>
      </c>
      <c r="H754" s="31" t="str">
        <f t="shared" si="52"/>
        <v/>
      </c>
      <c r="J754" s="27" t="str">
        <f>IF(I754="","",_xlfn.XLOOKUP(I754,Lists!$C:$C,Lists!$D:$D))</f>
        <v/>
      </c>
      <c r="N754" s="26" t="str">
        <f t="shared" si="53"/>
        <v/>
      </c>
      <c r="O754" s="27" t="str">
        <f>IF(I754="","",_xlfn.XLOOKUP(I754,Lists!$C:$C,Lists!$J:$J))</f>
        <v/>
      </c>
      <c r="P754" s="27" t="str">
        <f>IF(I754="","",_xlfn.XLOOKUP(I754,Lists!$C:$C,Lists!$E:$E))</f>
        <v/>
      </c>
      <c r="Q754" s="28" t="str">
        <f t="shared" si="54"/>
        <v/>
      </c>
      <c r="R754" s="26" t="str">
        <f t="shared" ca="1" si="55"/>
        <v/>
      </c>
      <c r="S754" s="27" t="str">
        <f>IF(I754="","",_xlfn.XLOOKUP(I754,Lists!$C:$C,Lists!$I:$I))</f>
        <v/>
      </c>
    </row>
    <row r="755" spans="3:19" x14ac:dyDescent="0.2">
      <c r="C755" s="26">
        <f>_xlfn.XLOOKUP(B755,Lists!B:B,Lists!A:A,"")</f>
        <v>0</v>
      </c>
      <c r="G755" s="26" t="str">
        <f t="shared" si="51"/>
        <v/>
      </c>
      <c r="H755" s="31" t="str">
        <f t="shared" si="52"/>
        <v/>
      </c>
      <c r="J755" s="27" t="str">
        <f>IF(I755="","",_xlfn.XLOOKUP(I755,Lists!$C:$C,Lists!$D:$D))</f>
        <v/>
      </c>
      <c r="N755" s="26" t="str">
        <f t="shared" si="53"/>
        <v/>
      </c>
      <c r="O755" s="27" t="str">
        <f>IF(I755="","",_xlfn.XLOOKUP(I755,Lists!$C:$C,Lists!$J:$J))</f>
        <v/>
      </c>
      <c r="P755" s="27" t="str">
        <f>IF(I755="","",_xlfn.XLOOKUP(I755,Lists!$C:$C,Lists!$E:$E))</f>
        <v/>
      </c>
      <c r="Q755" s="28" t="str">
        <f t="shared" si="54"/>
        <v/>
      </c>
      <c r="R755" s="26" t="str">
        <f t="shared" ca="1" si="55"/>
        <v/>
      </c>
      <c r="S755" s="27" t="str">
        <f>IF(I755="","",_xlfn.XLOOKUP(I755,Lists!$C:$C,Lists!$I:$I))</f>
        <v/>
      </c>
    </row>
    <row r="756" spans="3:19" x14ac:dyDescent="0.2">
      <c r="C756" s="26">
        <f>_xlfn.XLOOKUP(B756,Lists!B:B,Lists!A:A,"")</f>
        <v>0</v>
      </c>
      <c r="G756" s="26" t="str">
        <f t="shared" si="51"/>
        <v/>
      </c>
      <c r="H756" s="31" t="str">
        <f t="shared" si="52"/>
        <v/>
      </c>
      <c r="J756" s="27" t="str">
        <f>IF(I756="","",_xlfn.XLOOKUP(I756,Lists!$C:$C,Lists!$D:$D))</f>
        <v/>
      </c>
      <c r="N756" s="26" t="str">
        <f t="shared" si="53"/>
        <v/>
      </c>
      <c r="O756" s="27" t="str">
        <f>IF(I756="","",_xlfn.XLOOKUP(I756,Lists!$C:$C,Lists!$J:$J))</f>
        <v/>
      </c>
      <c r="P756" s="27" t="str">
        <f>IF(I756="","",_xlfn.XLOOKUP(I756,Lists!$C:$C,Lists!$E:$E))</f>
        <v/>
      </c>
      <c r="Q756" s="28" t="str">
        <f t="shared" si="54"/>
        <v/>
      </c>
      <c r="R756" s="26" t="str">
        <f t="shared" ca="1" si="55"/>
        <v/>
      </c>
      <c r="S756" s="27" t="str">
        <f>IF(I756="","",_xlfn.XLOOKUP(I756,Lists!$C:$C,Lists!$I:$I))</f>
        <v/>
      </c>
    </row>
    <row r="757" spans="3:19" x14ac:dyDescent="0.2">
      <c r="C757" s="26">
        <f>_xlfn.XLOOKUP(B757,Lists!B:B,Lists!A:A,"")</f>
        <v>0</v>
      </c>
      <c r="G757" s="26" t="str">
        <f t="shared" si="51"/>
        <v/>
      </c>
      <c r="H757" s="31" t="str">
        <f t="shared" si="52"/>
        <v/>
      </c>
      <c r="J757" s="27" t="str">
        <f>IF(I757="","",_xlfn.XLOOKUP(I757,Lists!$C:$C,Lists!$D:$D))</f>
        <v/>
      </c>
      <c r="N757" s="26" t="str">
        <f t="shared" si="53"/>
        <v/>
      </c>
      <c r="O757" s="27" t="str">
        <f>IF(I757="","",_xlfn.XLOOKUP(I757,Lists!$C:$C,Lists!$J:$J))</f>
        <v/>
      </c>
      <c r="P757" s="27" t="str">
        <f>IF(I757="","",_xlfn.XLOOKUP(I757,Lists!$C:$C,Lists!$E:$E))</f>
        <v/>
      </c>
      <c r="Q757" s="28" t="str">
        <f t="shared" si="54"/>
        <v/>
      </c>
      <c r="R757" s="26" t="str">
        <f t="shared" ca="1" si="55"/>
        <v/>
      </c>
      <c r="S757" s="27" t="str">
        <f>IF(I757="","",_xlfn.XLOOKUP(I757,Lists!$C:$C,Lists!$I:$I))</f>
        <v/>
      </c>
    </row>
    <row r="758" spans="3:19" x14ac:dyDescent="0.2">
      <c r="C758" s="26">
        <f>_xlfn.XLOOKUP(B758,Lists!B:B,Lists!A:A,"")</f>
        <v>0</v>
      </c>
      <c r="G758" s="26" t="str">
        <f t="shared" si="51"/>
        <v/>
      </c>
      <c r="H758" s="31" t="str">
        <f t="shared" si="52"/>
        <v/>
      </c>
      <c r="J758" s="27" t="str">
        <f>IF(I758="","",_xlfn.XLOOKUP(I758,Lists!$C:$C,Lists!$D:$D))</f>
        <v/>
      </c>
      <c r="N758" s="26" t="str">
        <f t="shared" si="53"/>
        <v/>
      </c>
      <c r="O758" s="27" t="str">
        <f>IF(I758="","",_xlfn.XLOOKUP(I758,Lists!$C:$C,Lists!$J:$J))</f>
        <v/>
      </c>
      <c r="P758" s="27" t="str">
        <f>IF(I758="","",_xlfn.XLOOKUP(I758,Lists!$C:$C,Lists!$E:$E))</f>
        <v/>
      </c>
      <c r="Q758" s="28" t="str">
        <f t="shared" si="54"/>
        <v/>
      </c>
      <c r="R758" s="26" t="str">
        <f t="shared" ca="1" si="55"/>
        <v/>
      </c>
      <c r="S758" s="27" t="str">
        <f>IF(I758="","",_xlfn.XLOOKUP(I758,Lists!$C:$C,Lists!$I:$I))</f>
        <v/>
      </c>
    </row>
    <row r="759" spans="3:19" x14ac:dyDescent="0.2">
      <c r="C759" s="26">
        <f>_xlfn.XLOOKUP(B759,Lists!B:B,Lists!A:A,"")</f>
        <v>0</v>
      </c>
      <c r="G759" s="26" t="str">
        <f t="shared" si="51"/>
        <v/>
      </c>
      <c r="H759" s="31" t="str">
        <f t="shared" si="52"/>
        <v/>
      </c>
      <c r="J759" s="27" t="str">
        <f>IF(I759="","",_xlfn.XLOOKUP(I759,Lists!$C:$C,Lists!$D:$D))</f>
        <v/>
      </c>
      <c r="N759" s="26" t="str">
        <f t="shared" si="53"/>
        <v/>
      </c>
      <c r="O759" s="27" t="str">
        <f>IF(I759="","",_xlfn.XLOOKUP(I759,Lists!$C:$C,Lists!$J:$J))</f>
        <v/>
      </c>
      <c r="P759" s="27" t="str">
        <f>IF(I759="","",_xlfn.XLOOKUP(I759,Lists!$C:$C,Lists!$E:$E))</f>
        <v/>
      </c>
      <c r="Q759" s="28" t="str">
        <f t="shared" si="54"/>
        <v/>
      </c>
      <c r="R759" s="26" t="str">
        <f t="shared" ca="1" si="55"/>
        <v/>
      </c>
      <c r="S759" s="27" t="str">
        <f>IF(I759="","",_xlfn.XLOOKUP(I759,Lists!$C:$C,Lists!$I:$I))</f>
        <v/>
      </c>
    </row>
    <row r="760" spans="3:19" x14ac:dyDescent="0.2">
      <c r="C760" s="26">
        <f>_xlfn.XLOOKUP(B760,Lists!B:B,Lists!A:A,"")</f>
        <v>0</v>
      </c>
      <c r="G760" s="26" t="str">
        <f t="shared" si="51"/>
        <v/>
      </c>
      <c r="H760" s="31" t="str">
        <f t="shared" si="52"/>
        <v/>
      </c>
      <c r="J760" s="27" t="str">
        <f>IF(I760="","",_xlfn.XLOOKUP(I760,Lists!$C:$C,Lists!$D:$D))</f>
        <v/>
      </c>
      <c r="N760" s="26" t="str">
        <f t="shared" si="53"/>
        <v/>
      </c>
      <c r="O760" s="27" t="str">
        <f>IF(I760="","",_xlfn.XLOOKUP(I760,Lists!$C:$C,Lists!$J:$J))</f>
        <v/>
      </c>
      <c r="P760" s="27" t="str">
        <f>IF(I760="","",_xlfn.XLOOKUP(I760,Lists!$C:$C,Lists!$E:$E))</f>
        <v/>
      </c>
      <c r="Q760" s="28" t="str">
        <f t="shared" si="54"/>
        <v/>
      </c>
      <c r="R760" s="26" t="str">
        <f t="shared" ca="1" si="55"/>
        <v/>
      </c>
      <c r="S760" s="27" t="str">
        <f>IF(I760="","",_xlfn.XLOOKUP(I760,Lists!$C:$C,Lists!$I:$I))</f>
        <v/>
      </c>
    </row>
    <row r="761" spans="3:19" x14ac:dyDescent="0.2">
      <c r="C761" s="26">
        <f>_xlfn.XLOOKUP(B761,Lists!B:B,Lists!A:A,"")</f>
        <v>0</v>
      </c>
      <c r="G761" s="26" t="str">
        <f t="shared" si="51"/>
        <v/>
      </c>
      <c r="H761" s="31" t="str">
        <f t="shared" si="52"/>
        <v/>
      </c>
      <c r="J761" s="27" t="str">
        <f>IF(I761="","",_xlfn.XLOOKUP(I761,Lists!$C:$C,Lists!$D:$D))</f>
        <v/>
      </c>
      <c r="N761" s="26" t="str">
        <f t="shared" si="53"/>
        <v/>
      </c>
      <c r="O761" s="27" t="str">
        <f>IF(I761="","",_xlfn.XLOOKUP(I761,Lists!$C:$C,Lists!$J:$J))</f>
        <v/>
      </c>
      <c r="P761" s="27" t="str">
        <f>IF(I761="","",_xlfn.XLOOKUP(I761,Lists!$C:$C,Lists!$E:$E))</f>
        <v/>
      </c>
      <c r="Q761" s="28" t="str">
        <f t="shared" si="54"/>
        <v/>
      </c>
      <c r="R761" s="26" t="str">
        <f t="shared" ca="1" si="55"/>
        <v/>
      </c>
      <c r="S761" s="27" t="str">
        <f>IF(I761="","",_xlfn.XLOOKUP(I761,Lists!$C:$C,Lists!$I:$I))</f>
        <v/>
      </c>
    </row>
    <row r="762" spans="3:19" x14ac:dyDescent="0.2">
      <c r="C762" s="26">
        <f>_xlfn.XLOOKUP(B762,Lists!B:B,Lists!A:A,"")</f>
        <v>0</v>
      </c>
      <c r="G762" s="26" t="str">
        <f t="shared" si="51"/>
        <v/>
      </c>
      <c r="H762" s="31" t="str">
        <f t="shared" si="52"/>
        <v/>
      </c>
      <c r="J762" s="27" t="str">
        <f>IF(I762="","",_xlfn.XLOOKUP(I762,Lists!$C:$C,Lists!$D:$D))</f>
        <v/>
      </c>
      <c r="N762" s="26" t="str">
        <f t="shared" si="53"/>
        <v/>
      </c>
      <c r="O762" s="27" t="str">
        <f>IF(I762="","",_xlfn.XLOOKUP(I762,Lists!$C:$C,Lists!$J:$J))</f>
        <v/>
      </c>
      <c r="P762" s="27" t="str">
        <f>IF(I762="","",_xlfn.XLOOKUP(I762,Lists!$C:$C,Lists!$E:$E))</f>
        <v/>
      </c>
      <c r="Q762" s="28" t="str">
        <f t="shared" si="54"/>
        <v/>
      </c>
      <c r="R762" s="26" t="str">
        <f t="shared" ca="1" si="55"/>
        <v/>
      </c>
      <c r="S762" s="27" t="str">
        <f>IF(I762="","",_xlfn.XLOOKUP(I762,Lists!$C:$C,Lists!$I:$I))</f>
        <v/>
      </c>
    </row>
    <row r="763" spans="3:19" x14ac:dyDescent="0.2">
      <c r="C763" s="26">
        <f>_xlfn.XLOOKUP(B763,Lists!B:B,Lists!A:A,"")</f>
        <v>0</v>
      </c>
      <c r="G763" s="26" t="str">
        <f t="shared" si="51"/>
        <v/>
      </c>
      <c r="H763" s="31" t="str">
        <f t="shared" si="52"/>
        <v/>
      </c>
      <c r="J763" s="27" t="str">
        <f>IF(I763="","",_xlfn.XLOOKUP(I763,Lists!$C:$C,Lists!$D:$D))</f>
        <v/>
      </c>
      <c r="N763" s="26" t="str">
        <f t="shared" si="53"/>
        <v/>
      </c>
      <c r="O763" s="27" t="str">
        <f>IF(I763="","",_xlfn.XLOOKUP(I763,Lists!$C:$C,Lists!$J:$J))</f>
        <v/>
      </c>
      <c r="P763" s="27" t="str">
        <f>IF(I763="","",_xlfn.XLOOKUP(I763,Lists!$C:$C,Lists!$E:$E))</f>
        <v/>
      </c>
      <c r="Q763" s="28" t="str">
        <f t="shared" si="54"/>
        <v/>
      </c>
      <c r="R763" s="26" t="str">
        <f t="shared" ca="1" si="55"/>
        <v/>
      </c>
      <c r="S763" s="27" t="str">
        <f>IF(I763="","",_xlfn.XLOOKUP(I763,Lists!$C:$C,Lists!$I:$I))</f>
        <v/>
      </c>
    </row>
    <row r="764" spans="3:19" x14ac:dyDescent="0.2">
      <c r="C764" s="26">
        <f>_xlfn.XLOOKUP(B764,Lists!B:B,Lists!A:A,"")</f>
        <v>0</v>
      </c>
      <c r="G764" s="26" t="str">
        <f t="shared" si="51"/>
        <v/>
      </c>
      <c r="H764" s="31" t="str">
        <f t="shared" si="52"/>
        <v/>
      </c>
      <c r="J764" s="27" t="str">
        <f>IF(I764="","",_xlfn.XLOOKUP(I764,Lists!$C:$C,Lists!$D:$D))</f>
        <v/>
      </c>
      <c r="N764" s="26" t="str">
        <f t="shared" si="53"/>
        <v/>
      </c>
      <c r="O764" s="27" t="str">
        <f>IF(I764="","",_xlfn.XLOOKUP(I764,Lists!$C:$C,Lists!$J:$J))</f>
        <v/>
      </c>
      <c r="P764" s="27" t="str">
        <f>IF(I764="","",_xlfn.XLOOKUP(I764,Lists!$C:$C,Lists!$E:$E))</f>
        <v/>
      </c>
      <c r="Q764" s="28" t="str">
        <f t="shared" si="54"/>
        <v/>
      </c>
      <c r="R764" s="26" t="str">
        <f t="shared" ca="1" si="55"/>
        <v/>
      </c>
      <c r="S764" s="27" t="str">
        <f>IF(I764="","",_xlfn.XLOOKUP(I764,Lists!$C:$C,Lists!$I:$I))</f>
        <v/>
      </c>
    </row>
    <row r="765" spans="3:19" x14ac:dyDescent="0.2">
      <c r="C765" s="26">
        <f>_xlfn.XLOOKUP(B765,Lists!B:B,Lists!A:A,"")</f>
        <v>0</v>
      </c>
      <c r="G765" s="26" t="str">
        <f t="shared" si="51"/>
        <v/>
      </c>
      <c r="H765" s="31" t="str">
        <f t="shared" si="52"/>
        <v/>
      </c>
      <c r="J765" s="27" t="str">
        <f>IF(I765="","",_xlfn.XLOOKUP(I765,Lists!$C:$C,Lists!$D:$D))</f>
        <v/>
      </c>
      <c r="N765" s="26" t="str">
        <f t="shared" si="53"/>
        <v/>
      </c>
      <c r="O765" s="27" t="str">
        <f>IF(I765="","",_xlfn.XLOOKUP(I765,Lists!$C:$C,Lists!$J:$J))</f>
        <v/>
      </c>
      <c r="P765" s="27" t="str">
        <f>IF(I765="","",_xlfn.XLOOKUP(I765,Lists!$C:$C,Lists!$E:$E))</f>
        <v/>
      </c>
      <c r="Q765" s="28" t="str">
        <f t="shared" si="54"/>
        <v/>
      </c>
      <c r="R765" s="26" t="str">
        <f t="shared" ca="1" si="55"/>
        <v/>
      </c>
      <c r="S765" s="27" t="str">
        <f>IF(I765="","",_xlfn.XLOOKUP(I765,Lists!$C:$C,Lists!$I:$I))</f>
        <v/>
      </c>
    </row>
    <row r="766" spans="3:19" x14ac:dyDescent="0.2">
      <c r="C766" s="26">
        <f>_xlfn.XLOOKUP(B766,Lists!B:B,Lists!A:A,"")</f>
        <v>0</v>
      </c>
      <c r="G766" s="26" t="str">
        <f t="shared" si="51"/>
        <v/>
      </c>
      <c r="H766" s="31" t="str">
        <f t="shared" si="52"/>
        <v/>
      </c>
      <c r="J766" s="27" t="str">
        <f>IF(I766="","",_xlfn.XLOOKUP(I766,Lists!$C:$C,Lists!$D:$D))</f>
        <v/>
      </c>
      <c r="N766" s="26" t="str">
        <f t="shared" si="53"/>
        <v/>
      </c>
      <c r="O766" s="27" t="str">
        <f>IF(I766="","",_xlfn.XLOOKUP(I766,Lists!$C:$C,Lists!$J:$J))</f>
        <v/>
      </c>
      <c r="P766" s="27" t="str">
        <f>IF(I766="","",_xlfn.XLOOKUP(I766,Lists!$C:$C,Lists!$E:$E))</f>
        <v/>
      </c>
      <c r="Q766" s="28" t="str">
        <f t="shared" si="54"/>
        <v/>
      </c>
      <c r="R766" s="26" t="str">
        <f t="shared" ca="1" si="55"/>
        <v/>
      </c>
      <c r="S766" s="27" t="str">
        <f>IF(I766="","",_xlfn.XLOOKUP(I766,Lists!$C:$C,Lists!$I:$I))</f>
        <v/>
      </c>
    </row>
    <row r="767" spans="3:19" x14ac:dyDescent="0.2">
      <c r="C767" s="26">
        <f>_xlfn.XLOOKUP(B767,Lists!B:B,Lists!A:A,"")</f>
        <v>0</v>
      </c>
      <c r="G767" s="26" t="str">
        <f t="shared" si="51"/>
        <v/>
      </c>
      <c r="H767" s="31" t="str">
        <f t="shared" si="52"/>
        <v/>
      </c>
      <c r="J767" s="27" t="str">
        <f>IF(I767="","",_xlfn.XLOOKUP(I767,Lists!$C:$C,Lists!$D:$D))</f>
        <v/>
      </c>
      <c r="N767" s="26" t="str">
        <f t="shared" si="53"/>
        <v/>
      </c>
      <c r="O767" s="27" t="str">
        <f>IF(I767="","",_xlfn.XLOOKUP(I767,Lists!$C:$C,Lists!$J:$J))</f>
        <v/>
      </c>
      <c r="P767" s="27" t="str">
        <f>IF(I767="","",_xlfn.XLOOKUP(I767,Lists!$C:$C,Lists!$E:$E))</f>
        <v/>
      </c>
      <c r="Q767" s="28" t="str">
        <f t="shared" si="54"/>
        <v/>
      </c>
      <c r="R767" s="26" t="str">
        <f t="shared" ca="1" si="55"/>
        <v/>
      </c>
      <c r="S767" s="27" t="str">
        <f>IF(I767="","",_xlfn.XLOOKUP(I767,Lists!$C:$C,Lists!$I:$I))</f>
        <v/>
      </c>
    </row>
    <row r="768" spans="3:19" x14ac:dyDescent="0.2">
      <c r="C768" s="26">
        <f>_xlfn.XLOOKUP(B768,Lists!B:B,Lists!A:A,"")</f>
        <v>0</v>
      </c>
      <c r="G768" s="26" t="str">
        <f t="shared" si="51"/>
        <v/>
      </c>
      <c r="H768" s="31" t="str">
        <f t="shared" si="52"/>
        <v/>
      </c>
      <c r="J768" s="27" t="str">
        <f>IF(I768="","",_xlfn.XLOOKUP(I768,Lists!$C:$C,Lists!$D:$D))</f>
        <v/>
      </c>
      <c r="N768" s="26" t="str">
        <f t="shared" si="53"/>
        <v/>
      </c>
      <c r="O768" s="27" t="str">
        <f>IF(I768="","",_xlfn.XLOOKUP(I768,Lists!$C:$C,Lists!$J:$J))</f>
        <v/>
      </c>
      <c r="P768" s="27" t="str">
        <f>IF(I768="","",_xlfn.XLOOKUP(I768,Lists!$C:$C,Lists!$E:$E))</f>
        <v/>
      </c>
      <c r="Q768" s="28" t="str">
        <f t="shared" si="54"/>
        <v/>
      </c>
      <c r="R768" s="26" t="str">
        <f t="shared" ca="1" si="55"/>
        <v/>
      </c>
      <c r="S768" s="27" t="str">
        <f>IF(I768="","",_xlfn.XLOOKUP(I768,Lists!$C:$C,Lists!$I:$I))</f>
        <v/>
      </c>
    </row>
    <row r="769" spans="3:19" x14ac:dyDescent="0.2">
      <c r="C769" s="26">
        <f>_xlfn.XLOOKUP(B769,Lists!B:B,Lists!A:A,"")</f>
        <v>0</v>
      </c>
      <c r="G769" s="26" t="str">
        <f t="shared" si="51"/>
        <v/>
      </c>
      <c r="H769" s="31" t="str">
        <f t="shared" si="52"/>
        <v/>
      </c>
      <c r="J769" s="27" t="str">
        <f>IF(I769="","",_xlfn.XLOOKUP(I769,Lists!$C:$C,Lists!$D:$D))</f>
        <v/>
      </c>
      <c r="N769" s="26" t="str">
        <f t="shared" si="53"/>
        <v/>
      </c>
      <c r="O769" s="27" t="str">
        <f>IF(I769="","",_xlfn.XLOOKUP(I769,Lists!$C:$C,Lists!$J:$J))</f>
        <v/>
      </c>
      <c r="P769" s="27" t="str">
        <f>IF(I769="","",_xlfn.XLOOKUP(I769,Lists!$C:$C,Lists!$E:$E))</f>
        <v/>
      </c>
      <c r="Q769" s="28" t="str">
        <f t="shared" si="54"/>
        <v/>
      </c>
      <c r="R769" s="26" t="str">
        <f t="shared" ca="1" si="55"/>
        <v/>
      </c>
      <c r="S769" s="27" t="str">
        <f>IF(I769="","",_xlfn.XLOOKUP(I769,Lists!$C:$C,Lists!$I:$I))</f>
        <v/>
      </c>
    </row>
    <row r="770" spans="3:19" x14ac:dyDescent="0.2">
      <c r="C770" s="26">
        <f>_xlfn.XLOOKUP(B770,Lists!B:B,Lists!A:A,"")</f>
        <v>0</v>
      </c>
      <c r="G770" s="26" t="str">
        <f t="shared" si="51"/>
        <v/>
      </c>
      <c r="H770" s="31" t="str">
        <f t="shared" si="52"/>
        <v/>
      </c>
      <c r="J770" s="27" t="str">
        <f>IF(I770="","",_xlfn.XLOOKUP(I770,Lists!$C:$C,Lists!$D:$D))</f>
        <v/>
      </c>
      <c r="N770" s="26" t="str">
        <f t="shared" si="53"/>
        <v/>
      </c>
      <c r="O770" s="27" t="str">
        <f>IF(I770="","",_xlfn.XLOOKUP(I770,Lists!$C:$C,Lists!$J:$J))</f>
        <v/>
      </c>
      <c r="P770" s="27" t="str">
        <f>IF(I770="","",_xlfn.XLOOKUP(I770,Lists!$C:$C,Lists!$E:$E))</f>
        <v/>
      </c>
      <c r="Q770" s="28" t="str">
        <f t="shared" si="54"/>
        <v/>
      </c>
      <c r="R770" s="26" t="str">
        <f t="shared" ca="1" si="55"/>
        <v/>
      </c>
      <c r="S770" s="27" t="str">
        <f>IF(I770="","",_xlfn.XLOOKUP(I770,Lists!$C:$C,Lists!$I:$I))</f>
        <v/>
      </c>
    </row>
    <row r="771" spans="3:19" x14ac:dyDescent="0.2">
      <c r="C771" s="26">
        <f>_xlfn.XLOOKUP(B771,Lists!B:B,Lists!A:A,"")</f>
        <v>0</v>
      </c>
      <c r="G771" s="26" t="str">
        <f t="shared" si="51"/>
        <v/>
      </c>
      <c r="H771" s="31" t="str">
        <f t="shared" si="52"/>
        <v/>
      </c>
      <c r="J771" s="27" t="str">
        <f>IF(I771="","",_xlfn.XLOOKUP(I771,Lists!$C:$C,Lists!$D:$D))</f>
        <v/>
      </c>
      <c r="N771" s="26" t="str">
        <f t="shared" si="53"/>
        <v/>
      </c>
      <c r="O771" s="27" t="str">
        <f>IF(I771="","",_xlfn.XLOOKUP(I771,Lists!$C:$C,Lists!$J:$J))</f>
        <v/>
      </c>
      <c r="P771" s="27" t="str">
        <f>IF(I771="","",_xlfn.XLOOKUP(I771,Lists!$C:$C,Lists!$E:$E))</f>
        <v/>
      </c>
      <c r="Q771" s="28" t="str">
        <f t="shared" si="54"/>
        <v/>
      </c>
      <c r="R771" s="26" t="str">
        <f t="shared" ca="1" si="55"/>
        <v/>
      </c>
      <c r="S771" s="27" t="str">
        <f>IF(I771="","",_xlfn.XLOOKUP(I771,Lists!$C:$C,Lists!$I:$I))</f>
        <v/>
      </c>
    </row>
    <row r="772" spans="3:19" x14ac:dyDescent="0.2">
      <c r="C772" s="26">
        <f>_xlfn.XLOOKUP(B772,Lists!B:B,Lists!A:A,"")</f>
        <v>0</v>
      </c>
      <c r="G772" s="26" t="str">
        <f t="shared" si="51"/>
        <v/>
      </c>
      <c r="H772" s="31" t="str">
        <f t="shared" si="52"/>
        <v/>
      </c>
      <c r="J772" s="27" t="str">
        <f>IF(I772="","",_xlfn.XLOOKUP(I772,Lists!$C:$C,Lists!$D:$D))</f>
        <v/>
      </c>
      <c r="N772" s="26" t="str">
        <f t="shared" si="53"/>
        <v/>
      </c>
      <c r="O772" s="27" t="str">
        <f>IF(I772="","",_xlfn.XLOOKUP(I772,Lists!$C:$C,Lists!$J:$J))</f>
        <v/>
      </c>
      <c r="P772" s="27" t="str">
        <f>IF(I772="","",_xlfn.XLOOKUP(I772,Lists!$C:$C,Lists!$E:$E))</f>
        <v/>
      </c>
      <c r="Q772" s="28" t="str">
        <f t="shared" si="54"/>
        <v/>
      </c>
      <c r="R772" s="26" t="str">
        <f t="shared" ca="1" si="55"/>
        <v/>
      </c>
      <c r="S772" s="27" t="str">
        <f>IF(I772="","",_xlfn.XLOOKUP(I772,Lists!$C:$C,Lists!$I:$I))</f>
        <v/>
      </c>
    </row>
    <row r="773" spans="3:19" x14ac:dyDescent="0.2">
      <c r="C773" s="26">
        <f>_xlfn.XLOOKUP(B773,Lists!B:B,Lists!A:A,"")</f>
        <v>0</v>
      </c>
      <c r="G773" s="26" t="str">
        <f t="shared" si="51"/>
        <v/>
      </c>
      <c r="H773" s="31" t="str">
        <f t="shared" si="52"/>
        <v/>
      </c>
      <c r="J773" s="27" t="str">
        <f>IF(I773="","",_xlfn.XLOOKUP(I773,Lists!$C:$C,Lists!$D:$D))</f>
        <v/>
      </c>
      <c r="N773" s="26" t="str">
        <f t="shared" si="53"/>
        <v/>
      </c>
      <c r="O773" s="27" t="str">
        <f>IF(I773="","",_xlfn.XLOOKUP(I773,Lists!$C:$C,Lists!$J:$J))</f>
        <v/>
      </c>
      <c r="P773" s="27" t="str">
        <f>IF(I773="","",_xlfn.XLOOKUP(I773,Lists!$C:$C,Lists!$E:$E))</f>
        <v/>
      </c>
      <c r="Q773" s="28" t="str">
        <f t="shared" si="54"/>
        <v/>
      </c>
      <c r="R773" s="26" t="str">
        <f t="shared" ca="1" si="55"/>
        <v/>
      </c>
      <c r="S773" s="27" t="str">
        <f>IF(I773="","",_xlfn.XLOOKUP(I773,Lists!$C:$C,Lists!$I:$I))</f>
        <v/>
      </c>
    </row>
    <row r="774" spans="3:19" x14ac:dyDescent="0.2">
      <c r="C774" s="26">
        <f>_xlfn.XLOOKUP(B774,Lists!B:B,Lists!A:A,"")</f>
        <v>0</v>
      </c>
      <c r="G774" s="26" t="str">
        <f t="shared" si="51"/>
        <v/>
      </c>
      <c r="H774" s="31" t="str">
        <f t="shared" si="52"/>
        <v/>
      </c>
      <c r="J774" s="27" t="str">
        <f>IF(I774="","",_xlfn.XLOOKUP(I774,Lists!$C:$C,Lists!$D:$D))</f>
        <v/>
      </c>
      <c r="N774" s="26" t="str">
        <f t="shared" si="53"/>
        <v/>
      </c>
      <c r="O774" s="27" t="str">
        <f>IF(I774="","",_xlfn.XLOOKUP(I774,Lists!$C:$C,Lists!$J:$J))</f>
        <v/>
      </c>
      <c r="P774" s="27" t="str">
        <f>IF(I774="","",_xlfn.XLOOKUP(I774,Lists!$C:$C,Lists!$E:$E))</f>
        <v/>
      </c>
      <c r="Q774" s="28" t="str">
        <f t="shared" si="54"/>
        <v/>
      </c>
      <c r="R774" s="26" t="str">
        <f t="shared" ca="1" si="55"/>
        <v/>
      </c>
      <c r="S774" s="27" t="str">
        <f>IF(I774="","",_xlfn.XLOOKUP(I774,Lists!$C:$C,Lists!$I:$I))</f>
        <v/>
      </c>
    </row>
    <row r="775" spans="3:19" x14ac:dyDescent="0.2">
      <c r="C775" s="26">
        <f>_xlfn.XLOOKUP(B775,Lists!B:B,Lists!A:A,"")</f>
        <v>0</v>
      </c>
      <c r="G775" s="26" t="str">
        <f t="shared" si="51"/>
        <v/>
      </c>
      <c r="H775" s="31" t="str">
        <f t="shared" si="52"/>
        <v/>
      </c>
      <c r="J775" s="27" t="str">
        <f>IF(I775="","",_xlfn.XLOOKUP(I775,Lists!$C:$C,Lists!$D:$D))</f>
        <v/>
      </c>
      <c r="N775" s="26" t="str">
        <f t="shared" si="53"/>
        <v/>
      </c>
      <c r="O775" s="27" t="str">
        <f>IF(I775="","",_xlfn.XLOOKUP(I775,Lists!$C:$C,Lists!$J:$J))</f>
        <v/>
      </c>
      <c r="P775" s="27" t="str">
        <f>IF(I775="","",_xlfn.XLOOKUP(I775,Lists!$C:$C,Lists!$E:$E))</f>
        <v/>
      </c>
      <c r="Q775" s="28" t="str">
        <f t="shared" si="54"/>
        <v/>
      </c>
      <c r="R775" s="26" t="str">
        <f t="shared" ca="1" si="55"/>
        <v/>
      </c>
      <c r="S775" s="27" t="str">
        <f>IF(I775="","",_xlfn.XLOOKUP(I775,Lists!$C:$C,Lists!$I:$I))</f>
        <v/>
      </c>
    </row>
    <row r="776" spans="3:19" x14ac:dyDescent="0.2">
      <c r="C776" s="26">
        <f>_xlfn.XLOOKUP(B776,Lists!B:B,Lists!A:A,"")</f>
        <v>0</v>
      </c>
      <c r="G776" s="26" t="str">
        <f t="shared" si="51"/>
        <v/>
      </c>
      <c r="H776" s="31" t="str">
        <f t="shared" si="52"/>
        <v/>
      </c>
      <c r="J776" s="27" t="str">
        <f>IF(I776="","",_xlfn.XLOOKUP(I776,Lists!$C:$C,Lists!$D:$D))</f>
        <v/>
      </c>
      <c r="N776" s="26" t="str">
        <f t="shared" si="53"/>
        <v/>
      </c>
      <c r="O776" s="27" t="str">
        <f>IF(I776="","",_xlfn.XLOOKUP(I776,Lists!$C:$C,Lists!$J:$J))</f>
        <v/>
      </c>
      <c r="P776" s="27" t="str">
        <f>IF(I776="","",_xlfn.XLOOKUP(I776,Lists!$C:$C,Lists!$E:$E))</f>
        <v/>
      </c>
      <c r="Q776" s="28" t="str">
        <f t="shared" si="54"/>
        <v/>
      </c>
      <c r="R776" s="26" t="str">
        <f t="shared" ca="1" si="55"/>
        <v/>
      </c>
      <c r="S776" s="27" t="str">
        <f>IF(I776="","",_xlfn.XLOOKUP(I776,Lists!$C:$C,Lists!$I:$I))</f>
        <v/>
      </c>
    </row>
    <row r="777" spans="3:19" x14ac:dyDescent="0.2">
      <c r="C777" s="26">
        <f>_xlfn.XLOOKUP(B777,Lists!B:B,Lists!A:A,"")</f>
        <v>0</v>
      </c>
      <c r="G777" s="26" t="str">
        <f t="shared" si="51"/>
        <v/>
      </c>
      <c r="H777" s="31" t="str">
        <f t="shared" si="52"/>
        <v/>
      </c>
      <c r="J777" s="27" t="str">
        <f>IF(I777="","",_xlfn.XLOOKUP(I777,Lists!$C:$C,Lists!$D:$D))</f>
        <v/>
      </c>
      <c r="N777" s="26" t="str">
        <f t="shared" si="53"/>
        <v/>
      </c>
      <c r="O777" s="27" t="str">
        <f>IF(I777="","",_xlfn.XLOOKUP(I777,Lists!$C:$C,Lists!$J:$J))</f>
        <v/>
      </c>
      <c r="P777" s="27" t="str">
        <f>IF(I777="","",_xlfn.XLOOKUP(I777,Lists!$C:$C,Lists!$E:$E))</f>
        <v/>
      </c>
      <c r="Q777" s="28" t="str">
        <f t="shared" si="54"/>
        <v/>
      </c>
      <c r="R777" s="26" t="str">
        <f t="shared" ca="1" si="55"/>
        <v/>
      </c>
      <c r="S777" s="27" t="str">
        <f>IF(I777="","",_xlfn.XLOOKUP(I777,Lists!$C:$C,Lists!$I:$I))</f>
        <v/>
      </c>
    </row>
    <row r="778" spans="3:19" x14ac:dyDescent="0.2">
      <c r="C778" s="26">
        <f>_xlfn.XLOOKUP(B778,Lists!B:B,Lists!A:A,"")</f>
        <v>0</v>
      </c>
      <c r="G778" s="26" t="str">
        <f t="shared" si="51"/>
        <v/>
      </c>
      <c r="H778" s="31" t="str">
        <f t="shared" si="52"/>
        <v/>
      </c>
      <c r="J778" s="27" t="str">
        <f>IF(I778="","",_xlfn.XLOOKUP(I778,Lists!$C:$C,Lists!$D:$D))</f>
        <v/>
      </c>
      <c r="N778" s="26" t="str">
        <f t="shared" si="53"/>
        <v/>
      </c>
      <c r="O778" s="27" t="str">
        <f>IF(I778="","",_xlfn.XLOOKUP(I778,Lists!$C:$C,Lists!$J:$J))</f>
        <v/>
      </c>
      <c r="P778" s="27" t="str">
        <f>IF(I778="","",_xlfn.XLOOKUP(I778,Lists!$C:$C,Lists!$E:$E))</f>
        <v/>
      </c>
      <c r="Q778" s="28" t="str">
        <f t="shared" si="54"/>
        <v/>
      </c>
      <c r="R778" s="26" t="str">
        <f t="shared" ca="1" si="55"/>
        <v/>
      </c>
      <c r="S778" s="27" t="str">
        <f>IF(I778="","",_xlfn.XLOOKUP(I778,Lists!$C:$C,Lists!$I:$I))</f>
        <v/>
      </c>
    </row>
    <row r="779" spans="3:19" x14ac:dyDescent="0.2">
      <c r="C779" s="26">
        <f>_xlfn.XLOOKUP(B779,Lists!B:B,Lists!A:A,"")</f>
        <v>0</v>
      </c>
      <c r="G779" s="26" t="str">
        <f t="shared" ref="G779:G842" si="56">IF(OR(E779="",F779=""),"",F779-E779+1)</f>
        <v/>
      </c>
      <c r="H779" s="31" t="str">
        <f t="shared" ref="H779:H842" si="57">IF(D779="","",IF(OR(D779="A",D779="B"),G779/80,IF(D779="A&amp;B",G779/160,"")))</f>
        <v/>
      </c>
      <c r="J779" s="27" t="str">
        <f>IF(I779="","",_xlfn.XLOOKUP(I779,Lists!$C:$C,Lists!$D:$D))</f>
        <v/>
      </c>
      <c r="N779" s="26" t="str">
        <f t="shared" ref="N779:N842" si="58">IF(OR(M779="",L779=""),"",(M779*L779)/100000)</f>
        <v/>
      </c>
      <c r="O779" s="27" t="str">
        <f>IF(I779="","",_xlfn.XLOOKUP(I779,Lists!$C:$C,Lists!$J:$J))</f>
        <v/>
      </c>
      <c r="P779" s="27" t="str">
        <f>IF(I779="","",_xlfn.XLOOKUP(I779,Lists!$C:$C,Lists!$E:$E))</f>
        <v/>
      </c>
      <c r="Q779" s="28" t="str">
        <f t="shared" ref="Q779:Q842" si="59">IF(OR(A779="",P779=""),"",A779+P779+1)</f>
        <v/>
      </c>
      <c r="R779" s="26" t="str">
        <f t="shared" ref="R779:R842" ca="1" si="60">IF(Q779="","",IF(Q779&lt;=TODAY(),"Allow","Not Allow"))</f>
        <v/>
      </c>
      <c r="S779" s="27" t="str">
        <f>IF(I779="","",_xlfn.XLOOKUP(I779,Lists!$C:$C,Lists!$I:$I))</f>
        <v/>
      </c>
    </row>
    <row r="780" spans="3:19" x14ac:dyDescent="0.2">
      <c r="C780" s="26">
        <f>_xlfn.XLOOKUP(B780,Lists!B:B,Lists!A:A,"")</f>
        <v>0</v>
      </c>
      <c r="G780" s="26" t="str">
        <f t="shared" si="56"/>
        <v/>
      </c>
      <c r="H780" s="31" t="str">
        <f t="shared" si="57"/>
        <v/>
      </c>
      <c r="J780" s="27" t="str">
        <f>IF(I780="","",_xlfn.XLOOKUP(I780,Lists!$C:$C,Lists!$D:$D))</f>
        <v/>
      </c>
      <c r="N780" s="26" t="str">
        <f t="shared" si="58"/>
        <v/>
      </c>
      <c r="O780" s="27" t="str">
        <f>IF(I780="","",_xlfn.XLOOKUP(I780,Lists!$C:$C,Lists!$J:$J))</f>
        <v/>
      </c>
      <c r="P780" s="27" t="str">
        <f>IF(I780="","",_xlfn.XLOOKUP(I780,Lists!$C:$C,Lists!$E:$E))</f>
        <v/>
      </c>
      <c r="Q780" s="28" t="str">
        <f t="shared" si="59"/>
        <v/>
      </c>
      <c r="R780" s="26" t="str">
        <f t="shared" ca="1" si="60"/>
        <v/>
      </c>
      <c r="S780" s="27" t="str">
        <f>IF(I780="","",_xlfn.XLOOKUP(I780,Lists!$C:$C,Lists!$I:$I))</f>
        <v/>
      </c>
    </row>
    <row r="781" spans="3:19" x14ac:dyDescent="0.2">
      <c r="C781" s="26">
        <f>_xlfn.XLOOKUP(B781,Lists!B:B,Lists!A:A,"")</f>
        <v>0</v>
      </c>
      <c r="G781" s="26" t="str">
        <f t="shared" si="56"/>
        <v/>
      </c>
      <c r="H781" s="31" t="str">
        <f t="shared" si="57"/>
        <v/>
      </c>
      <c r="J781" s="27" t="str">
        <f>IF(I781="","",_xlfn.XLOOKUP(I781,Lists!$C:$C,Lists!$D:$D))</f>
        <v/>
      </c>
      <c r="N781" s="26" t="str">
        <f t="shared" si="58"/>
        <v/>
      </c>
      <c r="O781" s="27" t="str">
        <f>IF(I781="","",_xlfn.XLOOKUP(I781,Lists!$C:$C,Lists!$J:$J))</f>
        <v/>
      </c>
      <c r="P781" s="27" t="str">
        <f>IF(I781="","",_xlfn.XLOOKUP(I781,Lists!$C:$C,Lists!$E:$E))</f>
        <v/>
      </c>
      <c r="Q781" s="28" t="str">
        <f t="shared" si="59"/>
        <v/>
      </c>
      <c r="R781" s="26" t="str">
        <f t="shared" ca="1" si="60"/>
        <v/>
      </c>
      <c r="S781" s="27" t="str">
        <f>IF(I781="","",_xlfn.XLOOKUP(I781,Lists!$C:$C,Lists!$I:$I))</f>
        <v/>
      </c>
    </row>
    <row r="782" spans="3:19" x14ac:dyDescent="0.2">
      <c r="C782" s="26">
        <f>_xlfn.XLOOKUP(B782,Lists!B:B,Lists!A:A,"")</f>
        <v>0</v>
      </c>
      <c r="G782" s="26" t="str">
        <f t="shared" si="56"/>
        <v/>
      </c>
      <c r="H782" s="31" t="str">
        <f t="shared" si="57"/>
        <v/>
      </c>
      <c r="J782" s="27" t="str">
        <f>IF(I782="","",_xlfn.XLOOKUP(I782,Lists!$C:$C,Lists!$D:$D))</f>
        <v/>
      </c>
      <c r="N782" s="26" t="str">
        <f t="shared" si="58"/>
        <v/>
      </c>
      <c r="O782" s="27" t="str">
        <f>IF(I782="","",_xlfn.XLOOKUP(I782,Lists!$C:$C,Lists!$J:$J))</f>
        <v/>
      </c>
      <c r="P782" s="27" t="str">
        <f>IF(I782="","",_xlfn.XLOOKUP(I782,Lists!$C:$C,Lists!$E:$E))</f>
        <v/>
      </c>
      <c r="Q782" s="28" t="str">
        <f t="shared" si="59"/>
        <v/>
      </c>
      <c r="R782" s="26" t="str">
        <f t="shared" ca="1" si="60"/>
        <v/>
      </c>
      <c r="S782" s="27" t="str">
        <f>IF(I782="","",_xlfn.XLOOKUP(I782,Lists!$C:$C,Lists!$I:$I))</f>
        <v/>
      </c>
    </row>
    <row r="783" spans="3:19" x14ac:dyDescent="0.2">
      <c r="C783" s="26">
        <f>_xlfn.XLOOKUP(B783,Lists!B:B,Lists!A:A,"")</f>
        <v>0</v>
      </c>
      <c r="G783" s="26" t="str">
        <f t="shared" si="56"/>
        <v/>
      </c>
      <c r="H783" s="31" t="str">
        <f t="shared" si="57"/>
        <v/>
      </c>
      <c r="J783" s="27" t="str">
        <f>IF(I783="","",_xlfn.XLOOKUP(I783,Lists!$C:$C,Lists!$D:$D))</f>
        <v/>
      </c>
      <c r="N783" s="26" t="str">
        <f t="shared" si="58"/>
        <v/>
      </c>
      <c r="O783" s="27" t="str">
        <f>IF(I783="","",_xlfn.XLOOKUP(I783,Lists!$C:$C,Lists!$J:$J))</f>
        <v/>
      </c>
      <c r="P783" s="27" t="str">
        <f>IF(I783="","",_xlfn.XLOOKUP(I783,Lists!$C:$C,Lists!$E:$E))</f>
        <v/>
      </c>
      <c r="Q783" s="28" t="str">
        <f t="shared" si="59"/>
        <v/>
      </c>
      <c r="R783" s="26" t="str">
        <f t="shared" ca="1" si="60"/>
        <v/>
      </c>
      <c r="S783" s="27" t="str">
        <f>IF(I783="","",_xlfn.XLOOKUP(I783,Lists!$C:$C,Lists!$I:$I))</f>
        <v/>
      </c>
    </row>
    <row r="784" spans="3:19" x14ac:dyDescent="0.2">
      <c r="C784" s="26">
        <f>_xlfn.XLOOKUP(B784,Lists!B:B,Lists!A:A,"")</f>
        <v>0</v>
      </c>
      <c r="G784" s="26" t="str">
        <f t="shared" si="56"/>
        <v/>
      </c>
      <c r="H784" s="31" t="str">
        <f t="shared" si="57"/>
        <v/>
      </c>
      <c r="J784" s="27" t="str">
        <f>IF(I784="","",_xlfn.XLOOKUP(I784,Lists!$C:$C,Lists!$D:$D))</f>
        <v/>
      </c>
      <c r="N784" s="26" t="str">
        <f t="shared" si="58"/>
        <v/>
      </c>
      <c r="O784" s="27" t="str">
        <f>IF(I784="","",_xlfn.XLOOKUP(I784,Lists!$C:$C,Lists!$J:$J))</f>
        <v/>
      </c>
      <c r="P784" s="27" t="str">
        <f>IF(I784="","",_xlfn.XLOOKUP(I784,Lists!$C:$C,Lists!$E:$E))</f>
        <v/>
      </c>
      <c r="Q784" s="28" t="str">
        <f t="shared" si="59"/>
        <v/>
      </c>
      <c r="R784" s="26" t="str">
        <f t="shared" ca="1" si="60"/>
        <v/>
      </c>
      <c r="S784" s="27" t="str">
        <f>IF(I784="","",_xlfn.XLOOKUP(I784,Lists!$C:$C,Lists!$I:$I))</f>
        <v/>
      </c>
    </row>
    <row r="785" spans="3:19" x14ac:dyDescent="0.2">
      <c r="C785" s="26">
        <f>_xlfn.XLOOKUP(B785,Lists!B:B,Lists!A:A,"")</f>
        <v>0</v>
      </c>
      <c r="G785" s="26" t="str">
        <f t="shared" si="56"/>
        <v/>
      </c>
      <c r="H785" s="31" t="str">
        <f t="shared" si="57"/>
        <v/>
      </c>
      <c r="J785" s="27" t="str">
        <f>IF(I785="","",_xlfn.XLOOKUP(I785,Lists!$C:$C,Lists!$D:$D))</f>
        <v/>
      </c>
      <c r="N785" s="26" t="str">
        <f t="shared" si="58"/>
        <v/>
      </c>
      <c r="O785" s="27" t="str">
        <f>IF(I785="","",_xlfn.XLOOKUP(I785,Lists!$C:$C,Lists!$J:$J))</f>
        <v/>
      </c>
      <c r="P785" s="27" t="str">
        <f>IF(I785="","",_xlfn.XLOOKUP(I785,Lists!$C:$C,Lists!$E:$E))</f>
        <v/>
      </c>
      <c r="Q785" s="28" t="str">
        <f t="shared" si="59"/>
        <v/>
      </c>
      <c r="R785" s="26" t="str">
        <f t="shared" ca="1" si="60"/>
        <v/>
      </c>
      <c r="S785" s="27" t="str">
        <f>IF(I785="","",_xlfn.XLOOKUP(I785,Lists!$C:$C,Lists!$I:$I))</f>
        <v/>
      </c>
    </row>
    <row r="786" spans="3:19" x14ac:dyDescent="0.2">
      <c r="C786" s="26">
        <f>_xlfn.XLOOKUP(B786,Lists!B:B,Lists!A:A,"")</f>
        <v>0</v>
      </c>
      <c r="G786" s="26" t="str">
        <f t="shared" si="56"/>
        <v/>
      </c>
      <c r="H786" s="31" t="str">
        <f t="shared" si="57"/>
        <v/>
      </c>
      <c r="J786" s="27" t="str">
        <f>IF(I786="","",_xlfn.XLOOKUP(I786,Lists!$C:$C,Lists!$D:$D))</f>
        <v/>
      </c>
      <c r="N786" s="26" t="str">
        <f t="shared" si="58"/>
        <v/>
      </c>
      <c r="O786" s="27" t="str">
        <f>IF(I786="","",_xlfn.XLOOKUP(I786,Lists!$C:$C,Lists!$J:$J))</f>
        <v/>
      </c>
      <c r="P786" s="27" t="str">
        <f>IF(I786="","",_xlfn.XLOOKUP(I786,Lists!$C:$C,Lists!$E:$E))</f>
        <v/>
      </c>
      <c r="Q786" s="28" t="str">
        <f t="shared" si="59"/>
        <v/>
      </c>
      <c r="R786" s="26" t="str">
        <f t="shared" ca="1" si="60"/>
        <v/>
      </c>
      <c r="S786" s="27" t="str">
        <f>IF(I786="","",_xlfn.XLOOKUP(I786,Lists!$C:$C,Lists!$I:$I))</f>
        <v/>
      </c>
    </row>
    <row r="787" spans="3:19" x14ac:dyDescent="0.2">
      <c r="C787" s="26">
        <f>_xlfn.XLOOKUP(B787,Lists!B:B,Lists!A:A,"")</f>
        <v>0</v>
      </c>
      <c r="G787" s="26" t="str">
        <f t="shared" si="56"/>
        <v/>
      </c>
      <c r="H787" s="31" t="str">
        <f t="shared" si="57"/>
        <v/>
      </c>
      <c r="J787" s="27" t="str">
        <f>IF(I787="","",_xlfn.XLOOKUP(I787,Lists!$C:$C,Lists!$D:$D))</f>
        <v/>
      </c>
      <c r="N787" s="26" t="str">
        <f t="shared" si="58"/>
        <v/>
      </c>
      <c r="O787" s="27" t="str">
        <f>IF(I787="","",_xlfn.XLOOKUP(I787,Lists!$C:$C,Lists!$J:$J))</f>
        <v/>
      </c>
      <c r="P787" s="27" t="str">
        <f>IF(I787="","",_xlfn.XLOOKUP(I787,Lists!$C:$C,Lists!$E:$E))</f>
        <v/>
      </c>
      <c r="Q787" s="28" t="str">
        <f t="shared" si="59"/>
        <v/>
      </c>
      <c r="R787" s="26" t="str">
        <f t="shared" ca="1" si="60"/>
        <v/>
      </c>
      <c r="S787" s="27" t="str">
        <f>IF(I787="","",_xlfn.XLOOKUP(I787,Lists!$C:$C,Lists!$I:$I))</f>
        <v/>
      </c>
    </row>
    <row r="788" spans="3:19" x14ac:dyDescent="0.2">
      <c r="C788" s="26">
        <f>_xlfn.XLOOKUP(B788,Lists!B:B,Lists!A:A,"")</f>
        <v>0</v>
      </c>
      <c r="G788" s="26" t="str">
        <f t="shared" si="56"/>
        <v/>
      </c>
      <c r="H788" s="31" t="str">
        <f t="shared" si="57"/>
        <v/>
      </c>
      <c r="J788" s="27" t="str">
        <f>IF(I788="","",_xlfn.XLOOKUP(I788,Lists!$C:$C,Lists!$D:$D))</f>
        <v/>
      </c>
      <c r="N788" s="26" t="str">
        <f t="shared" si="58"/>
        <v/>
      </c>
      <c r="O788" s="27" t="str">
        <f>IF(I788="","",_xlfn.XLOOKUP(I788,Lists!$C:$C,Lists!$J:$J))</f>
        <v/>
      </c>
      <c r="P788" s="27" t="str">
        <f>IF(I788="","",_xlfn.XLOOKUP(I788,Lists!$C:$C,Lists!$E:$E))</f>
        <v/>
      </c>
      <c r="Q788" s="28" t="str">
        <f t="shared" si="59"/>
        <v/>
      </c>
      <c r="R788" s="26" t="str">
        <f t="shared" ca="1" si="60"/>
        <v/>
      </c>
      <c r="S788" s="27" t="str">
        <f>IF(I788="","",_xlfn.XLOOKUP(I788,Lists!$C:$C,Lists!$I:$I))</f>
        <v/>
      </c>
    </row>
    <row r="789" spans="3:19" x14ac:dyDescent="0.2">
      <c r="C789" s="26">
        <f>_xlfn.XLOOKUP(B789,Lists!B:B,Lists!A:A,"")</f>
        <v>0</v>
      </c>
      <c r="G789" s="26" t="str">
        <f t="shared" si="56"/>
        <v/>
      </c>
      <c r="H789" s="31" t="str">
        <f t="shared" si="57"/>
        <v/>
      </c>
      <c r="J789" s="27" t="str">
        <f>IF(I789="","",_xlfn.XLOOKUP(I789,Lists!$C:$C,Lists!$D:$D))</f>
        <v/>
      </c>
      <c r="N789" s="26" t="str">
        <f t="shared" si="58"/>
        <v/>
      </c>
      <c r="O789" s="27" t="str">
        <f>IF(I789="","",_xlfn.XLOOKUP(I789,Lists!$C:$C,Lists!$J:$J))</f>
        <v/>
      </c>
      <c r="P789" s="27" t="str">
        <f>IF(I789="","",_xlfn.XLOOKUP(I789,Lists!$C:$C,Lists!$E:$E))</f>
        <v/>
      </c>
      <c r="Q789" s="28" t="str">
        <f t="shared" si="59"/>
        <v/>
      </c>
      <c r="R789" s="26" t="str">
        <f t="shared" ca="1" si="60"/>
        <v/>
      </c>
      <c r="S789" s="27" t="str">
        <f>IF(I789="","",_xlfn.XLOOKUP(I789,Lists!$C:$C,Lists!$I:$I))</f>
        <v/>
      </c>
    </row>
    <row r="790" spans="3:19" x14ac:dyDescent="0.2">
      <c r="C790" s="26">
        <f>_xlfn.XLOOKUP(B790,Lists!B:B,Lists!A:A,"")</f>
        <v>0</v>
      </c>
      <c r="G790" s="26" t="str">
        <f t="shared" si="56"/>
        <v/>
      </c>
      <c r="H790" s="31" t="str">
        <f t="shared" si="57"/>
        <v/>
      </c>
      <c r="J790" s="27" t="str">
        <f>IF(I790="","",_xlfn.XLOOKUP(I790,Lists!$C:$C,Lists!$D:$D))</f>
        <v/>
      </c>
      <c r="N790" s="26" t="str">
        <f t="shared" si="58"/>
        <v/>
      </c>
      <c r="O790" s="27" t="str">
        <f>IF(I790="","",_xlfn.XLOOKUP(I790,Lists!$C:$C,Lists!$J:$J))</f>
        <v/>
      </c>
      <c r="P790" s="27" t="str">
        <f>IF(I790="","",_xlfn.XLOOKUP(I790,Lists!$C:$C,Lists!$E:$E))</f>
        <v/>
      </c>
      <c r="Q790" s="28" t="str">
        <f t="shared" si="59"/>
        <v/>
      </c>
      <c r="R790" s="26" t="str">
        <f t="shared" ca="1" si="60"/>
        <v/>
      </c>
      <c r="S790" s="27" t="str">
        <f>IF(I790="","",_xlfn.XLOOKUP(I790,Lists!$C:$C,Lists!$I:$I))</f>
        <v/>
      </c>
    </row>
    <row r="791" spans="3:19" x14ac:dyDescent="0.2">
      <c r="C791" s="26">
        <f>_xlfn.XLOOKUP(B791,Lists!B:B,Lists!A:A,"")</f>
        <v>0</v>
      </c>
      <c r="G791" s="26" t="str">
        <f t="shared" si="56"/>
        <v/>
      </c>
      <c r="H791" s="31" t="str">
        <f t="shared" si="57"/>
        <v/>
      </c>
      <c r="J791" s="27" t="str">
        <f>IF(I791="","",_xlfn.XLOOKUP(I791,Lists!$C:$C,Lists!$D:$D))</f>
        <v/>
      </c>
      <c r="N791" s="26" t="str">
        <f t="shared" si="58"/>
        <v/>
      </c>
      <c r="O791" s="27" t="str">
        <f>IF(I791="","",_xlfn.XLOOKUP(I791,Lists!$C:$C,Lists!$J:$J))</f>
        <v/>
      </c>
      <c r="P791" s="27" t="str">
        <f>IF(I791="","",_xlfn.XLOOKUP(I791,Lists!$C:$C,Lists!$E:$E))</f>
        <v/>
      </c>
      <c r="Q791" s="28" t="str">
        <f t="shared" si="59"/>
        <v/>
      </c>
      <c r="R791" s="26" t="str">
        <f t="shared" ca="1" si="60"/>
        <v/>
      </c>
      <c r="S791" s="27" t="str">
        <f>IF(I791="","",_xlfn.XLOOKUP(I791,Lists!$C:$C,Lists!$I:$I))</f>
        <v/>
      </c>
    </row>
    <row r="792" spans="3:19" x14ac:dyDescent="0.2">
      <c r="C792" s="26">
        <f>_xlfn.XLOOKUP(B792,Lists!B:B,Lists!A:A,"")</f>
        <v>0</v>
      </c>
      <c r="G792" s="26" t="str">
        <f t="shared" si="56"/>
        <v/>
      </c>
      <c r="H792" s="31" t="str">
        <f t="shared" si="57"/>
        <v/>
      </c>
      <c r="J792" s="27" t="str">
        <f>IF(I792="","",_xlfn.XLOOKUP(I792,Lists!$C:$C,Lists!$D:$D))</f>
        <v/>
      </c>
      <c r="N792" s="26" t="str">
        <f t="shared" si="58"/>
        <v/>
      </c>
      <c r="O792" s="27" t="str">
        <f>IF(I792="","",_xlfn.XLOOKUP(I792,Lists!$C:$C,Lists!$J:$J))</f>
        <v/>
      </c>
      <c r="P792" s="27" t="str">
        <f>IF(I792="","",_xlfn.XLOOKUP(I792,Lists!$C:$C,Lists!$E:$E))</f>
        <v/>
      </c>
      <c r="Q792" s="28" t="str">
        <f t="shared" si="59"/>
        <v/>
      </c>
      <c r="R792" s="26" t="str">
        <f t="shared" ca="1" si="60"/>
        <v/>
      </c>
      <c r="S792" s="27" t="str">
        <f>IF(I792="","",_xlfn.XLOOKUP(I792,Lists!$C:$C,Lists!$I:$I))</f>
        <v/>
      </c>
    </row>
    <row r="793" spans="3:19" x14ac:dyDescent="0.2">
      <c r="C793" s="26">
        <f>_xlfn.XLOOKUP(B793,Lists!B:B,Lists!A:A,"")</f>
        <v>0</v>
      </c>
      <c r="G793" s="26" t="str">
        <f t="shared" si="56"/>
        <v/>
      </c>
      <c r="H793" s="31" t="str">
        <f t="shared" si="57"/>
        <v/>
      </c>
      <c r="J793" s="27" t="str">
        <f>IF(I793="","",_xlfn.XLOOKUP(I793,Lists!$C:$C,Lists!$D:$D))</f>
        <v/>
      </c>
      <c r="N793" s="26" t="str">
        <f t="shared" si="58"/>
        <v/>
      </c>
      <c r="O793" s="27" t="str">
        <f>IF(I793="","",_xlfn.XLOOKUP(I793,Lists!$C:$C,Lists!$J:$J))</f>
        <v/>
      </c>
      <c r="P793" s="27" t="str">
        <f>IF(I793="","",_xlfn.XLOOKUP(I793,Lists!$C:$C,Lists!$E:$E))</f>
        <v/>
      </c>
      <c r="Q793" s="28" t="str">
        <f t="shared" si="59"/>
        <v/>
      </c>
      <c r="R793" s="26" t="str">
        <f t="shared" ca="1" si="60"/>
        <v/>
      </c>
      <c r="S793" s="27" t="str">
        <f>IF(I793="","",_xlfn.XLOOKUP(I793,Lists!$C:$C,Lists!$I:$I))</f>
        <v/>
      </c>
    </row>
    <row r="794" spans="3:19" x14ac:dyDescent="0.2">
      <c r="C794" s="26">
        <f>_xlfn.XLOOKUP(B794,Lists!B:B,Lists!A:A,"")</f>
        <v>0</v>
      </c>
      <c r="G794" s="26" t="str">
        <f t="shared" si="56"/>
        <v/>
      </c>
      <c r="H794" s="31" t="str">
        <f t="shared" si="57"/>
        <v/>
      </c>
      <c r="J794" s="27" t="str">
        <f>IF(I794="","",_xlfn.XLOOKUP(I794,Lists!$C:$C,Lists!$D:$D))</f>
        <v/>
      </c>
      <c r="N794" s="26" t="str">
        <f t="shared" si="58"/>
        <v/>
      </c>
      <c r="O794" s="27" t="str">
        <f>IF(I794="","",_xlfn.XLOOKUP(I794,Lists!$C:$C,Lists!$J:$J))</f>
        <v/>
      </c>
      <c r="P794" s="27" t="str">
        <f>IF(I794="","",_xlfn.XLOOKUP(I794,Lists!$C:$C,Lists!$E:$E))</f>
        <v/>
      </c>
      <c r="Q794" s="28" t="str">
        <f t="shared" si="59"/>
        <v/>
      </c>
      <c r="R794" s="26" t="str">
        <f t="shared" ca="1" si="60"/>
        <v/>
      </c>
      <c r="S794" s="27" t="str">
        <f>IF(I794="","",_xlfn.XLOOKUP(I794,Lists!$C:$C,Lists!$I:$I))</f>
        <v/>
      </c>
    </row>
    <row r="795" spans="3:19" x14ac:dyDescent="0.2">
      <c r="C795" s="26">
        <f>_xlfn.XLOOKUP(B795,Lists!B:B,Lists!A:A,"")</f>
        <v>0</v>
      </c>
      <c r="G795" s="26" t="str">
        <f t="shared" si="56"/>
        <v/>
      </c>
      <c r="H795" s="31" t="str">
        <f t="shared" si="57"/>
        <v/>
      </c>
      <c r="J795" s="27" t="str">
        <f>IF(I795="","",_xlfn.XLOOKUP(I795,Lists!$C:$C,Lists!$D:$D))</f>
        <v/>
      </c>
      <c r="N795" s="26" t="str">
        <f t="shared" si="58"/>
        <v/>
      </c>
      <c r="O795" s="27" t="str">
        <f>IF(I795="","",_xlfn.XLOOKUP(I795,Lists!$C:$C,Lists!$J:$J))</f>
        <v/>
      </c>
      <c r="P795" s="27" t="str">
        <f>IF(I795="","",_xlfn.XLOOKUP(I795,Lists!$C:$C,Lists!$E:$E))</f>
        <v/>
      </c>
      <c r="Q795" s="28" t="str">
        <f t="shared" si="59"/>
        <v/>
      </c>
      <c r="R795" s="26" t="str">
        <f t="shared" ca="1" si="60"/>
        <v/>
      </c>
      <c r="S795" s="27" t="str">
        <f>IF(I795="","",_xlfn.XLOOKUP(I795,Lists!$C:$C,Lists!$I:$I))</f>
        <v/>
      </c>
    </row>
    <row r="796" spans="3:19" x14ac:dyDescent="0.2">
      <c r="C796" s="26">
        <f>_xlfn.XLOOKUP(B796,Lists!B:B,Lists!A:A,"")</f>
        <v>0</v>
      </c>
      <c r="G796" s="26" t="str">
        <f t="shared" si="56"/>
        <v/>
      </c>
      <c r="H796" s="31" t="str">
        <f t="shared" si="57"/>
        <v/>
      </c>
      <c r="J796" s="27" t="str">
        <f>IF(I796="","",_xlfn.XLOOKUP(I796,Lists!$C:$C,Lists!$D:$D))</f>
        <v/>
      </c>
      <c r="N796" s="26" t="str">
        <f t="shared" si="58"/>
        <v/>
      </c>
      <c r="O796" s="27" t="str">
        <f>IF(I796="","",_xlfn.XLOOKUP(I796,Lists!$C:$C,Lists!$J:$J))</f>
        <v/>
      </c>
      <c r="P796" s="27" t="str">
        <f>IF(I796="","",_xlfn.XLOOKUP(I796,Lists!$C:$C,Lists!$E:$E))</f>
        <v/>
      </c>
      <c r="Q796" s="28" t="str">
        <f t="shared" si="59"/>
        <v/>
      </c>
      <c r="R796" s="26" t="str">
        <f t="shared" ca="1" si="60"/>
        <v/>
      </c>
      <c r="S796" s="27" t="str">
        <f>IF(I796="","",_xlfn.XLOOKUP(I796,Lists!$C:$C,Lists!$I:$I))</f>
        <v/>
      </c>
    </row>
    <row r="797" spans="3:19" x14ac:dyDescent="0.2">
      <c r="C797" s="26">
        <f>_xlfn.XLOOKUP(B797,Lists!B:B,Lists!A:A,"")</f>
        <v>0</v>
      </c>
      <c r="G797" s="26" t="str">
        <f t="shared" si="56"/>
        <v/>
      </c>
      <c r="H797" s="31" t="str">
        <f t="shared" si="57"/>
        <v/>
      </c>
      <c r="J797" s="27" t="str">
        <f>IF(I797="","",_xlfn.XLOOKUP(I797,Lists!$C:$C,Lists!$D:$D))</f>
        <v/>
      </c>
      <c r="N797" s="26" t="str">
        <f t="shared" si="58"/>
        <v/>
      </c>
      <c r="O797" s="27" t="str">
        <f>IF(I797="","",_xlfn.XLOOKUP(I797,Lists!$C:$C,Lists!$J:$J))</f>
        <v/>
      </c>
      <c r="P797" s="27" t="str">
        <f>IF(I797="","",_xlfn.XLOOKUP(I797,Lists!$C:$C,Lists!$E:$E))</f>
        <v/>
      </c>
      <c r="Q797" s="28" t="str">
        <f t="shared" si="59"/>
        <v/>
      </c>
      <c r="R797" s="26" t="str">
        <f t="shared" ca="1" si="60"/>
        <v/>
      </c>
      <c r="S797" s="27" t="str">
        <f>IF(I797="","",_xlfn.XLOOKUP(I797,Lists!$C:$C,Lists!$I:$I))</f>
        <v/>
      </c>
    </row>
    <row r="798" spans="3:19" x14ac:dyDescent="0.2">
      <c r="C798" s="26">
        <f>_xlfn.XLOOKUP(B798,Lists!B:B,Lists!A:A,"")</f>
        <v>0</v>
      </c>
      <c r="G798" s="26" t="str">
        <f t="shared" si="56"/>
        <v/>
      </c>
      <c r="H798" s="31" t="str">
        <f t="shared" si="57"/>
        <v/>
      </c>
      <c r="J798" s="27" t="str">
        <f>IF(I798="","",_xlfn.XLOOKUP(I798,Lists!$C:$C,Lists!$D:$D))</f>
        <v/>
      </c>
      <c r="N798" s="26" t="str">
        <f t="shared" si="58"/>
        <v/>
      </c>
      <c r="O798" s="27" t="str">
        <f>IF(I798="","",_xlfn.XLOOKUP(I798,Lists!$C:$C,Lists!$J:$J))</f>
        <v/>
      </c>
      <c r="P798" s="27" t="str">
        <f>IF(I798="","",_xlfn.XLOOKUP(I798,Lists!$C:$C,Lists!$E:$E))</f>
        <v/>
      </c>
      <c r="Q798" s="28" t="str">
        <f t="shared" si="59"/>
        <v/>
      </c>
      <c r="R798" s="26" t="str">
        <f t="shared" ca="1" si="60"/>
        <v/>
      </c>
      <c r="S798" s="27" t="str">
        <f>IF(I798="","",_xlfn.XLOOKUP(I798,Lists!$C:$C,Lists!$I:$I))</f>
        <v/>
      </c>
    </row>
    <row r="799" spans="3:19" x14ac:dyDescent="0.2">
      <c r="C799" s="26">
        <f>_xlfn.XLOOKUP(B799,Lists!B:B,Lists!A:A,"")</f>
        <v>0</v>
      </c>
      <c r="G799" s="26" t="str">
        <f t="shared" si="56"/>
        <v/>
      </c>
      <c r="H799" s="31" t="str">
        <f t="shared" si="57"/>
        <v/>
      </c>
      <c r="J799" s="27" t="str">
        <f>IF(I799="","",_xlfn.XLOOKUP(I799,Lists!$C:$C,Lists!$D:$D))</f>
        <v/>
      </c>
      <c r="N799" s="26" t="str">
        <f t="shared" si="58"/>
        <v/>
      </c>
      <c r="O799" s="27" t="str">
        <f>IF(I799="","",_xlfn.XLOOKUP(I799,Lists!$C:$C,Lists!$J:$J))</f>
        <v/>
      </c>
      <c r="P799" s="27" t="str">
        <f>IF(I799="","",_xlfn.XLOOKUP(I799,Lists!$C:$C,Lists!$E:$E))</f>
        <v/>
      </c>
      <c r="Q799" s="28" t="str">
        <f t="shared" si="59"/>
        <v/>
      </c>
      <c r="R799" s="26" t="str">
        <f t="shared" ca="1" si="60"/>
        <v/>
      </c>
      <c r="S799" s="27" t="str">
        <f>IF(I799="","",_xlfn.XLOOKUP(I799,Lists!$C:$C,Lists!$I:$I))</f>
        <v/>
      </c>
    </row>
    <row r="800" spans="3:19" x14ac:dyDescent="0.2">
      <c r="C800" s="26">
        <f>_xlfn.XLOOKUP(B800,Lists!B:B,Lists!A:A,"")</f>
        <v>0</v>
      </c>
      <c r="G800" s="26" t="str">
        <f t="shared" si="56"/>
        <v/>
      </c>
      <c r="H800" s="31" t="str">
        <f t="shared" si="57"/>
        <v/>
      </c>
      <c r="J800" s="27" t="str">
        <f>IF(I800="","",_xlfn.XLOOKUP(I800,Lists!$C:$C,Lists!$D:$D))</f>
        <v/>
      </c>
      <c r="N800" s="26" t="str">
        <f t="shared" si="58"/>
        <v/>
      </c>
      <c r="O800" s="27" t="str">
        <f>IF(I800="","",_xlfn.XLOOKUP(I800,Lists!$C:$C,Lists!$J:$J))</f>
        <v/>
      </c>
      <c r="P800" s="27" t="str">
        <f>IF(I800="","",_xlfn.XLOOKUP(I800,Lists!$C:$C,Lists!$E:$E))</f>
        <v/>
      </c>
      <c r="Q800" s="28" t="str">
        <f t="shared" si="59"/>
        <v/>
      </c>
      <c r="R800" s="26" t="str">
        <f t="shared" ca="1" si="60"/>
        <v/>
      </c>
      <c r="S800" s="27" t="str">
        <f>IF(I800="","",_xlfn.XLOOKUP(I800,Lists!$C:$C,Lists!$I:$I))</f>
        <v/>
      </c>
    </row>
    <row r="801" spans="3:19" x14ac:dyDescent="0.2">
      <c r="C801" s="26">
        <f>_xlfn.XLOOKUP(B801,Lists!B:B,Lists!A:A,"")</f>
        <v>0</v>
      </c>
      <c r="G801" s="26" t="str">
        <f t="shared" si="56"/>
        <v/>
      </c>
      <c r="H801" s="31" t="str">
        <f t="shared" si="57"/>
        <v/>
      </c>
      <c r="J801" s="27" t="str">
        <f>IF(I801="","",_xlfn.XLOOKUP(I801,Lists!$C:$C,Lists!$D:$D))</f>
        <v/>
      </c>
      <c r="N801" s="26" t="str">
        <f t="shared" si="58"/>
        <v/>
      </c>
      <c r="O801" s="27" t="str">
        <f>IF(I801="","",_xlfn.XLOOKUP(I801,Lists!$C:$C,Lists!$J:$J))</f>
        <v/>
      </c>
      <c r="P801" s="27" t="str">
        <f>IF(I801="","",_xlfn.XLOOKUP(I801,Lists!$C:$C,Lists!$E:$E))</f>
        <v/>
      </c>
      <c r="Q801" s="28" t="str">
        <f t="shared" si="59"/>
        <v/>
      </c>
      <c r="R801" s="26" t="str">
        <f t="shared" ca="1" si="60"/>
        <v/>
      </c>
      <c r="S801" s="27" t="str">
        <f>IF(I801="","",_xlfn.XLOOKUP(I801,Lists!$C:$C,Lists!$I:$I))</f>
        <v/>
      </c>
    </row>
    <row r="802" spans="3:19" x14ac:dyDescent="0.2">
      <c r="C802" s="26">
        <f>_xlfn.XLOOKUP(B802,Lists!B:B,Lists!A:A,"")</f>
        <v>0</v>
      </c>
      <c r="G802" s="26" t="str">
        <f t="shared" si="56"/>
        <v/>
      </c>
      <c r="H802" s="31" t="str">
        <f t="shared" si="57"/>
        <v/>
      </c>
      <c r="J802" s="27" t="str">
        <f>IF(I802="","",_xlfn.XLOOKUP(I802,Lists!$C:$C,Lists!$D:$D))</f>
        <v/>
      </c>
      <c r="N802" s="26" t="str">
        <f t="shared" si="58"/>
        <v/>
      </c>
      <c r="O802" s="27" t="str">
        <f>IF(I802="","",_xlfn.XLOOKUP(I802,Lists!$C:$C,Lists!$J:$J))</f>
        <v/>
      </c>
      <c r="P802" s="27" t="str">
        <f>IF(I802="","",_xlfn.XLOOKUP(I802,Lists!$C:$C,Lists!$E:$E))</f>
        <v/>
      </c>
      <c r="Q802" s="28" t="str">
        <f t="shared" si="59"/>
        <v/>
      </c>
      <c r="R802" s="26" t="str">
        <f t="shared" ca="1" si="60"/>
        <v/>
      </c>
      <c r="S802" s="27" t="str">
        <f>IF(I802="","",_xlfn.XLOOKUP(I802,Lists!$C:$C,Lists!$I:$I))</f>
        <v/>
      </c>
    </row>
    <row r="803" spans="3:19" x14ac:dyDescent="0.2">
      <c r="C803" s="26">
        <f>_xlfn.XLOOKUP(B803,Lists!B:B,Lists!A:A,"")</f>
        <v>0</v>
      </c>
      <c r="G803" s="26" t="str">
        <f t="shared" si="56"/>
        <v/>
      </c>
      <c r="H803" s="31" t="str">
        <f t="shared" si="57"/>
        <v/>
      </c>
      <c r="J803" s="27" t="str">
        <f>IF(I803="","",_xlfn.XLOOKUP(I803,Lists!$C:$C,Lists!$D:$D))</f>
        <v/>
      </c>
      <c r="N803" s="26" t="str">
        <f t="shared" si="58"/>
        <v/>
      </c>
      <c r="O803" s="27" t="str">
        <f>IF(I803="","",_xlfn.XLOOKUP(I803,Lists!$C:$C,Lists!$J:$J))</f>
        <v/>
      </c>
      <c r="P803" s="27" t="str">
        <f>IF(I803="","",_xlfn.XLOOKUP(I803,Lists!$C:$C,Lists!$E:$E))</f>
        <v/>
      </c>
      <c r="Q803" s="28" t="str">
        <f t="shared" si="59"/>
        <v/>
      </c>
      <c r="R803" s="26" t="str">
        <f t="shared" ca="1" si="60"/>
        <v/>
      </c>
      <c r="S803" s="27" t="str">
        <f>IF(I803="","",_xlfn.XLOOKUP(I803,Lists!$C:$C,Lists!$I:$I))</f>
        <v/>
      </c>
    </row>
    <row r="804" spans="3:19" x14ac:dyDescent="0.2">
      <c r="C804" s="26">
        <f>_xlfn.XLOOKUP(B804,Lists!B:B,Lists!A:A,"")</f>
        <v>0</v>
      </c>
      <c r="G804" s="26" t="str">
        <f t="shared" si="56"/>
        <v/>
      </c>
      <c r="H804" s="31" t="str">
        <f t="shared" si="57"/>
        <v/>
      </c>
      <c r="J804" s="27" t="str">
        <f>IF(I804="","",_xlfn.XLOOKUP(I804,Lists!$C:$C,Lists!$D:$D))</f>
        <v/>
      </c>
      <c r="N804" s="26" t="str">
        <f t="shared" si="58"/>
        <v/>
      </c>
      <c r="O804" s="27" t="str">
        <f>IF(I804="","",_xlfn.XLOOKUP(I804,Lists!$C:$C,Lists!$J:$J))</f>
        <v/>
      </c>
      <c r="P804" s="27" t="str">
        <f>IF(I804="","",_xlfn.XLOOKUP(I804,Lists!$C:$C,Lists!$E:$E))</f>
        <v/>
      </c>
      <c r="Q804" s="28" t="str">
        <f t="shared" si="59"/>
        <v/>
      </c>
      <c r="R804" s="26" t="str">
        <f t="shared" ca="1" si="60"/>
        <v/>
      </c>
      <c r="S804" s="27" t="str">
        <f>IF(I804="","",_xlfn.XLOOKUP(I804,Lists!$C:$C,Lists!$I:$I))</f>
        <v/>
      </c>
    </row>
    <row r="805" spans="3:19" x14ac:dyDescent="0.2">
      <c r="C805" s="26">
        <f>_xlfn.XLOOKUP(B805,Lists!B:B,Lists!A:A,"")</f>
        <v>0</v>
      </c>
      <c r="G805" s="26" t="str">
        <f t="shared" si="56"/>
        <v/>
      </c>
      <c r="H805" s="31" t="str">
        <f t="shared" si="57"/>
        <v/>
      </c>
      <c r="J805" s="27" t="str">
        <f>IF(I805="","",_xlfn.XLOOKUP(I805,Lists!$C:$C,Lists!$D:$D))</f>
        <v/>
      </c>
      <c r="N805" s="26" t="str">
        <f t="shared" si="58"/>
        <v/>
      </c>
      <c r="O805" s="27" t="str">
        <f>IF(I805="","",_xlfn.XLOOKUP(I805,Lists!$C:$C,Lists!$J:$J))</f>
        <v/>
      </c>
      <c r="P805" s="27" t="str">
        <f>IF(I805="","",_xlfn.XLOOKUP(I805,Lists!$C:$C,Lists!$E:$E))</f>
        <v/>
      </c>
      <c r="Q805" s="28" t="str">
        <f t="shared" si="59"/>
        <v/>
      </c>
      <c r="R805" s="26" t="str">
        <f t="shared" ca="1" si="60"/>
        <v/>
      </c>
      <c r="S805" s="27" t="str">
        <f>IF(I805="","",_xlfn.XLOOKUP(I805,Lists!$C:$C,Lists!$I:$I))</f>
        <v/>
      </c>
    </row>
    <row r="806" spans="3:19" x14ac:dyDescent="0.2">
      <c r="C806" s="26">
        <f>_xlfn.XLOOKUP(B806,Lists!B:B,Lists!A:A,"")</f>
        <v>0</v>
      </c>
      <c r="G806" s="26" t="str">
        <f t="shared" si="56"/>
        <v/>
      </c>
      <c r="H806" s="31" t="str">
        <f t="shared" si="57"/>
        <v/>
      </c>
      <c r="J806" s="27" t="str">
        <f>IF(I806="","",_xlfn.XLOOKUP(I806,Lists!$C:$C,Lists!$D:$D))</f>
        <v/>
      </c>
      <c r="N806" s="26" t="str">
        <f t="shared" si="58"/>
        <v/>
      </c>
      <c r="O806" s="27" t="str">
        <f>IF(I806="","",_xlfn.XLOOKUP(I806,Lists!$C:$C,Lists!$J:$J))</f>
        <v/>
      </c>
      <c r="P806" s="27" t="str">
        <f>IF(I806="","",_xlfn.XLOOKUP(I806,Lists!$C:$C,Lists!$E:$E))</f>
        <v/>
      </c>
      <c r="Q806" s="28" t="str">
        <f t="shared" si="59"/>
        <v/>
      </c>
      <c r="R806" s="26" t="str">
        <f t="shared" ca="1" si="60"/>
        <v/>
      </c>
      <c r="S806" s="27" t="str">
        <f>IF(I806="","",_xlfn.XLOOKUP(I806,Lists!$C:$C,Lists!$I:$I))</f>
        <v/>
      </c>
    </row>
    <row r="807" spans="3:19" x14ac:dyDescent="0.2">
      <c r="C807" s="26">
        <f>_xlfn.XLOOKUP(B807,Lists!B:B,Lists!A:A,"")</f>
        <v>0</v>
      </c>
      <c r="G807" s="26" t="str">
        <f t="shared" si="56"/>
        <v/>
      </c>
      <c r="H807" s="31" t="str">
        <f t="shared" si="57"/>
        <v/>
      </c>
      <c r="J807" s="27" t="str">
        <f>IF(I807="","",_xlfn.XLOOKUP(I807,Lists!$C:$C,Lists!$D:$D))</f>
        <v/>
      </c>
      <c r="N807" s="26" t="str">
        <f t="shared" si="58"/>
        <v/>
      </c>
      <c r="O807" s="27" t="str">
        <f>IF(I807="","",_xlfn.XLOOKUP(I807,Lists!$C:$C,Lists!$J:$J))</f>
        <v/>
      </c>
      <c r="P807" s="27" t="str">
        <f>IF(I807="","",_xlfn.XLOOKUP(I807,Lists!$C:$C,Lists!$E:$E))</f>
        <v/>
      </c>
      <c r="Q807" s="28" t="str">
        <f t="shared" si="59"/>
        <v/>
      </c>
      <c r="R807" s="26" t="str">
        <f t="shared" ca="1" si="60"/>
        <v/>
      </c>
      <c r="S807" s="27" t="str">
        <f>IF(I807="","",_xlfn.XLOOKUP(I807,Lists!$C:$C,Lists!$I:$I))</f>
        <v/>
      </c>
    </row>
    <row r="808" spans="3:19" x14ac:dyDescent="0.2">
      <c r="C808" s="26">
        <f>_xlfn.XLOOKUP(B808,Lists!B:B,Lists!A:A,"")</f>
        <v>0</v>
      </c>
      <c r="G808" s="26" t="str">
        <f t="shared" si="56"/>
        <v/>
      </c>
      <c r="H808" s="31" t="str">
        <f t="shared" si="57"/>
        <v/>
      </c>
      <c r="J808" s="27" t="str">
        <f>IF(I808="","",_xlfn.XLOOKUP(I808,Lists!$C:$C,Lists!$D:$D))</f>
        <v/>
      </c>
      <c r="N808" s="26" t="str">
        <f t="shared" si="58"/>
        <v/>
      </c>
      <c r="O808" s="27" t="str">
        <f>IF(I808="","",_xlfn.XLOOKUP(I808,Lists!$C:$C,Lists!$J:$J))</f>
        <v/>
      </c>
      <c r="P808" s="27" t="str">
        <f>IF(I808="","",_xlfn.XLOOKUP(I808,Lists!$C:$C,Lists!$E:$E))</f>
        <v/>
      </c>
      <c r="Q808" s="28" t="str">
        <f t="shared" si="59"/>
        <v/>
      </c>
      <c r="R808" s="26" t="str">
        <f t="shared" ca="1" si="60"/>
        <v/>
      </c>
      <c r="S808" s="27" t="str">
        <f>IF(I808="","",_xlfn.XLOOKUP(I808,Lists!$C:$C,Lists!$I:$I))</f>
        <v/>
      </c>
    </row>
    <row r="809" spans="3:19" x14ac:dyDescent="0.2">
      <c r="C809" s="26">
        <f>_xlfn.XLOOKUP(B809,Lists!B:B,Lists!A:A,"")</f>
        <v>0</v>
      </c>
      <c r="G809" s="26" t="str">
        <f t="shared" si="56"/>
        <v/>
      </c>
      <c r="H809" s="31" t="str">
        <f t="shared" si="57"/>
        <v/>
      </c>
      <c r="J809" s="27" t="str">
        <f>IF(I809="","",_xlfn.XLOOKUP(I809,Lists!$C:$C,Lists!$D:$D))</f>
        <v/>
      </c>
      <c r="N809" s="26" t="str">
        <f t="shared" si="58"/>
        <v/>
      </c>
      <c r="O809" s="27" t="str">
        <f>IF(I809="","",_xlfn.XLOOKUP(I809,Lists!$C:$C,Lists!$J:$J))</f>
        <v/>
      </c>
      <c r="P809" s="27" t="str">
        <f>IF(I809="","",_xlfn.XLOOKUP(I809,Lists!$C:$C,Lists!$E:$E))</f>
        <v/>
      </c>
      <c r="Q809" s="28" t="str">
        <f t="shared" si="59"/>
        <v/>
      </c>
      <c r="R809" s="26" t="str">
        <f t="shared" ca="1" si="60"/>
        <v/>
      </c>
      <c r="S809" s="27" t="str">
        <f>IF(I809="","",_xlfn.XLOOKUP(I809,Lists!$C:$C,Lists!$I:$I))</f>
        <v/>
      </c>
    </row>
    <row r="810" spans="3:19" x14ac:dyDescent="0.2">
      <c r="C810" s="26">
        <f>_xlfn.XLOOKUP(B810,Lists!B:B,Lists!A:A,"")</f>
        <v>0</v>
      </c>
      <c r="G810" s="26" t="str">
        <f t="shared" si="56"/>
        <v/>
      </c>
      <c r="H810" s="31" t="str">
        <f t="shared" si="57"/>
        <v/>
      </c>
      <c r="J810" s="27" t="str">
        <f>IF(I810="","",_xlfn.XLOOKUP(I810,Lists!$C:$C,Lists!$D:$D))</f>
        <v/>
      </c>
      <c r="N810" s="26" t="str">
        <f t="shared" si="58"/>
        <v/>
      </c>
      <c r="O810" s="27" t="str">
        <f>IF(I810="","",_xlfn.XLOOKUP(I810,Lists!$C:$C,Lists!$J:$J))</f>
        <v/>
      </c>
      <c r="P810" s="27" t="str">
        <f>IF(I810="","",_xlfn.XLOOKUP(I810,Lists!$C:$C,Lists!$E:$E))</f>
        <v/>
      </c>
      <c r="Q810" s="28" t="str">
        <f t="shared" si="59"/>
        <v/>
      </c>
      <c r="R810" s="26" t="str">
        <f t="shared" ca="1" si="60"/>
        <v/>
      </c>
      <c r="S810" s="27" t="str">
        <f>IF(I810="","",_xlfn.XLOOKUP(I810,Lists!$C:$C,Lists!$I:$I))</f>
        <v/>
      </c>
    </row>
    <row r="811" spans="3:19" x14ac:dyDescent="0.2">
      <c r="C811" s="26">
        <f>_xlfn.XLOOKUP(B811,Lists!B:B,Lists!A:A,"")</f>
        <v>0</v>
      </c>
      <c r="G811" s="26" t="str">
        <f t="shared" si="56"/>
        <v/>
      </c>
      <c r="H811" s="31" t="str">
        <f t="shared" si="57"/>
        <v/>
      </c>
      <c r="J811" s="27" t="str">
        <f>IF(I811="","",_xlfn.XLOOKUP(I811,Lists!$C:$C,Lists!$D:$D))</f>
        <v/>
      </c>
      <c r="N811" s="26" t="str">
        <f t="shared" si="58"/>
        <v/>
      </c>
      <c r="O811" s="27" t="str">
        <f>IF(I811="","",_xlfn.XLOOKUP(I811,Lists!$C:$C,Lists!$J:$J))</f>
        <v/>
      </c>
      <c r="P811" s="27" t="str">
        <f>IF(I811="","",_xlfn.XLOOKUP(I811,Lists!$C:$C,Lists!$E:$E))</f>
        <v/>
      </c>
      <c r="Q811" s="28" t="str">
        <f t="shared" si="59"/>
        <v/>
      </c>
      <c r="R811" s="26" t="str">
        <f t="shared" ca="1" si="60"/>
        <v/>
      </c>
      <c r="S811" s="27" t="str">
        <f>IF(I811="","",_xlfn.XLOOKUP(I811,Lists!$C:$C,Lists!$I:$I))</f>
        <v/>
      </c>
    </row>
    <row r="812" spans="3:19" x14ac:dyDescent="0.2">
      <c r="C812" s="26">
        <f>_xlfn.XLOOKUP(B812,Lists!B:B,Lists!A:A,"")</f>
        <v>0</v>
      </c>
      <c r="G812" s="26" t="str">
        <f t="shared" si="56"/>
        <v/>
      </c>
      <c r="H812" s="31" t="str">
        <f t="shared" si="57"/>
        <v/>
      </c>
      <c r="J812" s="27" t="str">
        <f>IF(I812="","",_xlfn.XLOOKUP(I812,Lists!$C:$C,Lists!$D:$D))</f>
        <v/>
      </c>
      <c r="N812" s="26" t="str">
        <f t="shared" si="58"/>
        <v/>
      </c>
      <c r="O812" s="27" t="str">
        <f>IF(I812="","",_xlfn.XLOOKUP(I812,Lists!$C:$C,Lists!$J:$J))</f>
        <v/>
      </c>
      <c r="P812" s="27" t="str">
        <f>IF(I812="","",_xlfn.XLOOKUP(I812,Lists!$C:$C,Lists!$E:$E))</f>
        <v/>
      </c>
      <c r="Q812" s="28" t="str">
        <f t="shared" si="59"/>
        <v/>
      </c>
      <c r="R812" s="26" t="str">
        <f t="shared" ca="1" si="60"/>
        <v/>
      </c>
      <c r="S812" s="27" t="str">
        <f>IF(I812="","",_xlfn.XLOOKUP(I812,Lists!$C:$C,Lists!$I:$I))</f>
        <v/>
      </c>
    </row>
    <row r="813" spans="3:19" x14ac:dyDescent="0.2">
      <c r="C813" s="26">
        <f>_xlfn.XLOOKUP(B813,Lists!B:B,Lists!A:A,"")</f>
        <v>0</v>
      </c>
      <c r="G813" s="26" t="str">
        <f t="shared" si="56"/>
        <v/>
      </c>
      <c r="H813" s="31" t="str">
        <f t="shared" si="57"/>
        <v/>
      </c>
      <c r="J813" s="27" t="str">
        <f>IF(I813="","",_xlfn.XLOOKUP(I813,Lists!$C:$C,Lists!$D:$D))</f>
        <v/>
      </c>
      <c r="N813" s="26" t="str">
        <f t="shared" si="58"/>
        <v/>
      </c>
      <c r="O813" s="27" t="str">
        <f>IF(I813="","",_xlfn.XLOOKUP(I813,Lists!$C:$C,Lists!$J:$J))</f>
        <v/>
      </c>
      <c r="P813" s="27" t="str">
        <f>IF(I813="","",_xlfn.XLOOKUP(I813,Lists!$C:$C,Lists!$E:$E))</f>
        <v/>
      </c>
      <c r="Q813" s="28" t="str">
        <f t="shared" si="59"/>
        <v/>
      </c>
      <c r="R813" s="26" t="str">
        <f t="shared" ca="1" si="60"/>
        <v/>
      </c>
      <c r="S813" s="27" t="str">
        <f>IF(I813="","",_xlfn.XLOOKUP(I813,Lists!$C:$C,Lists!$I:$I))</f>
        <v/>
      </c>
    </row>
    <row r="814" spans="3:19" x14ac:dyDescent="0.2">
      <c r="C814" s="26">
        <f>_xlfn.XLOOKUP(B814,Lists!B:B,Lists!A:A,"")</f>
        <v>0</v>
      </c>
      <c r="G814" s="26" t="str">
        <f t="shared" si="56"/>
        <v/>
      </c>
      <c r="H814" s="31" t="str">
        <f t="shared" si="57"/>
        <v/>
      </c>
      <c r="J814" s="27" t="str">
        <f>IF(I814="","",_xlfn.XLOOKUP(I814,Lists!$C:$C,Lists!$D:$D))</f>
        <v/>
      </c>
      <c r="N814" s="26" t="str">
        <f t="shared" si="58"/>
        <v/>
      </c>
      <c r="O814" s="27" t="str">
        <f>IF(I814="","",_xlfn.XLOOKUP(I814,Lists!$C:$C,Lists!$J:$J))</f>
        <v/>
      </c>
      <c r="P814" s="27" t="str">
        <f>IF(I814="","",_xlfn.XLOOKUP(I814,Lists!$C:$C,Lists!$E:$E))</f>
        <v/>
      </c>
      <c r="Q814" s="28" t="str">
        <f t="shared" si="59"/>
        <v/>
      </c>
      <c r="R814" s="26" t="str">
        <f t="shared" ca="1" si="60"/>
        <v/>
      </c>
      <c r="S814" s="27" t="str">
        <f>IF(I814="","",_xlfn.XLOOKUP(I814,Lists!$C:$C,Lists!$I:$I))</f>
        <v/>
      </c>
    </row>
    <row r="815" spans="3:19" x14ac:dyDescent="0.2">
      <c r="C815" s="26">
        <f>_xlfn.XLOOKUP(B815,Lists!B:B,Lists!A:A,"")</f>
        <v>0</v>
      </c>
      <c r="G815" s="26" t="str">
        <f t="shared" si="56"/>
        <v/>
      </c>
      <c r="H815" s="31" t="str">
        <f t="shared" si="57"/>
        <v/>
      </c>
      <c r="J815" s="27" t="str">
        <f>IF(I815="","",_xlfn.XLOOKUP(I815,Lists!$C:$C,Lists!$D:$D))</f>
        <v/>
      </c>
      <c r="N815" s="26" t="str">
        <f t="shared" si="58"/>
        <v/>
      </c>
      <c r="O815" s="27" t="str">
        <f>IF(I815="","",_xlfn.XLOOKUP(I815,Lists!$C:$C,Lists!$J:$J))</f>
        <v/>
      </c>
      <c r="P815" s="27" t="str">
        <f>IF(I815="","",_xlfn.XLOOKUP(I815,Lists!$C:$C,Lists!$E:$E))</f>
        <v/>
      </c>
      <c r="Q815" s="28" t="str">
        <f t="shared" si="59"/>
        <v/>
      </c>
      <c r="R815" s="26" t="str">
        <f t="shared" ca="1" si="60"/>
        <v/>
      </c>
      <c r="S815" s="27" t="str">
        <f>IF(I815="","",_xlfn.XLOOKUP(I815,Lists!$C:$C,Lists!$I:$I))</f>
        <v/>
      </c>
    </row>
    <row r="816" spans="3:19" x14ac:dyDescent="0.2">
      <c r="C816" s="26">
        <f>_xlfn.XLOOKUP(B816,Lists!B:B,Lists!A:A,"")</f>
        <v>0</v>
      </c>
      <c r="G816" s="26" t="str">
        <f t="shared" si="56"/>
        <v/>
      </c>
      <c r="H816" s="31" t="str">
        <f t="shared" si="57"/>
        <v/>
      </c>
      <c r="J816" s="27" t="str">
        <f>IF(I816="","",_xlfn.XLOOKUP(I816,Lists!$C:$C,Lists!$D:$D))</f>
        <v/>
      </c>
      <c r="N816" s="26" t="str">
        <f t="shared" si="58"/>
        <v/>
      </c>
      <c r="O816" s="27" t="str">
        <f>IF(I816="","",_xlfn.XLOOKUP(I816,Lists!$C:$C,Lists!$J:$J))</f>
        <v/>
      </c>
      <c r="P816" s="27" t="str">
        <f>IF(I816="","",_xlfn.XLOOKUP(I816,Lists!$C:$C,Lists!$E:$E))</f>
        <v/>
      </c>
      <c r="Q816" s="28" t="str">
        <f t="shared" si="59"/>
        <v/>
      </c>
      <c r="R816" s="26" t="str">
        <f t="shared" ca="1" si="60"/>
        <v/>
      </c>
      <c r="S816" s="27" t="str">
        <f>IF(I816="","",_xlfn.XLOOKUP(I816,Lists!$C:$C,Lists!$I:$I))</f>
        <v/>
      </c>
    </row>
    <row r="817" spans="3:19" x14ac:dyDescent="0.2">
      <c r="C817" s="26">
        <f>_xlfn.XLOOKUP(B817,Lists!B:B,Lists!A:A,"")</f>
        <v>0</v>
      </c>
      <c r="G817" s="26" t="str">
        <f t="shared" si="56"/>
        <v/>
      </c>
      <c r="H817" s="31" t="str">
        <f t="shared" si="57"/>
        <v/>
      </c>
      <c r="J817" s="27" t="str">
        <f>IF(I817="","",_xlfn.XLOOKUP(I817,Lists!$C:$C,Lists!$D:$D))</f>
        <v/>
      </c>
      <c r="N817" s="26" t="str">
        <f t="shared" si="58"/>
        <v/>
      </c>
      <c r="O817" s="27" t="str">
        <f>IF(I817="","",_xlfn.XLOOKUP(I817,Lists!$C:$C,Lists!$J:$J))</f>
        <v/>
      </c>
      <c r="P817" s="27" t="str">
        <f>IF(I817="","",_xlfn.XLOOKUP(I817,Lists!$C:$C,Lists!$E:$E))</f>
        <v/>
      </c>
      <c r="Q817" s="28" t="str">
        <f t="shared" si="59"/>
        <v/>
      </c>
      <c r="R817" s="26" t="str">
        <f t="shared" ca="1" si="60"/>
        <v/>
      </c>
      <c r="S817" s="27" t="str">
        <f>IF(I817="","",_xlfn.XLOOKUP(I817,Lists!$C:$C,Lists!$I:$I))</f>
        <v/>
      </c>
    </row>
    <row r="818" spans="3:19" x14ac:dyDescent="0.2">
      <c r="C818" s="26">
        <f>_xlfn.XLOOKUP(B818,Lists!B:B,Lists!A:A,"")</f>
        <v>0</v>
      </c>
      <c r="G818" s="26" t="str">
        <f t="shared" si="56"/>
        <v/>
      </c>
      <c r="H818" s="31" t="str">
        <f t="shared" si="57"/>
        <v/>
      </c>
      <c r="J818" s="27" t="str">
        <f>IF(I818="","",_xlfn.XLOOKUP(I818,Lists!$C:$C,Lists!$D:$D))</f>
        <v/>
      </c>
      <c r="N818" s="26" t="str">
        <f t="shared" si="58"/>
        <v/>
      </c>
      <c r="O818" s="27" t="str">
        <f>IF(I818="","",_xlfn.XLOOKUP(I818,Lists!$C:$C,Lists!$J:$J))</f>
        <v/>
      </c>
      <c r="P818" s="27" t="str">
        <f>IF(I818="","",_xlfn.XLOOKUP(I818,Lists!$C:$C,Lists!$E:$E))</f>
        <v/>
      </c>
      <c r="Q818" s="28" t="str">
        <f t="shared" si="59"/>
        <v/>
      </c>
      <c r="R818" s="26" t="str">
        <f t="shared" ca="1" si="60"/>
        <v/>
      </c>
      <c r="S818" s="27" t="str">
        <f>IF(I818="","",_xlfn.XLOOKUP(I818,Lists!$C:$C,Lists!$I:$I))</f>
        <v/>
      </c>
    </row>
    <row r="819" spans="3:19" x14ac:dyDescent="0.2">
      <c r="C819" s="26">
        <f>_xlfn.XLOOKUP(B819,Lists!B:B,Lists!A:A,"")</f>
        <v>0</v>
      </c>
      <c r="G819" s="26" t="str">
        <f t="shared" si="56"/>
        <v/>
      </c>
      <c r="H819" s="31" t="str">
        <f t="shared" si="57"/>
        <v/>
      </c>
      <c r="J819" s="27" t="str">
        <f>IF(I819="","",_xlfn.XLOOKUP(I819,Lists!$C:$C,Lists!$D:$D))</f>
        <v/>
      </c>
      <c r="N819" s="26" t="str">
        <f t="shared" si="58"/>
        <v/>
      </c>
      <c r="O819" s="27" t="str">
        <f>IF(I819="","",_xlfn.XLOOKUP(I819,Lists!$C:$C,Lists!$J:$J))</f>
        <v/>
      </c>
      <c r="P819" s="27" t="str">
        <f>IF(I819="","",_xlfn.XLOOKUP(I819,Lists!$C:$C,Lists!$E:$E))</f>
        <v/>
      </c>
      <c r="Q819" s="28" t="str">
        <f t="shared" si="59"/>
        <v/>
      </c>
      <c r="R819" s="26" t="str">
        <f t="shared" ca="1" si="60"/>
        <v/>
      </c>
      <c r="S819" s="27" t="str">
        <f>IF(I819="","",_xlfn.XLOOKUP(I819,Lists!$C:$C,Lists!$I:$I))</f>
        <v/>
      </c>
    </row>
    <row r="820" spans="3:19" x14ac:dyDescent="0.2">
      <c r="C820" s="26">
        <f>_xlfn.XLOOKUP(B820,Lists!B:B,Lists!A:A,"")</f>
        <v>0</v>
      </c>
      <c r="G820" s="26" t="str">
        <f t="shared" si="56"/>
        <v/>
      </c>
      <c r="H820" s="31" t="str">
        <f t="shared" si="57"/>
        <v/>
      </c>
      <c r="J820" s="27" t="str">
        <f>IF(I820="","",_xlfn.XLOOKUP(I820,Lists!$C:$C,Lists!$D:$D))</f>
        <v/>
      </c>
      <c r="N820" s="26" t="str">
        <f t="shared" si="58"/>
        <v/>
      </c>
      <c r="O820" s="27" t="str">
        <f>IF(I820="","",_xlfn.XLOOKUP(I820,Lists!$C:$C,Lists!$J:$J))</f>
        <v/>
      </c>
      <c r="P820" s="27" t="str">
        <f>IF(I820="","",_xlfn.XLOOKUP(I820,Lists!$C:$C,Lists!$E:$E))</f>
        <v/>
      </c>
      <c r="Q820" s="28" t="str">
        <f t="shared" si="59"/>
        <v/>
      </c>
      <c r="R820" s="26" t="str">
        <f t="shared" ca="1" si="60"/>
        <v/>
      </c>
      <c r="S820" s="27" t="str">
        <f>IF(I820="","",_xlfn.XLOOKUP(I820,Lists!$C:$C,Lists!$I:$I))</f>
        <v/>
      </c>
    </row>
    <row r="821" spans="3:19" x14ac:dyDescent="0.2">
      <c r="C821" s="26">
        <f>_xlfn.XLOOKUP(B821,Lists!B:B,Lists!A:A,"")</f>
        <v>0</v>
      </c>
      <c r="G821" s="26" t="str">
        <f t="shared" si="56"/>
        <v/>
      </c>
      <c r="H821" s="31" t="str">
        <f t="shared" si="57"/>
        <v/>
      </c>
      <c r="J821" s="27" t="str">
        <f>IF(I821="","",_xlfn.XLOOKUP(I821,Lists!$C:$C,Lists!$D:$D))</f>
        <v/>
      </c>
      <c r="N821" s="26" t="str">
        <f t="shared" si="58"/>
        <v/>
      </c>
      <c r="O821" s="27" t="str">
        <f>IF(I821="","",_xlfn.XLOOKUP(I821,Lists!$C:$C,Lists!$J:$J))</f>
        <v/>
      </c>
      <c r="P821" s="27" t="str">
        <f>IF(I821="","",_xlfn.XLOOKUP(I821,Lists!$C:$C,Lists!$E:$E))</f>
        <v/>
      </c>
      <c r="Q821" s="28" t="str">
        <f t="shared" si="59"/>
        <v/>
      </c>
      <c r="R821" s="26" t="str">
        <f t="shared" ca="1" si="60"/>
        <v/>
      </c>
      <c r="S821" s="27" t="str">
        <f>IF(I821="","",_xlfn.XLOOKUP(I821,Lists!$C:$C,Lists!$I:$I))</f>
        <v/>
      </c>
    </row>
    <row r="822" spans="3:19" x14ac:dyDescent="0.2">
      <c r="C822" s="26">
        <f>_xlfn.XLOOKUP(B822,Lists!B:B,Lists!A:A,"")</f>
        <v>0</v>
      </c>
      <c r="G822" s="26" t="str">
        <f t="shared" si="56"/>
        <v/>
      </c>
      <c r="H822" s="31" t="str">
        <f t="shared" si="57"/>
        <v/>
      </c>
      <c r="J822" s="27" t="str">
        <f>IF(I822="","",_xlfn.XLOOKUP(I822,Lists!$C:$C,Lists!$D:$D))</f>
        <v/>
      </c>
      <c r="N822" s="26" t="str">
        <f t="shared" si="58"/>
        <v/>
      </c>
      <c r="O822" s="27" t="str">
        <f>IF(I822="","",_xlfn.XLOOKUP(I822,Lists!$C:$C,Lists!$J:$J))</f>
        <v/>
      </c>
      <c r="P822" s="27" t="str">
        <f>IF(I822="","",_xlfn.XLOOKUP(I822,Lists!$C:$C,Lists!$E:$E))</f>
        <v/>
      </c>
      <c r="Q822" s="28" t="str">
        <f t="shared" si="59"/>
        <v/>
      </c>
      <c r="R822" s="26" t="str">
        <f t="shared" ca="1" si="60"/>
        <v/>
      </c>
      <c r="S822" s="27" t="str">
        <f>IF(I822="","",_xlfn.XLOOKUP(I822,Lists!$C:$C,Lists!$I:$I))</f>
        <v/>
      </c>
    </row>
    <row r="823" spans="3:19" x14ac:dyDescent="0.2">
      <c r="C823" s="26">
        <f>_xlfn.XLOOKUP(B823,Lists!B:B,Lists!A:A,"")</f>
        <v>0</v>
      </c>
      <c r="G823" s="26" t="str">
        <f t="shared" si="56"/>
        <v/>
      </c>
      <c r="H823" s="31" t="str">
        <f t="shared" si="57"/>
        <v/>
      </c>
      <c r="J823" s="27" t="str">
        <f>IF(I823="","",_xlfn.XLOOKUP(I823,Lists!$C:$C,Lists!$D:$D))</f>
        <v/>
      </c>
      <c r="N823" s="26" t="str">
        <f t="shared" si="58"/>
        <v/>
      </c>
      <c r="O823" s="27" t="str">
        <f>IF(I823="","",_xlfn.XLOOKUP(I823,Lists!$C:$C,Lists!$J:$J))</f>
        <v/>
      </c>
      <c r="P823" s="27" t="str">
        <f>IF(I823="","",_xlfn.XLOOKUP(I823,Lists!$C:$C,Lists!$E:$E))</f>
        <v/>
      </c>
      <c r="Q823" s="28" t="str">
        <f t="shared" si="59"/>
        <v/>
      </c>
      <c r="R823" s="26" t="str">
        <f t="shared" ca="1" si="60"/>
        <v/>
      </c>
      <c r="S823" s="27" t="str">
        <f>IF(I823="","",_xlfn.XLOOKUP(I823,Lists!$C:$C,Lists!$I:$I))</f>
        <v/>
      </c>
    </row>
    <row r="824" spans="3:19" x14ac:dyDescent="0.2">
      <c r="C824" s="26">
        <f>_xlfn.XLOOKUP(B824,Lists!B:B,Lists!A:A,"")</f>
        <v>0</v>
      </c>
      <c r="G824" s="26" t="str">
        <f t="shared" si="56"/>
        <v/>
      </c>
      <c r="H824" s="31" t="str">
        <f t="shared" si="57"/>
        <v/>
      </c>
      <c r="J824" s="27" t="str">
        <f>IF(I824="","",_xlfn.XLOOKUP(I824,Lists!$C:$C,Lists!$D:$D))</f>
        <v/>
      </c>
      <c r="N824" s="26" t="str">
        <f t="shared" si="58"/>
        <v/>
      </c>
      <c r="O824" s="27" t="str">
        <f>IF(I824="","",_xlfn.XLOOKUP(I824,Lists!$C:$C,Lists!$J:$J))</f>
        <v/>
      </c>
      <c r="P824" s="27" t="str">
        <f>IF(I824="","",_xlfn.XLOOKUP(I824,Lists!$C:$C,Lists!$E:$E))</f>
        <v/>
      </c>
      <c r="Q824" s="28" t="str">
        <f t="shared" si="59"/>
        <v/>
      </c>
      <c r="R824" s="26" t="str">
        <f t="shared" ca="1" si="60"/>
        <v/>
      </c>
      <c r="S824" s="27" t="str">
        <f>IF(I824="","",_xlfn.XLOOKUP(I824,Lists!$C:$C,Lists!$I:$I))</f>
        <v/>
      </c>
    </row>
    <row r="825" spans="3:19" x14ac:dyDescent="0.2">
      <c r="C825" s="26">
        <f>_xlfn.XLOOKUP(B825,Lists!B:B,Lists!A:A,"")</f>
        <v>0</v>
      </c>
      <c r="G825" s="26" t="str">
        <f t="shared" si="56"/>
        <v/>
      </c>
      <c r="H825" s="31" t="str">
        <f t="shared" si="57"/>
        <v/>
      </c>
      <c r="J825" s="27" t="str">
        <f>IF(I825="","",_xlfn.XLOOKUP(I825,Lists!$C:$C,Lists!$D:$D))</f>
        <v/>
      </c>
      <c r="N825" s="26" t="str">
        <f t="shared" si="58"/>
        <v/>
      </c>
      <c r="O825" s="27" t="str">
        <f>IF(I825="","",_xlfn.XLOOKUP(I825,Lists!$C:$C,Lists!$J:$J))</f>
        <v/>
      </c>
      <c r="P825" s="27" t="str">
        <f>IF(I825="","",_xlfn.XLOOKUP(I825,Lists!$C:$C,Lists!$E:$E))</f>
        <v/>
      </c>
      <c r="Q825" s="28" t="str">
        <f t="shared" si="59"/>
        <v/>
      </c>
      <c r="R825" s="26" t="str">
        <f t="shared" ca="1" si="60"/>
        <v/>
      </c>
      <c r="S825" s="27" t="str">
        <f>IF(I825="","",_xlfn.XLOOKUP(I825,Lists!$C:$C,Lists!$I:$I))</f>
        <v/>
      </c>
    </row>
    <row r="826" spans="3:19" x14ac:dyDescent="0.2">
      <c r="C826" s="26">
        <f>_xlfn.XLOOKUP(B826,Lists!B:B,Lists!A:A,"")</f>
        <v>0</v>
      </c>
      <c r="G826" s="26" t="str">
        <f t="shared" si="56"/>
        <v/>
      </c>
      <c r="H826" s="31" t="str">
        <f t="shared" si="57"/>
        <v/>
      </c>
      <c r="J826" s="27" t="str">
        <f>IF(I826="","",_xlfn.XLOOKUP(I826,Lists!$C:$C,Lists!$D:$D))</f>
        <v/>
      </c>
      <c r="N826" s="26" t="str">
        <f t="shared" si="58"/>
        <v/>
      </c>
      <c r="O826" s="27" t="str">
        <f>IF(I826="","",_xlfn.XLOOKUP(I826,Lists!$C:$C,Lists!$J:$J))</f>
        <v/>
      </c>
      <c r="P826" s="27" t="str">
        <f>IF(I826="","",_xlfn.XLOOKUP(I826,Lists!$C:$C,Lists!$E:$E))</f>
        <v/>
      </c>
      <c r="Q826" s="28" t="str">
        <f t="shared" si="59"/>
        <v/>
      </c>
      <c r="R826" s="26" t="str">
        <f t="shared" ca="1" si="60"/>
        <v/>
      </c>
      <c r="S826" s="27" t="str">
        <f>IF(I826="","",_xlfn.XLOOKUP(I826,Lists!$C:$C,Lists!$I:$I))</f>
        <v/>
      </c>
    </row>
    <row r="827" spans="3:19" x14ac:dyDescent="0.2">
      <c r="C827" s="26">
        <f>_xlfn.XLOOKUP(B827,Lists!B:B,Lists!A:A,"")</f>
        <v>0</v>
      </c>
      <c r="G827" s="26" t="str">
        <f t="shared" si="56"/>
        <v/>
      </c>
      <c r="H827" s="31" t="str">
        <f t="shared" si="57"/>
        <v/>
      </c>
      <c r="J827" s="27" t="str">
        <f>IF(I827="","",_xlfn.XLOOKUP(I827,Lists!$C:$C,Lists!$D:$D))</f>
        <v/>
      </c>
      <c r="N827" s="26" t="str">
        <f t="shared" si="58"/>
        <v/>
      </c>
      <c r="O827" s="27" t="str">
        <f>IF(I827="","",_xlfn.XLOOKUP(I827,Lists!$C:$C,Lists!$J:$J))</f>
        <v/>
      </c>
      <c r="P827" s="27" t="str">
        <f>IF(I827="","",_xlfn.XLOOKUP(I827,Lists!$C:$C,Lists!$E:$E))</f>
        <v/>
      </c>
      <c r="Q827" s="28" t="str">
        <f t="shared" si="59"/>
        <v/>
      </c>
      <c r="R827" s="26" t="str">
        <f t="shared" ca="1" si="60"/>
        <v/>
      </c>
      <c r="S827" s="27" t="str">
        <f>IF(I827="","",_xlfn.XLOOKUP(I827,Lists!$C:$C,Lists!$I:$I))</f>
        <v/>
      </c>
    </row>
    <row r="828" spans="3:19" x14ac:dyDescent="0.2">
      <c r="C828" s="26">
        <f>_xlfn.XLOOKUP(B828,Lists!B:B,Lists!A:A,"")</f>
        <v>0</v>
      </c>
      <c r="G828" s="26" t="str">
        <f t="shared" si="56"/>
        <v/>
      </c>
      <c r="H828" s="31" t="str">
        <f t="shared" si="57"/>
        <v/>
      </c>
      <c r="J828" s="27" t="str">
        <f>IF(I828="","",_xlfn.XLOOKUP(I828,Lists!$C:$C,Lists!$D:$D))</f>
        <v/>
      </c>
      <c r="N828" s="26" t="str">
        <f t="shared" si="58"/>
        <v/>
      </c>
      <c r="O828" s="27" t="str">
        <f>IF(I828="","",_xlfn.XLOOKUP(I828,Lists!$C:$C,Lists!$J:$J))</f>
        <v/>
      </c>
      <c r="P828" s="27" t="str">
        <f>IF(I828="","",_xlfn.XLOOKUP(I828,Lists!$C:$C,Lists!$E:$E))</f>
        <v/>
      </c>
      <c r="Q828" s="28" t="str">
        <f t="shared" si="59"/>
        <v/>
      </c>
      <c r="R828" s="26" t="str">
        <f t="shared" ca="1" si="60"/>
        <v/>
      </c>
      <c r="S828" s="27" t="str">
        <f>IF(I828="","",_xlfn.XLOOKUP(I828,Lists!$C:$C,Lists!$I:$I))</f>
        <v/>
      </c>
    </row>
    <row r="829" spans="3:19" x14ac:dyDescent="0.2">
      <c r="C829" s="26">
        <f>_xlfn.XLOOKUP(B829,Lists!B:B,Lists!A:A,"")</f>
        <v>0</v>
      </c>
      <c r="G829" s="26" t="str">
        <f t="shared" si="56"/>
        <v/>
      </c>
      <c r="H829" s="31" t="str">
        <f t="shared" si="57"/>
        <v/>
      </c>
      <c r="J829" s="27" t="str">
        <f>IF(I829="","",_xlfn.XLOOKUP(I829,Lists!$C:$C,Lists!$D:$D))</f>
        <v/>
      </c>
      <c r="N829" s="26" t="str">
        <f t="shared" si="58"/>
        <v/>
      </c>
      <c r="O829" s="27" t="str">
        <f>IF(I829="","",_xlfn.XLOOKUP(I829,Lists!$C:$C,Lists!$J:$J))</f>
        <v/>
      </c>
      <c r="P829" s="27" t="str">
        <f>IF(I829="","",_xlfn.XLOOKUP(I829,Lists!$C:$C,Lists!$E:$E))</f>
        <v/>
      </c>
      <c r="Q829" s="28" t="str">
        <f t="shared" si="59"/>
        <v/>
      </c>
      <c r="R829" s="26" t="str">
        <f t="shared" ca="1" si="60"/>
        <v/>
      </c>
      <c r="S829" s="27" t="str">
        <f>IF(I829="","",_xlfn.XLOOKUP(I829,Lists!$C:$C,Lists!$I:$I))</f>
        <v/>
      </c>
    </row>
    <row r="830" spans="3:19" x14ac:dyDescent="0.2">
      <c r="C830" s="26">
        <f>_xlfn.XLOOKUP(B830,Lists!B:B,Lists!A:A,"")</f>
        <v>0</v>
      </c>
      <c r="G830" s="26" t="str">
        <f t="shared" si="56"/>
        <v/>
      </c>
      <c r="H830" s="31" t="str">
        <f t="shared" si="57"/>
        <v/>
      </c>
      <c r="J830" s="27" t="str">
        <f>IF(I830="","",_xlfn.XLOOKUP(I830,Lists!$C:$C,Lists!$D:$D))</f>
        <v/>
      </c>
      <c r="N830" s="26" t="str">
        <f t="shared" si="58"/>
        <v/>
      </c>
      <c r="O830" s="27" t="str">
        <f>IF(I830="","",_xlfn.XLOOKUP(I830,Lists!$C:$C,Lists!$J:$J))</f>
        <v/>
      </c>
      <c r="P830" s="27" t="str">
        <f>IF(I830="","",_xlfn.XLOOKUP(I830,Lists!$C:$C,Lists!$E:$E))</f>
        <v/>
      </c>
      <c r="Q830" s="28" t="str">
        <f t="shared" si="59"/>
        <v/>
      </c>
      <c r="R830" s="26" t="str">
        <f t="shared" ca="1" si="60"/>
        <v/>
      </c>
      <c r="S830" s="27" t="str">
        <f>IF(I830="","",_xlfn.XLOOKUP(I830,Lists!$C:$C,Lists!$I:$I))</f>
        <v/>
      </c>
    </row>
    <row r="831" spans="3:19" x14ac:dyDescent="0.2">
      <c r="C831" s="26">
        <f>_xlfn.XLOOKUP(B831,Lists!B:B,Lists!A:A,"")</f>
        <v>0</v>
      </c>
      <c r="G831" s="26" t="str">
        <f t="shared" si="56"/>
        <v/>
      </c>
      <c r="H831" s="31" t="str">
        <f t="shared" si="57"/>
        <v/>
      </c>
      <c r="J831" s="27" t="str">
        <f>IF(I831="","",_xlfn.XLOOKUP(I831,Lists!$C:$C,Lists!$D:$D))</f>
        <v/>
      </c>
      <c r="N831" s="26" t="str">
        <f t="shared" si="58"/>
        <v/>
      </c>
      <c r="O831" s="27" t="str">
        <f>IF(I831="","",_xlfn.XLOOKUP(I831,Lists!$C:$C,Lists!$J:$J))</f>
        <v/>
      </c>
      <c r="P831" s="27" t="str">
        <f>IF(I831="","",_xlfn.XLOOKUP(I831,Lists!$C:$C,Lists!$E:$E))</f>
        <v/>
      </c>
      <c r="Q831" s="28" t="str">
        <f t="shared" si="59"/>
        <v/>
      </c>
      <c r="R831" s="26" t="str">
        <f t="shared" ca="1" si="60"/>
        <v/>
      </c>
      <c r="S831" s="27" t="str">
        <f>IF(I831="","",_xlfn.XLOOKUP(I831,Lists!$C:$C,Lists!$I:$I))</f>
        <v/>
      </c>
    </row>
    <row r="832" spans="3:19" x14ac:dyDescent="0.2">
      <c r="C832" s="26">
        <f>_xlfn.XLOOKUP(B832,Lists!B:B,Lists!A:A,"")</f>
        <v>0</v>
      </c>
      <c r="G832" s="26" t="str">
        <f t="shared" si="56"/>
        <v/>
      </c>
      <c r="H832" s="31" t="str">
        <f t="shared" si="57"/>
        <v/>
      </c>
      <c r="J832" s="27" t="str">
        <f>IF(I832="","",_xlfn.XLOOKUP(I832,Lists!$C:$C,Lists!$D:$D))</f>
        <v/>
      </c>
      <c r="N832" s="26" t="str">
        <f t="shared" si="58"/>
        <v/>
      </c>
      <c r="O832" s="27" t="str">
        <f>IF(I832="","",_xlfn.XLOOKUP(I832,Lists!$C:$C,Lists!$J:$J))</f>
        <v/>
      </c>
      <c r="P832" s="27" t="str">
        <f>IF(I832="","",_xlfn.XLOOKUP(I832,Lists!$C:$C,Lists!$E:$E))</f>
        <v/>
      </c>
      <c r="Q832" s="28" t="str">
        <f t="shared" si="59"/>
        <v/>
      </c>
      <c r="R832" s="26" t="str">
        <f t="shared" ca="1" si="60"/>
        <v/>
      </c>
      <c r="S832" s="27" t="str">
        <f>IF(I832="","",_xlfn.XLOOKUP(I832,Lists!$C:$C,Lists!$I:$I))</f>
        <v/>
      </c>
    </row>
    <row r="833" spans="3:19" x14ac:dyDescent="0.2">
      <c r="C833" s="26">
        <f>_xlfn.XLOOKUP(B833,Lists!B:B,Lists!A:A,"")</f>
        <v>0</v>
      </c>
      <c r="G833" s="26" t="str">
        <f t="shared" si="56"/>
        <v/>
      </c>
      <c r="H833" s="31" t="str">
        <f t="shared" si="57"/>
        <v/>
      </c>
      <c r="J833" s="27" t="str">
        <f>IF(I833="","",_xlfn.XLOOKUP(I833,Lists!$C:$C,Lists!$D:$D))</f>
        <v/>
      </c>
      <c r="N833" s="26" t="str">
        <f t="shared" si="58"/>
        <v/>
      </c>
      <c r="O833" s="27" t="str">
        <f>IF(I833="","",_xlfn.XLOOKUP(I833,Lists!$C:$C,Lists!$J:$J))</f>
        <v/>
      </c>
      <c r="P833" s="27" t="str">
        <f>IF(I833="","",_xlfn.XLOOKUP(I833,Lists!$C:$C,Lists!$E:$E))</f>
        <v/>
      </c>
      <c r="Q833" s="28" t="str">
        <f t="shared" si="59"/>
        <v/>
      </c>
      <c r="R833" s="26" t="str">
        <f t="shared" ca="1" si="60"/>
        <v/>
      </c>
      <c r="S833" s="27" t="str">
        <f>IF(I833="","",_xlfn.XLOOKUP(I833,Lists!$C:$C,Lists!$I:$I))</f>
        <v/>
      </c>
    </row>
    <row r="834" spans="3:19" x14ac:dyDescent="0.2">
      <c r="C834" s="26">
        <f>_xlfn.XLOOKUP(B834,Lists!B:B,Lists!A:A,"")</f>
        <v>0</v>
      </c>
      <c r="G834" s="26" t="str">
        <f t="shared" si="56"/>
        <v/>
      </c>
      <c r="H834" s="31" t="str">
        <f t="shared" si="57"/>
        <v/>
      </c>
      <c r="J834" s="27" t="str">
        <f>IF(I834="","",_xlfn.XLOOKUP(I834,Lists!$C:$C,Lists!$D:$D))</f>
        <v/>
      </c>
      <c r="N834" s="26" t="str">
        <f t="shared" si="58"/>
        <v/>
      </c>
      <c r="O834" s="27" t="str">
        <f>IF(I834="","",_xlfn.XLOOKUP(I834,Lists!$C:$C,Lists!$J:$J))</f>
        <v/>
      </c>
      <c r="P834" s="27" t="str">
        <f>IF(I834="","",_xlfn.XLOOKUP(I834,Lists!$C:$C,Lists!$E:$E))</f>
        <v/>
      </c>
      <c r="Q834" s="28" t="str">
        <f t="shared" si="59"/>
        <v/>
      </c>
      <c r="R834" s="26" t="str">
        <f t="shared" ca="1" si="60"/>
        <v/>
      </c>
      <c r="S834" s="27" t="str">
        <f>IF(I834="","",_xlfn.XLOOKUP(I834,Lists!$C:$C,Lists!$I:$I))</f>
        <v/>
      </c>
    </row>
    <row r="835" spans="3:19" x14ac:dyDescent="0.2">
      <c r="C835" s="26">
        <f>_xlfn.XLOOKUP(B835,Lists!B:B,Lists!A:A,"")</f>
        <v>0</v>
      </c>
      <c r="G835" s="26" t="str">
        <f t="shared" si="56"/>
        <v/>
      </c>
      <c r="H835" s="31" t="str">
        <f t="shared" si="57"/>
        <v/>
      </c>
      <c r="J835" s="27" t="str">
        <f>IF(I835="","",_xlfn.XLOOKUP(I835,Lists!$C:$C,Lists!$D:$D))</f>
        <v/>
      </c>
      <c r="N835" s="26" t="str">
        <f t="shared" si="58"/>
        <v/>
      </c>
      <c r="O835" s="27" t="str">
        <f>IF(I835="","",_xlfn.XLOOKUP(I835,Lists!$C:$C,Lists!$J:$J))</f>
        <v/>
      </c>
      <c r="P835" s="27" t="str">
        <f>IF(I835="","",_xlfn.XLOOKUP(I835,Lists!$C:$C,Lists!$E:$E))</f>
        <v/>
      </c>
      <c r="Q835" s="28" t="str">
        <f t="shared" si="59"/>
        <v/>
      </c>
      <c r="R835" s="26" t="str">
        <f t="shared" ca="1" si="60"/>
        <v/>
      </c>
      <c r="S835" s="27" t="str">
        <f>IF(I835="","",_xlfn.XLOOKUP(I835,Lists!$C:$C,Lists!$I:$I))</f>
        <v/>
      </c>
    </row>
    <row r="836" spans="3:19" x14ac:dyDescent="0.2">
      <c r="C836" s="26">
        <f>_xlfn.XLOOKUP(B836,Lists!B:B,Lists!A:A,"")</f>
        <v>0</v>
      </c>
      <c r="G836" s="26" t="str">
        <f t="shared" si="56"/>
        <v/>
      </c>
      <c r="H836" s="31" t="str">
        <f t="shared" si="57"/>
        <v/>
      </c>
      <c r="J836" s="27" t="str">
        <f>IF(I836="","",_xlfn.XLOOKUP(I836,Lists!$C:$C,Lists!$D:$D))</f>
        <v/>
      </c>
      <c r="N836" s="26" t="str">
        <f t="shared" si="58"/>
        <v/>
      </c>
      <c r="O836" s="27" t="str">
        <f>IF(I836="","",_xlfn.XLOOKUP(I836,Lists!$C:$C,Lists!$J:$J))</f>
        <v/>
      </c>
      <c r="P836" s="27" t="str">
        <f>IF(I836="","",_xlfn.XLOOKUP(I836,Lists!$C:$C,Lists!$E:$E))</f>
        <v/>
      </c>
      <c r="Q836" s="28" t="str">
        <f t="shared" si="59"/>
        <v/>
      </c>
      <c r="R836" s="26" t="str">
        <f t="shared" ca="1" si="60"/>
        <v/>
      </c>
      <c r="S836" s="27" t="str">
        <f>IF(I836="","",_xlfn.XLOOKUP(I836,Lists!$C:$C,Lists!$I:$I))</f>
        <v/>
      </c>
    </row>
    <row r="837" spans="3:19" x14ac:dyDescent="0.2">
      <c r="C837" s="26">
        <f>_xlfn.XLOOKUP(B837,Lists!B:B,Lists!A:A,"")</f>
        <v>0</v>
      </c>
      <c r="G837" s="26" t="str">
        <f t="shared" si="56"/>
        <v/>
      </c>
      <c r="H837" s="31" t="str">
        <f t="shared" si="57"/>
        <v/>
      </c>
      <c r="J837" s="27" t="str">
        <f>IF(I837="","",_xlfn.XLOOKUP(I837,Lists!$C:$C,Lists!$D:$D))</f>
        <v/>
      </c>
      <c r="N837" s="26" t="str">
        <f t="shared" si="58"/>
        <v/>
      </c>
      <c r="O837" s="27" t="str">
        <f>IF(I837="","",_xlfn.XLOOKUP(I837,Lists!$C:$C,Lists!$J:$J))</f>
        <v/>
      </c>
      <c r="P837" s="27" t="str">
        <f>IF(I837="","",_xlfn.XLOOKUP(I837,Lists!$C:$C,Lists!$E:$E))</f>
        <v/>
      </c>
      <c r="Q837" s="28" t="str">
        <f t="shared" si="59"/>
        <v/>
      </c>
      <c r="R837" s="26" t="str">
        <f t="shared" ca="1" si="60"/>
        <v/>
      </c>
      <c r="S837" s="27" t="str">
        <f>IF(I837="","",_xlfn.XLOOKUP(I837,Lists!$C:$C,Lists!$I:$I))</f>
        <v/>
      </c>
    </row>
    <row r="838" spans="3:19" x14ac:dyDescent="0.2">
      <c r="C838" s="26">
        <f>_xlfn.XLOOKUP(B838,Lists!B:B,Lists!A:A,"")</f>
        <v>0</v>
      </c>
      <c r="G838" s="26" t="str">
        <f t="shared" si="56"/>
        <v/>
      </c>
      <c r="H838" s="31" t="str">
        <f t="shared" si="57"/>
        <v/>
      </c>
      <c r="J838" s="27" t="str">
        <f>IF(I838="","",_xlfn.XLOOKUP(I838,Lists!$C:$C,Lists!$D:$D))</f>
        <v/>
      </c>
      <c r="N838" s="26" t="str">
        <f t="shared" si="58"/>
        <v/>
      </c>
      <c r="O838" s="27" t="str">
        <f>IF(I838="","",_xlfn.XLOOKUP(I838,Lists!$C:$C,Lists!$J:$J))</f>
        <v/>
      </c>
      <c r="P838" s="27" t="str">
        <f>IF(I838="","",_xlfn.XLOOKUP(I838,Lists!$C:$C,Lists!$E:$E))</f>
        <v/>
      </c>
      <c r="Q838" s="28" t="str">
        <f t="shared" si="59"/>
        <v/>
      </c>
      <c r="R838" s="26" t="str">
        <f t="shared" ca="1" si="60"/>
        <v/>
      </c>
      <c r="S838" s="27" t="str">
        <f>IF(I838="","",_xlfn.XLOOKUP(I838,Lists!$C:$C,Lists!$I:$I))</f>
        <v/>
      </c>
    </row>
    <row r="839" spans="3:19" x14ac:dyDescent="0.2">
      <c r="C839" s="26">
        <f>_xlfn.XLOOKUP(B839,Lists!B:B,Lists!A:A,"")</f>
        <v>0</v>
      </c>
      <c r="G839" s="26" t="str">
        <f t="shared" si="56"/>
        <v/>
      </c>
      <c r="H839" s="31" t="str">
        <f t="shared" si="57"/>
        <v/>
      </c>
      <c r="J839" s="27" t="str">
        <f>IF(I839="","",_xlfn.XLOOKUP(I839,Lists!$C:$C,Lists!$D:$D))</f>
        <v/>
      </c>
      <c r="N839" s="26" t="str">
        <f t="shared" si="58"/>
        <v/>
      </c>
      <c r="O839" s="27" t="str">
        <f>IF(I839="","",_xlfn.XLOOKUP(I839,Lists!$C:$C,Lists!$J:$J))</f>
        <v/>
      </c>
      <c r="P839" s="27" t="str">
        <f>IF(I839="","",_xlfn.XLOOKUP(I839,Lists!$C:$C,Lists!$E:$E))</f>
        <v/>
      </c>
      <c r="Q839" s="28" t="str">
        <f t="shared" si="59"/>
        <v/>
      </c>
      <c r="R839" s="26" t="str">
        <f t="shared" ca="1" si="60"/>
        <v/>
      </c>
      <c r="S839" s="27" t="str">
        <f>IF(I839="","",_xlfn.XLOOKUP(I839,Lists!$C:$C,Lists!$I:$I))</f>
        <v/>
      </c>
    </row>
    <row r="840" spans="3:19" x14ac:dyDescent="0.2">
      <c r="C840" s="26">
        <f>_xlfn.XLOOKUP(B840,Lists!B:B,Lists!A:A,"")</f>
        <v>0</v>
      </c>
      <c r="G840" s="26" t="str">
        <f t="shared" si="56"/>
        <v/>
      </c>
      <c r="H840" s="31" t="str">
        <f t="shared" si="57"/>
        <v/>
      </c>
      <c r="J840" s="27" t="str">
        <f>IF(I840="","",_xlfn.XLOOKUP(I840,Lists!$C:$C,Lists!$D:$D))</f>
        <v/>
      </c>
      <c r="N840" s="26" t="str">
        <f t="shared" si="58"/>
        <v/>
      </c>
      <c r="O840" s="27" t="str">
        <f>IF(I840="","",_xlfn.XLOOKUP(I840,Lists!$C:$C,Lists!$J:$J))</f>
        <v/>
      </c>
      <c r="P840" s="27" t="str">
        <f>IF(I840="","",_xlfn.XLOOKUP(I840,Lists!$C:$C,Lists!$E:$E))</f>
        <v/>
      </c>
      <c r="Q840" s="28" t="str">
        <f t="shared" si="59"/>
        <v/>
      </c>
      <c r="R840" s="26" t="str">
        <f t="shared" ca="1" si="60"/>
        <v/>
      </c>
      <c r="S840" s="27" t="str">
        <f>IF(I840="","",_xlfn.XLOOKUP(I840,Lists!$C:$C,Lists!$I:$I))</f>
        <v/>
      </c>
    </row>
    <row r="841" spans="3:19" x14ac:dyDescent="0.2">
      <c r="C841" s="26">
        <f>_xlfn.XLOOKUP(B841,Lists!B:B,Lists!A:A,"")</f>
        <v>0</v>
      </c>
      <c r="G841" s="26" t="str">
        <f t="shared" si="56"/>
        <v/>
      </c>
      <c r="H841" s="31" t="str">
        <f t="shared" si="57"/>
        <v/>
      </c>
      <c r="J841" s="27" t="str">
        <f>IF(I841="","",_xlfn.XLOOKUP(I841,Lists!$C:$C,Lists!$D:$D))</f>
        <v/>
      </c>
      <c r="N841" s="26" t="str">
        <f t="shared" si="58"/>
        <v/>
      </c>
      <c r="O841" s="27" t="str">
        <f>IF(I841="","",_xlfn.XLOOKUP(I841,Lists!$C:$C,Lists!$J:$J))</f>
        <v/>
      </c>
      <c r="P841" s="27" t="str">
        <f>IF(I841="","",_xlfn.XLOOKUP(I841,Lists!$C:$C,Lists!$E:$E))</f>
        <v/>
      </c>
      <c r="Q841" s="28" t="str">
        <f t="shared" si="59"/>
        <v/>
      </c>
      <c r="R841" s="26" t="str">
        <f t="shared" ca="1" si="60"/>
        <v/>
      </c>
      <c r="S841" s="27" t="str">
        <f>IF(I841="","",_xlfn.XLOOKUP(I841,Lists!$C:$C,Lists!$I:$I))</f>
        <v/>
      </c>
    </row>
    <row r="842" spans="3:19" x14ac:dyDescent="0.2">
      <c r="C842" s="26">
        <f>_xlfn.XLOOKUP(B842,Lists!B:B,Lists!A:A,"")</f>
        <v>0</v>
      </c>
      <c r="G842" s="26" t="str">
        <f t="shared" si="56"/>
        <v/>
      </c>
      <c r="H842" s="31" t="str">
        <f t="shared" si="57"/>
        <v/>
      </c>
      <c r="J842" s="27" t="str">
        <f>IF(I842="","",_xlfn.XLOOKUP(I842,Lists!$C:$C,Lists!$D:$D))</f>
        <v/>
      </c>
      <c r="N842" s="26" t="str">
        <f t="shared" si="58"/>
        <v/>
      </c>
      <c r="O842" s="27" t="str">
        <f>IF(I842="","",_xlfn.XLOOKUP(I842,Lists!$C:$C,Lists!$J:$J))</f>
        <v/>
      </c>
      <c r="P842" s="27" t="str">
        <f>IF(I842="","",_xlfn.XLOOKUP(I842,Lists!$C:$C,Lists!$E:$E))</f>
        <v/>
      </c>
      <c r="Q842" s="28" t="str">
        <f t="shared" si="59"/>
        <v/>
      </c>
      <c r="R842" s="26" t="str">
        <f t="shared" ca="1" si="60"/>
        <v/>
      </c>
      <c r="S842" s="27" t="str">
        <f>IF(I842="","",_xlfn.XLOOKUP(I842,Lists!$C:$C,Lists!$I:$I))</f>
        <v/>
      </c>
    </row>
    <row r="843" spans="3:19" x14ac:dyDescent="0.2">
      <c r="C843" s="26">
        <f>_xlfn.XLOOKUP(B843,Lists!B:B,Lists!A:A,"")</f>
        <v>0</v>
      </c>
      <c r="G843" s="26" t="str">
        <f t="shared" ref="G843:G906" si="61">IF(OR(E843="",F843=""),"",F843-E843+1)</f>
        <v/>
      </c>
      <c r="H843" s="31" t="str">
        <f t="shared" ref="H843:H906" si="62">IF(D843="","",IF(OR(D843="A",D843="B"),G843/80,IF(D843="A&amp;B",G843/160,"")))</f>
        <v/>
      </c>
      <c r="J843" s="27" t="str">
        <f>IF(I843="","",_xlfn.XLOOKUP(I843,Lists!$C:$C,Lists!$D:$D))</f>
        <v/>
      </c>
      <c r="N843" s="26" t="str">
        <f t="shared" ref="N843:N906" si="63">IF(OR(M843="",L843=""),"",(M843*L843)/100000)</f>
        <v/>
      </c>
      <c r="O843" s="27" t="str">
        <f>IF(I843="","",_xlfn.XLOOKUP(I843,Lists!$C:$C,Lists!$J:$J))</f>
        <v/>
      </c>
      <c r="P843" s="27" t="str">
        <f>IF(I843="","",_xlfn.XLOOKUP(I843,Lists!$C:$C,Lists!$E:$E))</f>
        <v/>
      </c>
      <c r="Q843" s="28" t="str">
        <f t="shared" ref="Q843:Q906" si="64">IF(OR(A843="",P843=""),"",A843+P843+1)</f>
        <v/>
      </c>
      <c r="R843" s="26" t="str">
        <f t="shared" ref="R843:R906" ca="1" si="65">IF(Q843="","",IF(Q843&lt;=TODAY(),"Allow","Not Allow"))</f>
        <v/>
      </c>
      <c r="S843" s="27" t="str">
        <f>IF(I843="","",_xlfn.XLOOKUP(I843,Lists!$C:$C,Lists!$I:$I))</f>
        <v/>
      </c>
    </row>
    <row r="844" spans="3:19" x14ac:dyDescent="0.2">
      <c r="C844" s="26">
        <f>_xlfn.XLOOKUP(B844,Lists!B:B,Lists!A:A,"")</f>
        <v>0</v>
      </c>
      <c r="G844" s="26" t="str">
        <f t="shared" si="61"/>
        <v/>
      </c>
      <c r="H844" s="31" t="str">
        <f t="shared" si="62"/>
        <v/>
      </c>
      <c r="J844" s="27" t="str">
        <f>IF(I844="","",_xlfn.XLOOKUP(I844,Lists!$C:$C,Lists!$D:$D))</f>
        <v/>
      </c>
      <c r="N844" s="26" t="str">
        <f t="shared" si="63"/>
        <v/>
      </c>
      <c r="O844" s="27" t="str">
        <f>IF(I844="","",_xlfn.XLOOKUP(I844,Lists!$C:$C,Lists!$J:$J))</f>
        <v/>
      </c>
      <c r="P844" s="27" t="str">
        <f>IF(I844="","",_xlfn.XLOOKUP(I844,Lists!$C:$C,Lists!$E:$E))</f>
        <v/>
      </c>
      <c r="Q844" s="28" t="str">
        <f t="shared" si="64"/>
        <v/>
      </c>
      <c r="R844" s="26" t="str">
        <f t="shared" ca="1" si="65"/>
        <v/>
      </c>
      <c r="S844" s="27" t="str">
        <f>IF(I844="","",_xlfn.XLOOKUP(I844,Lists!$C:$C,Lists!$I:$I))</f>
        <v/>
      </c>
    </row>
    <row r="845" spans="3:19" x14ac:dyDescent="0.2">
      <c r="C845" s="26">
        <f>_xlfn.XLOOKUP(B845,Lists!B:B,Lists!A:A,"")</f>
        <v>0</v>
      </c>
      <c r="G845" s="26" t="str">
        <f t="shared" si="61"/>
        <v/>
      </c>
      <c r="H845" s="31" t="str">
        <f t="shared" si="62"/>
        <v/>
      </c>
      <c r="J845" s="27" t="str">
        <f>IF(I845="","",_xlfn.XLOOKUP(I845,Lists!$C:$C,Lists!$D:$D))</f>
        <v/>
      </c>
      <c r="N845" s="26" t="str">
        <f t="shared" si="63"/>
        <v/>
      </c>
      <c r="O845" s="27" t="str">
        <f>IF(I845="","",_xlfn.XLOOKUP(I845,Lists!$C:$C,Lists!$J:$J))</f>
        <v/>
      </c>
      <c r="P845" s="27" t="str">
        <f>IF(I845="","",_xlfn.XLOOKUP(I845,Lists!$C:$C,Lists!$E:$E))</f>
        <v/>
      </c>
      <c r="Q845" s="28" t="str">
        <f t="shared" si="64"/>
        <v/>
      </c>
      <c r="R845" s="26" t="str">
        <f t="shared" ca="1" si="65"/>
        <v/>
      </c>
      <c r="S845" s="27" t="str">
        <f>IF(I845="","",_xlfn.XLOOKUP(I845,Lists!$C:$C,Lists!$I:$I))</f>
        <v/>
      </c>
    </row>
    <row r="846" spans="3:19" x14ac:dyDescent="0.2">
      <c r="C846" s="26">
        <f>_xlfn.XLOOKUP(B846,Lists!B:B,Lists!A:A,"")</f>
        <v>0</v>
      </c>
      <c r="G846" s="26" t="str">
        <f t="shared" si="61"/>
        <v/>
      </c>
      <c r="H846" s="31" t="str">
        <f t="shared" si="62"/>
        <v/>
      </c>
      <c r="J846" s="27" t="str">
        <f>IF(I846="","",_xlfn.XLOOKUP(I846,Lists!$C:$C,Lists!$D:$D))</f>
        <v/>
      </c>
      <c r="N846" s="26" t="str">
        <f t="shared" si="63"/>
        <v/>
      </c>
      <c r="O846" s="27" t="str">
        <f>IF(I846="","",_xlfn.XLOOKUP(I846,Lists!$C:$C,Lists!$J:$J))</f>
        <v/>
      </c>
      <c r="P846" s="27" t="str">
        <f>IF(I846="","",_xlfn.XLOOKUP(I846,Lists!$C:$C,Lists!$E:$E))</f>
        <v/>
      </c>
      <c r="Q846" s="28" t="str">
        <f t="shared" si="64"/>
        <v/>
      </c>
      <c r="R846" s="26" t="str">
        <f t="shared" ca="1" si="65"/>
        <v/>
      </c>
      <c r="S846" s="27" t="str">
        <f>IF(I846="","",_xlfn.XLOOKUP(I846,Lists!$C:$C,Lists!$I:$I))</f>
        <v/>
      </c>
    </row>
    <row r="847" spans="3:19" x14ac:dyDescent="0.2">
      <c r="C847" s="26">
        <f>_xlfn.XLOOKUP(B847,Lists!B:B,Lists!A:A,"")</f>
        <v>0</v>
      </c>
      <c r="G847" s="26" t="str">
        <f t="shared" si="61"/>
        <v/>
      </c>
      <c r="H847" s="31" t="str">
        <f t="shared" si="62"/>
        <v/>
      </c>
      <c r="J847" s="27" t="str">
        <f>IF(I847="","",_xlfn.XLOOKUP(I847,Lists!$C:$C,Lists!$D:$D))</f>
        <v/>
      </c>
      <c r="N847" s="26" t="str">
        <f t="shared" si="63"/>
        <v/>
      </c>
      <c r="O847" s="27" t="str">
        <f>IF(I847="","",_xlfn.XLOOKUP(I847,Lists!$C:$C,Lists!$J:$J))</f>
        <v/>
      </c>
      <c r="P847" s="27" t="str">
        <f>IF(I847="","",_xlfn.XLOOKUP(I847,Lists!$C:$C,Lists!$E:$E))</f>
        <v/>
      </c>
      <c r="Q847" s="28" t="str">
        <f t="shared" si="64"/>
        <v/>
      </c>
      <c r="R847" s="26" t="str">
        <f t="shared" ca="1" si="65"/>
        <v/>
      </c>
      <c r="S847" s="27" t="str">
        <f>IF(I847="","",_xlfn.XLOOKUP(I847,Lists!$C:$C,Lists!$I:$I))</f>
        <v/>
      </c>
    </row>
    <row r="848" spans="3:19" x14ac:dyDescent="0.2">
      <c r="C848" s="26">
        <f>_xlfn.XLOOKUP(B848,Lists!B:B,Lists!A:A,"")</f>
        <v>0</v>
      </c>
      <c r="G848" s="26" t="str">
        <f t="shared" si="61"/>
        <v/>
      </c>
      <c r="H848" s="31" t="str">
        <f t="shared" si="62"/>
        <v/>
      </c>
      <c r="J848" s="27" t="str">
        <f>IF(I848="","",_xlfn.XLOOKUP(I848,Lists!$C:$C,Lists!$D:$D))</f>
        <v/>
      </c>
      <c r="N848" s="26" t="str">
        <f t="shared" si="63"/>
        <v/>
      </c>
      <c r="O848" s="27" t="str">
        <f>IF(I848="","",_xlfn.XLOOKUP(I848,Lists!$C:$C,Lists!$J:$J))</f>
        <v/>
      </c>
      <c r="P848" s="27" t="str">
        <f>IF(I848="","",_xlfn.XLOOKUP(I848,Lists!$C:$C,Lists!$E:$E))</f>
        <v/>
      </c>
      <c r="Q848" s="28" t="str">
        <f t="shared" si="64"/>
        <v/>
      </c>
      <c r="R848" s="26" t="str">
        <f t="shared" ca="1" si="65"/>
        <v/>
      </c>
      <c r="S848" s="27" t="str">
        <f>IF(I848="","",_xlfn.XLOOKUP(I848,Lists!$C:$C,Lists!$I:$I))</f>
        <v/>
      </c>
    </row>
    <row r="849" spans="3:19" x14ac:dyDescent="0.2">
      <c r="C849" s="26">
        <f>_xlfn.XLOOKUP(B849,Lists!B:B,Lists!A:A,"")</f>
        <v>0</v>
      </c>
      <c r="G849" s="26" t="str">
        <f t="shared" si="61"/>
        <v/>
      </c>
      <c r="H849" s="31" t="str">
        <f t="shared" si="62"/>
        <v/>
      </c>
      <c r="J849" s="27" t="str">
        <f>IF(I849="","",_xlfn.XLOOKUP(I849,Lists!$C:$C,Lists!$D:$D))</f>
        <v/>
      </c>
      <c r="N849" s="26" t="str">
        <f t="shared" si="63"/>
        <v/>
      </c>
      <c r="O849" s="27" t="str">
        <f>IF(I849="","",_xlfn.XLOOKUP(I849,Lists!$C:$C,Lists!$J:$J))</f>
        <v/>
      </c>
      <c r="P849" s="27" t="str">
        <f>IF(I849="","",_xlfn.XLOOKUP(I849,Lists!$C:$C,Lists!$E:$E))</f>
        <v/>
      </c>
      <c r="Q849" s="28" t="str">
        <f t="shared" si="64"/>
        <v/>
      </c>
      <c r="R849" s="26" t="str">
        <f t="shared" ca="1" si="65"/>
        <v/>
      </c>
      <c r="S849" s="27" t="str">
        <f>IF(I849="","",_xlfn.XLOOKUP(I849,Lists!$C:$C,Lists!$I:$I))</f>
        <v/>
      </c>
    </row>
    <row r="850" spans="3:19" x14ac:dyDescent="0.2">
      <c r="C850" s="26">
        <f>_xlfn.XLOOKUP(B850,Lists!B:B,Lists!A:A,"")</f>
        <v>0</v>
      </c>
      <c r="G850" s="26" t="str">
        <f t="shared" si="61"/>
        <v/>
      </c>
      <c r="H850" s="31" t="str">
        <f t="shared" si="62"/>
        <v/>
      </c>
      <c r="J850" s="27" t="str">
        <f>IF(I850="","",_xlfn.XLOOKUP(I850,Lists!$C:$C,Lists!$D:$D))</f>
        <v/>
      </c>
      <c r="N850" s="26" t="str">
        <f t="shared" si="63"/>
        <v/>
      </c>
      <c r="O850" s="27" t="str">
        <f>IF(I850="","",_xlfn.XLOOKUP(I850,Lists!$C:$C,Lists!$J:$J))</f>
        <v/>
      </c>
      <c r="P850" s="27" t="str">
        <f>IF(I850="","",_xlfn.XLOOKUP(I850,Lists!$C:$C,Lists!$E:$E))</f>
        <v/>
      </c>
      <c r="Q850" s="28" t="str">
        <f t="shared" si="64"/>
        <v/>
      </c>
      <c r="R850" s="26" t="str">
        <f t="shared" ca="1" si="65"/>
        <v/>
      </c>
      <c r="S850" s="27" t="str">
        <f>IF(I850="","",_xlfn.XLOOKUP(I850,Lists!$C:$C,Lists!$I:$I))</f>
        <v/>
      </c>
    </row>
    <row r="851" spans="3:19" x14ac:dyDescent="0.2">
      <c r="C851" s="26">
        <f>_xlfn.XLOOKUP(B851,Lists!B:B,Lists!A:A,"")</f>
        <v>0</v>
      </c>
      <c r="G851" s="26" t="str">
        <f t="shared" si="61"/>
        <v/>
      </c>
      <c r="H851" s="31" t="str">
        <f t="shared" si="62"/>
        <v/>
      </c>
      <c r="J851" s="27" t="str">
        <f>IF(I851="","",_xlfn.XLOOKUP(I851,Lists!$C:$C,Lists!$D:$D))</f>
        <v/>
      </c>
      <c r="N851" s="26" t="str">
        <f t="shared" si="63"/>
        <v/>
      </c>
      <c r="O851" s="27" t="str">
        <f>IF(I851="","",_xlfn.XLOOKUP(I851,Lists!$C:$C,Lists!$J:$J))</f>
        <v/>
      </c>
      <c r="P851" s="27" t="str">
        <f>IF(I851="","",_xlfn.XLOOKUP(I851,Lists!$C:$C,Lists!$E:$E))</f>
        <v/>
      </c>
      <c r="Q851" s="28" t="str">
        <f t="shared" si="64"/>
        <v/>
      </c>
      <c r="R851" s="26" t="str">
        <f t="shared" ca="1" si="65"/>
        <v/>
      </c>
      <c r="S851" s="27" t="str">
        <f>IF(I851="","",_xlfn.XLOOKUP(I851,Lists!$C:$C,Lists!$I:$I))</f>
        <v/>
      </c>
    </row>
    <row r="852" spans="3:19" x14ac:dyDescent="0.2">
      <c r="C852" s="26">
        <f>_xlfn.XLOOKUP(B852,Lists!B:B,Lists!A:A,"")</f>
        <v>0</v>
      </c>
      <c r="G852" s="26" t="str">
        <f t="shared" si="61"/>
        <v/>
      </c>
      <c r="H852" s="31" t="str">
        <f t="shared" si="62"/>
        <v/>
      </c>
      <c r="J852" s="27" t="str">
        <f>IF(I852="","",_xlfn.XLOOKUP(I852,Lists!$C:$C,Lists!$D:$D))</f>
        <v/>
      </c>
      <c r="N852" s="26" t="str">
        <f t="shared" si="63"/>
        <v/>
      </c>
      <c r="O852" s="27" t="str">
        <f>IF(I852="","",_xlfn.XLOOKUP(I852,Lists!$C:$C,Lists!$J:$J))</f>
        <v/>
      </c>
      <c r="P852" s="27" t="str">
        <f>IF(I852="","",_xlfn.XLOOKUP(I852,Lists!$C:$C,Lists!$E:$E))</f>
        <v/>
      </c>
      <c r="Q852" s="28" t="str">
        <f t="shared" si="64"/>
        <v/>
      </c>
      <c r="R852" s="26" t="str">
        <f t="shared" ca="1" si="65"/>
        <v/>
      </c>
      <c r="S852" s="27" t="str">
        <f>IF(I852="","",_xlfn.XLOOKUP(I852,Lists!$C:$C,Lists!$I:$I))</f>
        <v/>
      </c>
    </row>
    <row r="853" spans="3:19" x14ac:dyDescent="0.2">
      <c r="C853" s="26">
        <f>_xlfn.XLOOKUP(B853,Lists!B:B,Lists!A:A,"")</f>
        <v>0</v>
      </c>
      <c r="G853" s="26" t="str">
        <f t="shared" si="61"/>
        <v/>
      </c>
      <c r="H853" s="31" t="str">
        <f t="shared" si="62"/>
        <v/>
      </c>
      <c r="J853" s="27" t="str">
        <f>IF(I853="","",_xlfn.XLOOKUP(I853,Lists!$C:$C,Lists!$D:$D))</f>
        <v/>
      </c>
      <c r="N853" s="26" t="str">
        <f t="shared" si="63"/>
        <v/>
      </c>
      <c r="O853" s="27" t="str">
        <f>IF(I853="","",_xlfn.XLOOKUP(I853,Lists!$C:$C,Lists!$J:$J))</f>
        <v/>
      </c>
      <c r="P853" s="27" t="str">
        <f>IF(I853="","",_xlfn.XLOOKUP(I853,Lists!$C:$C,Lists!$E:$E))</f>
        <v/>
      </c>
      <c r="Q853" s="28" t="str">
        <f t="shared" si="64"/>
        <v/>
      </c>
      <c r="R853" s="26" t="str">
        <f t="shared" ca="1" si="65"/>
        <v/>
      </c>
      <c r="S853" s="27" t="str">
        <f>IF(I853="","",_xlfn.XLOOKUP(I853,Lists!$C:$C,Lists!$I:$I))</f>
        <v/>
      </c>
    </row>
    <row r="854" spans="3:19" x14ac:dyDescent="0.2">
      <c r="C854" s="26">
        <f>_xlfn.XLOOKUP(B854,Lists!B:B,Lists!A:A,"")</f>
        <v>0</v>
      </c>
      <c r="G854" s="26" t="str">
        <f t="shared" si="61"/>
        <v/>
      </c>
      <c r="H854" s="31" t="str">
        <f t="shared" si="62"/>
        <v/>
      </c>
      <c r="J854" s="27" t="str">
        <f>IF(I854="","",_xlfn.XLOOKUP(I854,Lists!$C:$C,Lists!$D:$D))</f>
        <v/>
      </c>
      <c r="N854" s="26" t="str">
        <f t="shared" si="63"/>
        <v/>
      </c>
      <c r="O854" s="27" t="str">
        <f>IF(I854="","",_xlfn.XLOOKUP(I854,Lists!$C:$C,Lists!$J:$J))</f>
        <v/>
      </c>
      <c r="P854" s="27" t="str">
        <f>IF(I854="","",_xlfn.XLOOKUP(I854,Lists!$C:$C,Lists!$E:$E))</f>
        <v/>
      </c>
      <c r="Q854" s="28" t="str">
        <f t="shared" si="64"/>
        <v/>
      </c>
      <c r="R854" s="26" t="str">
        <f t="shared" ca="1" si="65"/>
        <v/>
      </c>
      <c r="S854" s="27" t="str">
        <f>IF(I854="","",_xlfn.XLOOKUP(I854,Lists!$C:$C,Lists!$I:$I))</f>
        <v/>
      </c>
    </row>
    <row r="855" spans="3:19" x14ac:dyDescent="0.2">
      <c r="C855" s="26">
        <f>_xlfn.XLOOKUP(B855,Lists!B:B,Lists!A:A,"")</f>
        <v>0</v>
      </c>
      <c r="G855" s="26" t="str">
        <f t="shared" si="61"/>
        <v/>
      </c>
      <c r="H855" s="31" t="str">
        <f t="shared" si="62"/>
        <v/>
      </c>
      <c r="J855" s="27" t="str">
        <f>IF(I855="","",_xlfn.XLOOKUP(I855,Lists!$C:$C,Lists!$D:$D))</f>
        <v/>
      </c>
      <c r="N855" s="26" t="str">
        <f t="shared" si="63"/>
        <v/>
      </c>
      <c r="O855" s="27" t="str">
        <f>IF(I855="","",_xlfn.XLOOKUP(I855,Lists!$C:$C,Lists!$J:$J))</f>
        <v/>
      </c>
      <c r="P855" s="27" t="str">
        <f>IF(I855="","",_xlfn.XLOOKUP(I855,Lists!$C:$C,Lists!$E:$E))</f>
        <v/>
      </c>
      <c r="Q855" s="28" t="str">
        <f t="shared" si="64"/>
        <v/>
      </c>
      <c r="R855" s="26" t="str">
        <f t="shared" ca="1" si="65"/>
        <v/>
      </c>
      <c r="S855" s="27" t="str">
        <f>IF(I855="","",_xlfn.XLOOKUP(I855,Lists!$C:$C,Lists!$I:$I))</f>
        <v/>
      </c>
    </row>
    <row r="856" spans="3:19" x14ac:dyDescent="0.2">
      <c r="C856" s="26">
        <f>_xlfn.XLOOKUP(B856,Lists!B:B,Lists!A:A,"")</f>
        <v>0</v>
      </c>
      <c r="G856" s="26" t="str">
        <f t="shared" si="61"/>
        <v/>
      </c>
      <c r="H856" s="31" t="str">
        <f t="shared" si="62"/>
        <v/>
      </c>
      <c r="J856" s="27" t="str">
        <f>IF(I856="","",_xlfn.XLOOKUP(I856,Lists!$C:$C,Lists!$D:$D))</f>
        <v/>
      </c>
      <c r="N856" s="26" t="str">
        <f t="shared" si="63"/>
        <v/>
      </c>
      <c r="O856" s="27" t="str">
        <f>IF(I856="","",_xlfn.XLOOKUP(I856,Lists!$C:$C,Lists!$J:$J))</f>
        <v/>
      </c>
      <c r="P856" s="27" t="str">
        <f>IF(I856="","",_xlfn.XLOOKUP(I856,Lists!$C:$C,Lists!$E:$E))</f>
        <v/>
      </c>
      <c r="Q856" s="28" t="str">
        <f t="shared" si="64"/>
        <v/>
      </c>
      <c r="R856" s="26" t="str">
        <f t="shared" ca="1" si="65"/>
        <v/>
      </c>
      <c r="S856" s="27" t="str">
        <f>IF(I856="","",_xlfn.XLOOKUP(I856,Lists!$C:$C,Lists!$I:$I))</f>
        <v/>
      </c>
    </row>
    <row r="857" spans="3:19" x14ac:dyDescent="0.2">
      <c r="C857" s="26">
        <f>_xlfn.XLOOKUP(B857,Lists!B:B,Lists!A:A,"")</f>
        <v>0</v>
      </c>
      <c r="G857" s="26" t="str">
        <f t="shared" si="61"/>
        <v/>
      </c>
      <c r="H857" s="31" t="str">
        <f t="shared" si="62"/>
        <v/>
      </c>
      <c r="J857" s="27" t="str">
        <f>IF(I857="","",_xlfn.XLOOKUP(I857,Lists!$C:$C,Lists!$D:$D))</f>
        <v/>
      </c>
      <c r="N857" s="26" t="str">
        <f t="shared" si="63"/>
        <v/>
      </c>
      <c r="O857" s="27" t="str">
        <f>IF(I857="","",_xlfn.XLOOKUP(I857,Lists!$C:$C,Lists!$J:$J))</f>
        <v/>
      </c>
      <c r="P857" s="27" t="str">
        <f>IF(I857="","",_xlfn.XLOOKUP(I857,Lists!$C:$C,Lists!$E:$E))</f>
        <v/>
      </c>
      <c r="Q857" s="28" t="str">
        <f t="shared" si="64"/>
        <v/>
      </c>
      <c r="R857" s="26" t="str">
        <f t="shared" ca="1" si="65"/>
        <v/>
      </c>
      <c r="S857" s="27" t="str">
        <f>IF(I857="","",_xlfn.XLOOKUP(I857,Lists!$C:$C,Lists!$I:$I))</f>
        <v/>
      </c>
    </row>
    <row r="858" spans="3:19" x14ac:dyDescent="0.2">
      <c r="C858" s="26">
        <f>_xlfn.XLOOKUP(B858,Lists!B:B,Lists!A:A,"")</f>
        <v>0</v>
      </c>
      <c r="G858" s="26" t="str">
        <f t="shared" si="61"/>
        <v/>
      </c>
      <c r="H858" s="31" t="str">
        <f t="shared" si="62"/>
        <v/>
      </c>
      <c r="J858" s="27" t="str">
        <f>IF(I858="","",_xlfn.XLOOKUP(I858,Lists!$C:$C,Lists!$D:$D))</f>
        <v/>
      </c>
      <c r="N858" s="26" t="str">
        <f t="shared" si="63"/>
        <v/>
      </c>
      <c r="O858" s="27" t="str">
        <f>IF(I858="","",_xlfn.XLOOKUP(I858,Lists!$C:$C,Lists!$J:$J))</f>
        <v/>
      </c>
      <c r="P858" s="27" t="str">
        <f>IF(I858="","",_xlfn.XLOOKUP(I858,Lists!$C:$C,Lists!$E:$E))</f>
        <v/>
      </c>
      <c r="Q858" s="28" t="str">
        <f t="shared" si="64"/>
        <v/>
      </c>
      <c r="R858" s="26" t="str">
        <f t="shared" ca="1" si="65"/>
        <v/>
      </c>
      <c r="S858" s="27" t="str">
        <f>IF(I858="","",_xlfn.XLOOKUP(I858,Lists!$C:$C,Lists!$I:$I))</f>
        <v/>
      </c>
    </row>
    <row r="859" spans="3:19" x14ac:dyDescent="0.2">
      <c r="C859" s="26">
        <f>_xlfn.XLOOKUP(B859,Lists!B:B,Lists!A:A,"")</f>
        <v>0</v>
      </c>
      <c r="G859" s="26" t="str">
        <f t="shared" si="61"/>
        <v/>
      </c>
      <c r="H859" s="31" t="str">
        <f t="shared" si="62"/>
        <v/>
      </c>
      <c r="J859" s="27" t="str">
        <f>IF(I859="","",_xlfn.XLOOKUP(I859,Lists!$C:$C,Lists!$D:$D))</f>
        <v/>
      </c>
      <c r="N859" s="26" t="str">
        <f t="shared" si="63"/>
        <v/>
      </c>
      <c r="O859" s="27" t="str">
        <f>IF(I859="","",_xlfn.XLOOKUP(I859,Lists!$C:$C,Lists!$J:$J))</f>
        <v/>
      </c>
      <c r="P859" s="27" t="str">
        <f>IF(I859="","",_xlfn.XLOOKUP(I859,Lists!$C:$C,Lists!$E:$E))</f>
        <v/>
      </c>
      <c r="Q859" s="28" t="str">
        <f t="shared" si="64"/>
        <v/>
      </c>
      <c r="R859" s="26" t="str">
        <f t="shared" ca="1" si="65"/>
        <v/>
      </c>
      <c r="S859" s="27" t="str">
        <f>IF(I859="","",_xlfn.XLOOKUP(I859,Lists!$C:$C,Lists!$I:$I))</f>
        <v/>
      </c>
    </row>
    <row r="860" spans="3:19" x14ac:dyDescent="0.2">
      <c r="C860" s="26">
        <f>_xlfn.XLOOKUP(B860,Lists!B:B,Lists!A:A,"")</f>
        <v>0</v>
      </c>
      <c r="G860" s="26" t="str">
        <f t="shared" si="61"/>
        <v/>
      </c>
      <c r="H860" s="31" t="str">
        <f t="shared" si="62"/>
        <v/>
      </c>
      <c r="J860" s="27" t="str">
        <f>IF(I860="","",_xlfn.XLOOKUP(I860,Lists!$C:$C,Lists!$D:$D))</f>
        <v/>
      </c>
      <c r="N860" s="26" t="str">
        <f t="shared" si="63"/>
        <v/>
      </c>
      <c r="O860" s="27" t="str">
        <f>IF(I860="","",_xlfn.XLOOKUP(I860,Lists!$C:$C,Lists!$J:$J))</f>
        <v/>
      </c>
      <c r="P860" s="27" t="str">
        <f>IF(I860="","",_xlfn.XLOOKUP(I860,Lists!$C:$C,Lists!$E:$E))</f>
        <v/>
      </c>
      <c r="Q860" s="28" t="str">
        <f t="shared" si="64"/>
        <v/>
      </c>
      <c r="R860" s="26" t="str">
        <f t="shared" ca="1" si="65"/>
        <v/>
      </c>
      <c r="S860" s="27" t="str">
        <f>IF(I860="","",_xlfn.XLOOKUP(I860,Lists!$C:$C,Lists!$I:$I))</f>
        <v/>
      </c>
    </row>
    <row r="861" spans="3:19" x14ac:dyDescent="0.2">
      <c r="C861" s="26">
        <f>_xlfn.XLOOKUP(B861,Lists!B:B,Lists!A:A,"")</f>
        <v>0</v>
      </c>
      <c r="G861" s="26" t="str">
        <f t="shared" si="61"/>
        <v/>
      </c>
      <c r="H861" s="31" t="str">
        <f t="shared" si="62"/>
        <v/>
      </c>
      <c r="J861" s="27" t="str">
        <f>IF(I861="","",_xlfn.XLOOKUP(I861,Lists!$C:$C,Lists!$D:$D))</f>
        <v/>
      </c>
      <c r="N861" s="26" t="str">
        <f t="shared" si="63"/>
        <v/>
      </c>
      <c r="O861" s="27" t="str">
        <f>IF(I861="","",_xlfn.XLOOKUP(I861,Lists!$C:$C,Lists!$J:$J))</f>
        <v/>
      </c>
      <c r="P861" s="27" t="str">
        <f>IF(I861="","",_xlfn.XLOOKUP(I861,Lists!$C:$C,Lists!$E:$E))</f>
        <v/>
      </c>
      <c r="Q861" s="28" t="str">
        <f t="shared" si="64"/>
        <v/>
      </c>
      <c r="R861" s="26" t="str">
        <f t="shared" ca="1" si="65"/>
        <v/>
      </c>
      <c r="S861" s="27" t="str">
        <f>IF(I861="","",_xlfn.XLOOKUP(I861,Lists!$C:$C,Lists!$I:$I))</f>
        <v/>
      </c>
    </row>
    <row r="862" spans="3:19" x14ac:dyDescent="0.2">
      <c r="C862" s="26">
        <f>_xlfn.XLOOKUP(B862,Lists!B:B,Lists!A:A,"")</f>
        <v>0</v>
      </c>
      <c r="G862" s="26" t="str">
        <f t="shared" si="61"/>
        <v/>
      </c>
      <c r="H862" s="31" t="str">
        <f t="shared" si="62"/>
        <v/>
      </c>
      <c r="J862" s="27" t="str">
        <f>IF(I862="","",_xlfn.XLOOKUP(I862,Lists!$C:$C,Lists!$D:$D))</f>
        <v/>
      </c>
      <c r="N862" s="26" t="str">
        <f t="shared" si="63"/>
        <v/>
      </c>
      <c r="O862" s="27" t="str">
        <f>IF(I862="","",_xlfn.XLOOKUP(I862,Lists!$C:$C,Lists!$J:$J))</f>
        <v/>
      </c>
      <c r="P862" s="27" t="str">
        <f>IF(I862="","",_xlfn.XLOOKUP(I862,Lists!$C:$C,Lists!$E:$E))</f>
        <v/>
      </c>
      <c r="Q862" s="28" t="str">
        <f t="shared" si="64"/>
        <v/>
      </c>
      <c r="R862" s="26" t="str">
        <f t="shared" ca="1" si="65"/>
        <v/>
      </c>
      <c r="S862" s="27" t="str">
        <f>IF(I862="","",_xlfn.XLOOKUP(I862,Lists!$C:$C,Lists!$I:$I))</f>
        <v/>
      </c>
    </row>
    <row r="863" spans="3:19" x14ac:dyDescent="0.2">
      <c r="C863" s="26">
        <f>_xlfn.XLOOKUP(B863,Lists!B:B,Lists!A:A,"")</f>
        <v>0</v>
      </c>
      <c r="G863" s="26" t="str">
        <f t="shared" si="61"/>
        <v/>
      </c>
      <c r="H863" s="31" t="str">
        <f t="shared" si="62"/>
        <v/>
      </c>
      <c r="J863" s="27" t="str">
        <f>IF(I863="","",_xlfn.XLOOKUP(I863,Lists!$C:$C,Lists!$D:$D))</f>
        <v/>
      </c>
      <c r="N863" s="26" t="str">
        <f t="shared" si="63"/>
        <v/>
      </c>
      <c r="O863" s="27" t="str">
        <f>IF(I863="","",_xlfn.XLOOKUP(I863,Lists!$C:$C,Lists!$J:$J))</f>
        <v/>
      </c>
      <c r="P863" s="27" t="str">
        <f>IF(I863="","",_xlfn.XLOOKUP(I863,Lists!$C:$C,Lists!$E:$E))</f>
        <v/>
      </c>
      <c r="Q863" s="28" t="str">
        <f t="shared" si="64"/>
        <v/>
      </c>
      <c r="R863" s="26" t="str">
        <f t="shared" ca="1" si="65"/>
        <v/>
      </c>
      <c r="S863" s="27" t="str">
        <f>IF(I863="","",_xlfn.XLOOKUP(I863,Lists!$C:$C,Lists!$I:$I))</f>
        <v/>
      </c>
    </row>
    <row r="864" spans="3:19" x14ac:dyDescent="0.2">
      <c r="C864" s="26">
        <f>_xlfn.XLOOKUP(B864,Lists!B:B,Lists!A:A,"")</f>
        <v>0</v>
      </c>
      <c r="G864" s="26" t="str">
        <f t="shared" si="61"/>
        <v/>
      </c>
      <c r="H864" s="31" t="str">
        <f t="shared" si="62"/>
        <v/>
      </c>
      <c r="J864" s="27" t="str">
        <f>IF(I864="","",_xlfn.XLOOKUP(I864,Lists!$C:$C,Lists!$D:$D))</f>
        <v/>
      </c>
      <c r="N864" s="26" t="str">
        <f t="shared" si="63"/>
        <v/>
      </c>
      <c r="O864" s="27" t="str">
        <f>IF(I864="","",_xlfn.XLOOKUP(I864,Lists!$C:$C,Lists!$J:$J))</f>
        <v/>
      </c>
      <c r="P864" s="27" t="str">
        <f>IF(I864="","",_xlfn.XLOOKUP(I864,Lists!$C:$C,Lists!$E:$E))</f>
        <v/>
      </c>
      <c r="Q864" s="28" t="str">
        <f t="shared" si="64"/>
        <v/>
      </c>
      <c r="R864" s="26" t="str">
        <f t="shared" ca="1" si="65"/>
        <v/>
      </c>
      <c r="S864" s="27" t="str">
        <f>IF(I864="","",_xlfn.XLOOKUP(I864,Lists!$C:$C,Lists!$I:$I))</f>
        <v/>
      </c>
    </row>
    <row r="865" spans="3:19" x14ac:dyDescent="0.2">
      <c r="C865" s="26">
        <f>_xlfn.XLOOKUP(B865,Lists!B:B,Lists!A:A,"")</f>
        <v>0</v>
      </c>
      <c r="G865" s="26" t="str">
        <f t="shared" si="61"/>
        <v/>
      </c>
      <c r="H865" s="31" t="str">
        <f t="shared" si="62"/>
        <v/>
      </c>
      <c r="J865" s="27" t="str">
        <f>IF(I865="","",_xlfn.XLOOKUP(I865,Lists!$C:$C,Lists!$D:$D))</f>
        <v/>
      </c>
      <c r="N865" s="26" t="str">
        <f t="shared" si="63"/>
        <v/>
      </c>
      <c r="O865" s="27" t="str">
        <f>IF(I865="","",_xlfn.XLOOKUP(I865,Lists!$C:$C,Lists!$J:$J))</f>
        <v/>
      </c>
      <c r="P865" s="27" t="str">
        <f>IF(I865="","",_xlfn.XLOOKUP(I865,Lists!$C:$C,Lists!$E:$E))</f>
        <v/>
      </c>
      <c r="Q865" s="28" t="str">
        <f t="shared" si="64"/>
        <v/>
      </c>
      <c r="R865" s="26" t="str">
        <f t="shared" ca="1" si="65"/>
        <v/>
      </c>
      <c r="S865" s="27" t="str">
        <f>IF(I865="","",_xlfn.XLOOKUP(I865,Lists!$C:$C,Lists!$I:$I))</f>
        <v/>
      </c>
    </row>
    <row r="866" spans="3:19" x14ac:dyDescent="0.2">
      <c r="C866" s="26">
        <f>_xlfn.XLOOKUP(B866,Lists!B:B,Lists!A:A,"")</f>
        <v>0</v>
      </c>
      <c r="G866" s="26" t="str">
        <f t="shared" si="61"/>
        <v/>
      </c>
      <c r="H866" s="31" t="str">
        <f t="shared" si="62"/>
        <v/>
      </c>
      <c r="J866" s="27" t="str">
        <f>IF(I866="","",_xlfn.XLOOKUP(I866,Lists!$C:$C,Lists!$D:$D))</f>
        <v/>
      </c>
      <c r="N866" s="26" t="str">
        <f t="shared" si="63"/>
        <v/>
      </c>
      <c r="O866" s="27" t="str">
        <f>IF(I866="","",_xlfn.XLOOKUP(I866,Lists!$C:$C,Lists!$J:$J))</f>
        <v/>
      </c>
      <c r="P866" s="27" t="str">
        <f>IF(I866="","",_xlfn.XLOOKUP(I866,Lists!$C:$C,Lists!$E:$E))</f>
        <v/>
      </c>
      <c r="Q866" s="28" t="str">
        <f t="shared" si="64"/>
        <v/>
      </c>
      <c r="R866" s="26" t="str">
        <f t="shared" ca="1" si="65"/>
        <v/>
      </c>
      <c r="S866" s="27" t="str">
        <f>IF(I866="","",_xlfn.XLOOKUP(I866,Lists!$C:$C,Lists!$I:$I))</f>
        <v/>
      </c>
    </row>
    <row r="867" spans="3:19" x14ac:dyDescent="0.2">
      <c r="C867" s="26">
        <f>_xlfn.XLOOKUP(B867,Lists!B:B,Lists!A:A,"")</f>
        <v>0</v>
      </c>
      <c r="G867" s="26" t="str">
        <f t="shared" si="61"/>
        <v/>
      </c>
      <c r="H867" s="31" t="str">
        <f t="shared" si="62"/>
        <v/>
      </c>
      <c r="J867" s="27" t="str">
        <f>IF(I867="","",_xlfn.XLOOKUP(I867,Lists!$C:$C,Lists!$D:$D))</f>
        <v/>
      </c>
      <c r="N867" s="26" t="str">
        <f t="shared" si="63"/>
        <v/>
      </c>
      <c r="O867" s="27" t="str">
        <f>IF(I867="","",_xlfn.XLOOKUP(I867,Lists!$C:$C,Lists!$J:$J))</f>
        <v/>
      </c>
      <c r="P867" s="27" t="str">
        <f>IF(I867="","",_xlfn.XLOOKUP(I867,Lists!$C:$C,Lists!$E:$E))</f>
        <v/>
      </c>
      <c r="Q867" s="28" t="str">
        <f t="shared" si="64"/>
        <v/>
      </c>
      <c r="R867" s="26" t="str">
        <f t="shared" ca="1" si="65"/>
        <v/>
      </c>
      <c r="S867" s="27" t="str">
        <f>IF(I867="","",_xlfn.XLOOKUP(I867,Lists!$C:$C,Lists!$I:$I))</f>
        <v/>
      </c>
    </row>
    <row r="868" spans="3:19" x14ac:dyDescent="0.2">
      <c r="C868" s="26">
        <f>_xlfn.XLOOKUP(B868,Lists!B:B,Lists!A:A,"")</f>
        <v>0</v>
      </c>
      <c r="G868" s="26" t="str">
        <f t="shared" si="61"/>
        <v/>
      </c>
      <c r="H868" s="31" t="str">
        <f t="shared" si="62"/>
        <v/>
      </c>
      <c r="J868" s="27" t="str">
        <f>IF(I868="","",_xlfn.XLOOKUP(I868,Lists!$C:$C,Lists!$D:$D))</f>
        <v/>
      </c>
      <c r="N868" s="26" t="str">
        <f t="shared" si="63"/>
        <v/>
      </c>
      <c r="O868" s="27" t="str">
        <f>IF(I868="","",_xlfn.XLOOKUP(I868,Lists!$C:$C,Lists!$J:$J))</f>
        <v/>
      </c>
      <c r="P868" s="27" t="str">
        <f>IF(I868="","",_xlfn.XLOOKUP(I868,Lists!$C:$C,Lists!$E:$E))</f>
        <v/>
      </c>
      <c r="Q868" s="28" t="str">
        <f t="shared" si="64"/>
        <v/>
      </c>
      <c r="R868" s="26" t="str">
        <f t="shared" ca="1" si="65"/>
        <v/>
      </c>
      <c r="S868" s="27" t="str">
        <f>IF(I868="","",_xlfn.XLOOKUP(I868,Lists!$C:$C,Lists!$I:$I))</f>
        <v/>
      </c>
    </row>
    <row r="869" spans="3:19" x14ac:dyDescent="0.2">
      <c r="C869" s="26">
        <f>_xlfn.XLOOKUP(B869,Lists!B:B,Lists!A:A,"")</f>
        <v>0</v>
      </c>
      <c r="G869" s="26" t="str">
        <f t="shared" si="61"/>
        <v/>
      </c>
      <c r="H869" s="31" t="str">
        <f t="shared" si="62"/>
        <v/>
      </c>
      <c r="J869" s="27" t="str">
        <f>IF(I869="","",_xlfn.XLOOKUP(I869,Lists!$C:$C,Lists!$D:$D))</f>
        <v/>
      </c>
      <c r="N869" s="26" t="str">
        <f t="shared" si="63"/>
        <v/>
      </c>
      <c r="O869" s="27" t="str">
        <f>IF(I869="","",_xlfn.XLOOKUP(I869,Lists!$C:$C,Lists!$J:$J))</f>
        <v/>
      </c>
      <c r="P869" s="27" t="str">
        <f>IF(I869="","",_xlfn.XLOOKUP(I869,Lists!$C:$C,Lists!$E:$E))</f>
        <v/>
      </c>
      <c r="Q869" s="28" t="str">
        <f t="shared" si="64"/>
        <v/>
      </c>
      <c r="R869" s="26" t="str">
        <f t="shared" ca="1" si="65"/>
        <v/>
      </c>
      <c r="S869" s="27" t="str">
        <f>IF(I869="","",_xlfn.XLOOKUP(I869,Lists!$C:$C,Lists!$I:$I))</f>
        <v/>
      </c>
    </row>
    <row r="870" spans="3:19" x14ac:dyDescent="0.2">
      <c r="C870" s="26">
        <f>_xlfn.XLOOKUP(B870,Lists!B:B,Lists!A:A,"")</f>
        <v>0</v>
      </c>
      <c r="G870" s="26" t="str">
        <f t="shared" si="61"/>
        <v/>
      </c>
      <c r="H870" s="31" t="str">
        <f t="shared" si="62"/>
        <v/>
      </c>
      <c r="J870" s="27" t="str">
        <f>IF(I870="","",_xlfn.XLOOKUP(I870,Lists!$C:$C,Lists!$D:$D))</f>
        <v/>
      </c>
      <c r="N870" s="26" t="str">
        <f t="shared" si="63"/>
        <v/>
      </c>
      <c r="O870" s="27" t="str">
        <f>IF(I870="","",_xlfn.XLOOKUP(I870,Lists!$C:$C,Lists!$J:$J))</f>
        <v/>
      </c>
      <c r="P870" s="27" t="str">
        <f>IF(I870="","",_xlfn.XLOOKUP(I870,Lists!$C:$C,Lists!$E:$E))</f>
        <v/>
      </c>
      <c r="Q870" s="28" t="str">
        <f t="shared" si="64"/>
        <v/>
      </c>
      <c r="R870" s="26" t="str">
        <f t="shared" ca="1" si="65"/>
        <v/>
      </c>
      <c r="S870" s="27" t="str">
        <f>IF(I870="","",_xlfn.XLOOKUP(I870,Lists!$C:$C,Lists!$I:$I))</f>
        <v/>
      </c>
    </row>
    <row r="871" spans="3:19" x14ac:dyDescent="0.2">
      <c r="C871" s="26">
        <f>_xlfn.XLOOKUP(B871,Lists!B:B,Lists!A:A,"")</f>
        <v>0</v>
      </c>
      <c r="G871" s="26" t="str">
        <f t="shared" si="61"/>
        <v/>
      </c>
      <c r="H871" s="31" t="str">
        <f t="shared" si="62"/>
        <v/>
      </c>
      <c r="J871" s="27" t="str">
        <f>IF(I871="","",_xlfn.XLOOKUP(I871,Lists!$C:$C,Lists!$D:$D))</f>
        <v/>
      </c>
      <c r="N871" s="26" t="str">
        <f t="shared" si="63"/>
        <v/>
      </c>
      <c r="O871" s="27" t="str">
        <f>IF(I871="","",_xlfn.XLOOKUP(I871,Lists!$C:$C,Lists!$J:$J))</f>
        <v/>
      </c>
      <c r="P871" s="27" t="str">
        <f>IF(I871="","",_xlfn.XLOOKUP(I871,Lists!$C:$C,Lists!$E:$E))</f>
        <v/>
      </c>
      <c r="Q871" s="28" t="str">
        <f t="shared" si="64"/>
        <v/>
      </c>
      <c r="R871" s="26" t="str">
        <f t="shared" ca="1" si="65"/>
        <v/>
      </c>
      <c r="S871" s="27" t="str">
        <f>IF(I871="","",_xlfn.XLOOKUP(I871,Lists!$C:$C,Lists!$I:$I))</f>
        <v/>
      </c>
    </row>
    <row r="872" spans="3:19" x14ac:dyDescent="0.2">
      <c r="C872" s="26">
        <f>_xlfn.XLOOKUP(B872,Lists!B:B,Lists!A:A,"")</f>
        <v>0</v>
      </c>
      <c r="G872" s="26" t="str">
        <f t="shared" si="61"/>
        <v/>
      </c>
      <c r="H872" s="31" t="str">
        <f t="shared" si="62"/>
        <v/>
      </c>
      <c r="J872" s="27" t="str">
        <f>IF(I872="","",_xlfn.XLOOKUP(I872,Lists!$C:$C,Lists!$D:$D))</f>
        <v/>
      </c>
      <c r="N872" s="26" t="str">
        <f t="shared" si="63"/>
        <v/>
      </c>
      <c r="O872" s="27" t="str">
        <f>IF(I872="","",_xlfn.XLOOKUP(I872,Lists!$C:$C,Lists!$J:$J))</f>
        <v/>
      </c>
      <c r="P872" s="27" t="str">
        <f>IF(I872="","",_xlfn.XLOOKUP(I872,Lists!$C:$C,Lists!$E:$E))</f>
        <v/>
      </c>
      <c r="Q872" s="28" t="str">
        <f t="shared" si="64"/>
        <v/>
      </c>
      <c r="R872" s="26" t="str">
        <f t="shared" ca="1" si="65"/>
        <v/>
      </c>
      <c r="S872" s="27" t="str">
        <f>IF(I872="","",_xlfn.XLOOKUP(I872,Lists!$C:$C,Lists!$I:$I))</f>
        <v/>
      </c>
    </row>
    <row r="873" spans="3:19" x14ac:dyDescent="0.2">
      <c r="C873" s="26">
        <f>_xlfn.XLOOKUP(B873,Lists!B:B,Lists!A:A,"")</f>
        <v>0</v>
      </c>
      <c r="G873" s="26" t="str">
        <f t="shared" si="61"/>
        <v/>
      </c>
      <c r="H873" s="31" t="str">
        <f t="shared" si="62"/>
        <v/>
      </c>
      <c r="J873" s="27" t="str">
        <f>IF(I873="","",_xlfn.XLOOKUP(I873,Lists!$C:$C,Lists!$D:$D))</f>
        <v/>
      </c>
      <c r="N873" s="26" t="str">
        <f t="shared" si="63"/>
        <v/>
      </c>
      <c r="O873" s="27" t="str">
        <f>IF(I873="","",_xlfn.XLOOKUP(I873,Lists!$C:$C,Lists!$J:$J))</f>
        <v/>
      </c>
      <c r="P873" s="27" t="str">
        <f>IF(I873="","",_xlfn.XLOOKUP(I873,Lists!$C:$C,Lists!$E:$E))</f>
        <v/>
      </c>
      <c r="Q873" s="28" t="str">
        <f t="shared" si="64"/>
        <v/>
      </c>
      <c r="R873" s="26" t="str">
        <f t="shared" ca="1" si="65"/>
        <v/>
      </c>
      <c r="S873" s="27" t="str">
        <f>IF(I873="","",_xlfn.XLOOKUP(I873,Lists!$C:$C,Lists!$I:$I))</f>
        <v/>
      </c>
    </row>
    <row r="874" spans="3:19" x14ac:dyDescent="0.2">
      <c r="C874" s="26">
        <f>_xlfn.XLOOKUP(B874,Lists!B:B,Lists!A:A,"")</f>
        <v>0</v>
      </c>
      <c r="G874" s="26" t="str">
        <f t="shared" si="61"/>
        <v/>
      </c>
      <c r="H874" s="31" t="str">
        <f t="shared" si="62"/>
        <v/>
      </c>
      <c r="J874" s="27" t="str">
        <f>IF(I874="","",_xlfn.XLOOKUP(I874,Lists!$C:$C,Lists!$D:$D))</f>
        <v/>
      </c>
      <c r="N874" s="26" t="str">
        <f t="shared" si="63"/>
        <v/>
      </c>
      <c r="O874" s="27" t="str">
        <f>IF(I874="","",_xlfn.XLOOKUP(I874,Lists!$C:$C,Lists!$J:$J))</f>
        <v/>
      </c>
      <c r="P874" s="27" t="str">
        <f>IF(I874="","",_xlfn.XLOOKUP(I874,Lists!$C:$C,Lists!$E:$E))</f>
        <v/>
      </c>
      <c r="Q874" s="28" t="str">
        <f t="shared" si="64"/>
        <v/>
      </c>
      <c r="R874" s="26" t="str">
        <f t="shared" ca="1" si="65"/>
        <v/>
      </c>
      <c r="S874" s="27" t="str">
        <f>IF(I874="","",_xlfn.XLOOKUP(I874,Lists!$C:$C,Lists!$I:$I))</f>
        <v/>
      </c>
    </row>
    <row r="875" spans="3:19" x14ac:dyDescent="0.2">
      <c r="C875" s="26">
        <f>_xlfn.XLOOKUP(B875,Lists!B:B,Lists!A:A,"")</f>
        <v>0</v>
      </c>
      <c r="G875" s="26" t="str">
        <f t="shared" si="61"/>
        <v/>
      </c>
      <c r="H875" s="31" t="str">
        <f t="shared" si="62"/>
        <v/>
      </c>
      <c r="J875" s="27" t="str">
        <f>IF(I875="","",_xlfn.XLOOKUP(I875,Lists!$C:$C,Lists!$D:$D))</f>
        <v/>
      </c>
      <c r="N875" s="26" t="str">
        <f t="shared" si="63"/>
        <v/>
      </c>
      <c r="O875" s="27" t="str">
        <f>IF(I875="","",_xlfn.XLOOKUP(I875,Lists!$C:$C,Lists!$J:$J))</f>
        <v/>
      </c>
      <c r="P875" s="27" t="str">
        <f>IF(I875="","",_xlfn.XLOOKUP(I875,Lists!$C:$C,Lists!$E:$E))</f>
        <v/>
      </c>
      <c r="Q875" s="28" t="str">
        <f t="shared" si="64"/>
        <v/>
      </c>
      <c r="R875" s="26" t="str">
        <f t="shared" ca="1" si="65"/>
        <v/>
      </c>
      <c r="S875" s="27" t="str">
        <f>IF(I875="","",_xlfn.XLOOKUP(I875,Lists!$C:$C,Lists!$I:$I))</f>
        <v/>
      </c>
    </row>
    <row r="876" spans="3:19" x14ac:dyDescent="0.2">
      <c r="C876" s="26">
        <f>_xlfn.XLOOKUP(B876,Lists!B:B,Lists!A:A,"")</f>
        <v>0</v>
      </c>
      <c r="G876" s="26" t="str">
        <f t="shared" si="61"/>
        <v/>
      </c>
      <c r="H876" s="31" t="str">
        <f t="shared" si="62"/>
        <v/>
      </c>
      <c r="J876" s="27" t="str">
        <f>IF(I876="","",_xlfn.XLOOKUP(I876,Lists!$C:$C,Lists!$D:$D))</f>
        <v/>
      </c>
      <c r="N876" s="26" t="str">
        <f t="shared" si="63"/>
        <v/>
      </c>
      <c r="O876" s="27" t="str">
        <f>IF(I876="","",_xlfn.XLOOKUP(I876,Lists!$C:$C,Lists!$J:$J))</f>
        <v/>
      </c>
      <c r="P876" s="27" t="str">
        <f>IF(I876="","",_xlfn.XLOOKUP(I876,Lists!$C:$C,Lists!$E:$E))</f>
        <v/>
      </c>
      <c r="Q876" s="28" t="str">
        <f t="shared" si="64"/>
        <v/>
      </c>
      <c r="R876" s="26" t="str">
        <f t="shared" ca="1" si="65"/>
        <v/>
      </c>
      <c r="S876" s="27" t="str">
        <f>IF(I876="","",_xlfn.XLOOKUP(I876,Lists!$C:$C,Lists!$I:$I))</f>
        <v/>
      </c>
    </row>
    <row r="877" spans="3:19" x14ac:dyDescent="0.2">
      <c r="C877" s="26">
        <f>_xlfn.XLOOKUP(B877,Lists!B:B,Lists!A:A,"")</f>
        <v>0</v>
      </c>
      <c r="G877" s="26" t="str">
        <f t="shared" si="61"/>
        <v/>
      </c>
      <c r="H877" s="31" t="str">
        <f t="shared" si="62"/>
        <v/>
      </c>
      <c r="J877" s="27" t="str">
        <f>IF(I877="","",_xlfn.XLOOKUP(I877,Lists!$C:$C,Lists!$D:$D))</f>
        <v/>
      </c>
      <c r="N877" s="26" t="str">
        <f t="shared" si="63"/>
        <v/>
      </c>
      <c r="O877" s="27" t="str">
        <f>IF(I877="","",_xlfn.XLOOKUP(I877,Lists!$C:$C,Lists!$J:$J))</f>
        <v/>
      </c>
      <c r="P877" s="27" t="str">
        <f>IF(I877="","",_xlfn.XLOOKUP(I877,Lists!$C:$C,Lists!$E:$E))</f>
        <v/>
      </c>
      <c r="Q877" s="28" t="str">
        <f t="shared" si="64"/>
        <v/>
      </c>
      <c r="R877" s="26" t="str">
        <f t="shared" ca="1" si="65"/>
        <v/>
      </c>
      <c r="S877" s="27" t="str">
        <f>IF(I877="","",_xlfn.XLOOKUP(I877,Lists!$C:$C,Lists!$I:$I))</f>
        <v/>
      </c>
    </row>
    <row r="878" spans="3:19" x14ac:dyDescent="0.2">
      <c r="C878" s="26">
        <f>_xlfn.XLOOKUP(B878,Lists!B:B,Lists!A:A,"")</f>
        <v>0</v>
      </c>
      <c r="G878" s="26" t="str">
        <f t="shared" si="61"/>
        <v/>
      </c>
      <c r="H878" s="31" t="str">
        <f t="shared" si="62"/>
        <v/>
      </c>
      <c r="J878" s="27" t="str">
        <f>IF(I878="","",_xlfn.XLOOKUP(I878,Lists!$C:$C,Lists!$D:$D))</f>
        <v/>
      </c>
      <c r="N878" s="26" t="str">
        <f t="shared" si="63"/>
        <v/>
      </c>
      <c r="O878" s="27" t="str">
        <f>IF(I878="","",_xlfn.XLOOKUP(I878,Lists!$C:$C,Lists!$J:$J))</f>
        <v/>
      </c>
      <c r="P878" s="27" t="str">
        <f>IF(I878="","",_xlfn.XLOOKUP(I878,Lists!$C:$C,Lists!$E:$E))</f>
        <v/>
      </c>
      <c r="Q878" s="28" t="str">
        <f t="shared" si="64"/>
        <v/>
      </c>
      <c r="R878" s="26" t="str">
        <f t="shared" ca="1" si="65"/>
        <v/>
      </c>
      <c r="S878" s="27" t="str">
        <f>IF(I878="","",_xlfn.XLOOKUP(I878,Lists!$C:$C,Lists!$I:$I))</f>
        <v/>
      </c>
    </row>
    <row r="879" spans="3:19" x14ac:dyDescent="0.2">
      <c r="C879" s="26">
        <f>_xlfn.XLOOKUP(B879,Lists!B:B,Lists!A:A,"")</f>
        <v>0</v>
      </c>
      <c r="G879" s="26" t="str">
        <f t="shared" si="61"/>
        <v/>
      </c>
      <c r="H879" s="31" t="str">
        <f t="shared" si="62"/>
        <v/>
      </c>
      <c r="J879" s="27" t="str">
        <f>IF(I879="","",_xlfn.XLOOKUP(I879,Lists!$C:$C,Lists!$D:$D))</f>
        <v/>
      </c>
      <c r="N879" s="26" t="str">
        <f t="shared" si="63"/>
        <v/>
      </c>
      <c r="O879" s="27" t="str">
        <f>IF(I879="","",_xlfn.XLOOKUP(I879,Lists!$C:$C,Lists!$J:$J))</f>
        <v/>
      </c>
      <c r="P879" s="27" t="str">
        <f>IF(I879="","",_xlfn.XLOOKUP(I879,Lists!$C:$C,Lists!$E:$E))</f>
        <v/>
      </c>
      <c r="Q879" s="28" t="str">
        <f t="shared" si="64"/>
        <v/>
      </c>
      <c r="R879" s="26" t="str">
        <f t="shared" ca="1" si="65"/>
        <v/>
      </c>
      <c r="S879" s="27" t="str">
        <f>IF(I879="","",_xlfn.XLOOKUP(I879,Lists!$C:$C,Lists!$I:$I))</f>
        <v/>
      </c>
    </row>
    <row r="880" spans="3:19" x14ac:dyDescent="0.2">
      <c r="C880" s="26">
        <f>_xlfn.XLOOKUP(B880,Lists!B:B,Lists!A:A,"")</f>
        <v>0</v>
      </c>
      <c r="G880" s="26" t="str">
        <f t="shared" si="61"/>
        <v/>
      </c>
      <c r="H880" s="31" t="str">
        <f t="shared" si="62"/>
        <v/>
      </c>
      <c r="J880" s="27" t="str">
        <f>IF(I880="","",_xlfn.XLOOKUP(I880,Lists!$C:$C,Lists!$D:$D))</f>
        <v/>
      </c>
      <c r="N880" s="26" t="str">
        <f t="shared" si="63"/>
        <v/>
      </c>
      <c r="O880" s="27" t="str">
        <f>IF(I880="","",_xlfn.XLOOKUP(I880,Lists!$C:$C,Lists!$J:$J))</f>
        <v/>
      </c>
      <c r="P880" s="27" t="str">
        <f>IF(I880="","",_xlfn.XLOOKUP(I880,Lists!$C:$C,Lists!$E:$E))</f>
        <v/>
      </c>
      <c r="Q880" s="28" t="str">
        <f t="shared" si="64"/>
        <v/>
      </c>
      <c r="R880" s="26" t="str">
        <f t="shared" ca="1" si="65"/>
        <v/>
      </c>
      <c r="S880" s="27" t="str">
        <f>IF(I880="","",_xlfn.XLOOKUP(I880,Lists!$C:$C,Lists!$I:$I))</f>
        <v/>
      </c>
    </row>
    <row r="881" spans="3:19" x14ac:dyDescent="0.2">
      <c r="C881" s="26">
        <f>_xlfn.XLOOKUP(B881,Lists!B:B,Lists!A:A,"")</f>
        <v>0</v>
      </c>
      <c r="G881" s="26" t="str">
        <f t="shared" si="61"/>
        <v/>
      </c>
      <c r="H881" s="31" t="str">
        <f t="shared" si="62"/>
        <v/>
      </c>
      <c r="J881" s="27" t="str">
        <f>IF(I881="","",_xlfn.XLOOKUP(I881,Lists!$C:$C,Lists!$D:$D))</f>
        <v/>
      </c>
      <c r="N881" s="26" t="str">
        <f t="shared" si="63"/>
        <v/>
      </c>
      <c r="O881" s="27" t="str">
        <f>IF(I881="","",_xlfn.XLOOKUP(I881,Lists!$C:$C,Lists!$J:$J))</f>
        <v/>
      </c>
      <c r="P881" s="27" t="str">
        <f>IF(I881="","",_xlfn.XLOOKUP(I881,Lists!$C:$C,Lists!$E:$E))</f>
        <v/>
      </c>
      <c r="Q881" s="28" t="str">
        <f t="shared" si="64"/>
        <v/>
      </c>
      <c r="R881" s="26" t="str">
        <f t="shared" ca="1" si="65"/>
        <v/>
      </c>
      <c r="S881" s="27" t="str">
        <f>IF(I881="","",_xlfn.XLOOKUP(I881,Lists!$C:$C,Lists!$I:$I))</f>
        <v/>
      </c>
    </row>
    <row r="882" spans="3:19" x14ac:dyDescent="0.2">
      <c r="C882" s="26">
        <f>_xlfn.XLOOKUP(B882,Lists!B:B,Lists!A:A,"")</f>
        <v>0</v>
      </c>
      <c r="G882" s="26" t="str">
        <f t="shared" si="61"/>
        <v/>
      </c>
      <c r="H882" s="31" t="str">
        <f t="shared" si="62"/>
        <v/>
      </c>
      <c r="J882" s="27" t="str">
        <f>IF(I882="","",_xlfn.XLOOKUP(I882,Lists!$C:$C,Lists!$D:$D))</f>
        <v/>
      </c>
      <c r="N882" s="26" t="str">
        <f t="shared" si="63"/>
        <v/>
      </c>
      <c r="O882" s="27" t="str">
        <f>IF(I882="","",_xlfn.XLOOKUP(I882,Lists!$C:$C,Lists!$J:$J))</f>
        <v/>
      </c>
      <c r="P882" s="27" t="str">
        <f>IF(I882="","",_xlfn.XLOOKUP(I882,Lists!$C:$C,Lists!$E:$E))</f>
        <v/>
      </c>
      <c r="Q882" s="28" t="str">
        <f t="shared" si="64"/>
        <v/>
      </c>
      <c r="R882" s="26" t="str">
        <f t="shared" ca="1" si="65"/>
        <v/>
      </c>
      <c r="S882" s="27" t="str">
        <f>IF(I882="","",_xlfn.XLOOKUP(I882,Lists!$C:$C,Lists!$I:$I))</f>
        <v/>
      </c>
    </row>
    <row r="883" spans="3:19" x14ac:dyDescent="0.2">
      <c r="C883" s="26">
        <f>_xlfn.XLOOKUP(B883,Lists!B:B,Lists!A:A,"")</f>
        <v>0</v>
      </c>
      <c r="G883" s="26" t="str">
        <f t="shared" si="61"/>
        <v/>
      </c>
      <c r="H883" s="31" t="str">
        <f t="shared" si="62"/>
        <v/>
      </c>
      <c r="J883" s="27" t="str">
        <f>IF(I883="","",_xlfn.XLOOKUP(I883,Lists!$C:$C,Lists!$D:$D))</f>
        <v/>
      </c>
      <c r="N883" s="26" t="str">
        <f t="shared" si="63"/>
        <v/>
      </c>
      <c r="O883" s="27" t="str">
        <f>IF(I883="","",_xlfn.XLOOKUP(I883,Lists!$C:$C,Lists!$J:$J))</f>
        <v/>
      </c>
      <c r="P883" s="27" t="str">
        <f>IF(I883="","",_xlfn.XLOOKUP(I883,Lists!$C:$C,Lists!$E:$E))</f>
        <v/>
      </c>
      <c r="Q883" s="28" t="str">
        <f t="shared" si="64"/>
        <v/>
      </c>
      <c r="R883" s="26" t="str">
        <f t="shared" ca="1" si="65"/>
        <v/>
      </c>
      <c r="S883" s="27" t="str">
        <f>IF(I883="","",_xlfn.XLOOKUP(I883,Lists!$C:$C,Lists!$I:$I))</f>
        <v/>
      </c>
    </row>
    <row r="884" spans="3:19" x14ac:dyDescent="0.2">
      <c r="C884" s="26">
        <f>_xlfn.XLOOKUP(B884,Lists!B:B,Lists!A:A,"")</f>
        <v>0</v>
      </c>
      <c r="G884" s="26" t="str">
        <f t="shared" si="61"/>
        <v/>
      </c>
      <c r="H884" s="31" t="str">
        <f t="shared" si="62"/>
        <v/>
      </c>
      <c r="J884" s="27" t="str">
        <f>IF(I884="","",_xlfn.XLOOKUP(I884,Lists!$C:$C,Lists!$D:$D))</f>
        <v/>
      </c>
      <c r="N884" s="26" t="str">
        <f t="shared" si="63"/>
        <v/>
      </c>
      <c r="O884" s="27" t="str">
        <f>IF(I884="","",_xlfn.XLOOKUP(I884,Lists!$C:$C,Lists!$J:$J))</f>
        <v/>
      </c>
      <c r="P884" s="27" t="str">
        <f>IF(I884="","",_xlfn.XLOOKUP(I884,Lists!$C:$C,Lists!$E:$E))</f>
        <v/>
      </c>
      <c r="Q884" s="28" t="str">
        <f t="shared" si="64"/>
        <v/>
      </c>
      <c r="R884" s="26" t="str">
        <f t="shared" ca="1" si="65"/>
        <v/>
      </c>
      <c r="S884" s="27" t="str">
        <f>IF(I884="","",_xlfn.XLOOKUP(I884,Lists!$C:$C,Lists!$I:$I))</f>
        <v/>
      </c>
    </row>
    <row r="885" spans="3:19" x14ac:dyDescent="0.2">
      <c r="C885" s="26">
        <f>_xlfn.XLOOKUP(B885,Lists!B:B,Lists!A:A,"")</f>
        <v>0</v>
      </c>
      <c r="G885" s="26" t="str">
        <f t="shared" si="61"/>
        <v/>
      </c>
      <c r="H885" s="31" t="str">
        <f t="shared" si="62"/>
        <v/>
      </c>
      <c r="J885" s="27" t="str">
        <f>IF(I885="","",_xlfn.XLOOKUP(I885,Lists!$C:$C,Lists!$D:$D))</f>
        <v/>
      </c>
      <c r="N885" s="26" t="str">
        <f t="shared" si="63"/>
        <v/>
      </c>
      <c r="O885" s="27" t="str">
        <f>IF(I885="","",_xlfn.XLOOKUP(I885,Lists!$C:$C,Lists!$J:$J))</f>
        <v/>
      </c>
      <c r="P885" s="27" t="str">
        <f>IF(I885="","",_xlfn.XLOOKUP(I885,Lists!$C:$C,Lists!$E:$E))</f>
        <v/>
      </c>
      <c r="Q885" s="28" t="str">
        <f t="shared" si="64"/>
        <v/>
      </c>
      <c r="R885" s="26" t="str">
        <f t="shared" ca="1" si="65"/>
        <v/>
      </c>
      <c r="S885" s="27" t="str">
        <f>IF(I885="","",_xlfn.XLOOKUP(I885,Lists!$C:$C,Lists!$I:$I))</f>
        <v/>
      </c>
    </row>
    <row r="886" spans="3:19" x14ac:dyDescent="0.2">
      <c r="C886" s="26">
        <f>_xlfn.XLOOKUP(B886,Lists!B:B,Lists!A:A,"")</f>
        <v>0</v>
      </c>
      <c r="G886" s="26" t="str">
        <f t="shared" si="61"/>
        <v/>
      </c>
      <c r="H886" s="31" t="str">
        <f t="shared" si="62"/>
        <v/>
      </c>
      <c r="J886" s="27" t="str">
        <f>IF(I886="","",_xlfn.XLOOKUP(I886,Lists!$C:$C,Lists!$D:$D))</f>
        <v/>
      </c>
      <c r="N886" s="26" t="str">
        <f t="shared" si="63"/>
        <v/>
      </c>
      <c r="O886" s="27" t="str">
        <f>IF(I886="","",_xlfn.XLOOKUP(I886,Lists!$C:$C,Lists!$J:$J))</f>
        <v/>
      </c>
      <c r="P886" s="27" t="str">
        <f>IF(I886="","",_xlfn.XLOOKUP(I886,Lists!$C:$C,Lists!$E:$E))</f>
        <v/>
      </c>
      <c r="Q886" s="28" t="str">
        <f t="shared" si="64"/>
        <v/>
      </c>
      <c r="R886" s="26" t="str">
        <f t="shared" ca="1" si="65"/>
        <v/>
      </c>
      <c r="S886" s="27" t="str">
        <f>IF(I886="","",_xlfn.XLOOKUP(I886,Lists!$C:$C,Lists!$I:$I))</f>
        <v/>
      </c>
    </row>
    <row r="887" spans="3:19" x14ac:dyDescent="0.2">
      <c r="C887" s="26">
        <f>_xlfn.XLOOKUP(B887,Lists!B:B,Lists!A:A,"")</f>
        <v>0</v>
      </c>
      <c r="G887" s="26" t="str">
        <f t="shared" si="61"/>
        <v/>
      </c>
      <c r="H887" s="31" t="str">
        <f t="shared" si="62"/>
        <v/>
      </c>
      <c r="J887" s="27" t="str">
        <f>IF(I887="","",_xlfn.XLOOKUP(I887,Lists!$C:$C,Lists!$D:$D))</f>
        <v/>
      </c>
      <c r="N887" s="26" t="str">
        <f t="shared" si="63"/>
        <v/>
      </c>
      <c r="O887" s="27" t="str">
        <f>IF(I887="","",_xlfn.XLOOKUP(I887,Lists!$C:$C,Lists!$J:$J))</f>
        <v/>
      </c>
      <c r="P887" s="27" t="str">
        <f>IF(I887="","",_xlfn.XLOOKUP(I887,Lists!$C:$C,Lists!$E:$E))</f>
        <v/>
      </c>
      <c r="Q887" s="28" t="str">
        <f t="shared" si="64"/>
        <v/>
      </c>
      <c r="R887" s="26" t="str">
        <f t="shared" ca="1" si="65"/>
        <v/>
      </c>
      <c r="S887" s="27" t="str">
        <f>IF(I887="","",_xlfn.XLOOKUP(I887,Lists!$C:$C,Lists!$I:$I))</f>
        <v/>
      </c>
    </row>
    <row r="888" spans="3:19" x14ac:dyDescent="0.2">
      <c r="C888" s="26">
        <f>_xlfn.XLOOKUP(B888,Lists!B:B,Lists!A:A,"")</f>
        <v>0</v>
      </c>
      <c r="G888" s="26" t="str">
        <f t="shared" si="61"/>
        <v/>
      </c>
      <c r="H888" s="31" t="str">
        <f t="shared" si="62"/>
        <v/>
      </c>
      <c r="J888" s="27" t="str">
        <f>IF(I888="","",_xlfn.XLOOKUP(I888,Lists!$C:$C,Lists!$D:$D))</f>
        <v/>
      </c>
      <c r="N888" s="26" t="str">
        <f t="shared" si="63"/>
        <v/>
      </c>
      <c r="O888" s="27" t="str">
        <f>IF(I888="","",_xlfn.XLOOKUP(I888,Lists!$C:$C,Lists!$J:$J))</f>
        <v/>
      </c>
      <c r="P888" s="27" t="str">
        <f>IF(I888="","",_xlfn.XLOOKUP(I888,Lists!$C:$C,Lists!$E:$E))</f>
        <v/>
      </c>
      <c r="Q888" s="28" t="str">
        <f t="shared" si="64"/>
        <v/>
      </c>
      <c r="R888" s="26" t="str">
        <f t="shared" ca="1" si="65"/>
        <v/>
      </c>
      <c r="S888" s="27" t="str">
        <f>IF(I888="","",_xlfn.XLOOKUP(I888,Lists!$C:$C,Lists!$I:$I))</f>
        <v/>
      </c>
    </row>
    <row r="889" spans="3:19" x14ac:dyDescent="0.2">
      <c r="C889" s="26">
        <f>_xlfn.XLOOKUP(B889,Lists!B:B,Lists!A:A,"")</f>
        <v>0</v>
      </c>
      <c r="G889" s="26" t="str">
        <f t="shared" si="61"/>
        <v/>
      </c>
      <c r="H889" s="31" t="str">
        <f t="shared" si="62"/>
        <v/>
      </c>
      <c r="J889" s="27" t="str">
        <f>IF(I889="","",_xlfn.XLOOKUP(I889,Lists!$C:$C,Lists!$D:$D))</f>
        <v/>
      </c>
      <c r="N889" s="26" t="str">
        <f t="shared" si="63"/>
        <v/>
      </c>
      <c r="O889" s="27" t="str">
        <f>IF(I889="","",_xlfn.XLOOKUP(I889,Lists!$C:$C,Lists!$J:$J))</f>
        <v/>
      </c>
      <c r="P889" s="27" t="str">
        <f>IF(I889="","",_xlfn.XLOOKUP(I889,Lists!$C:$C,Lists!$E:$E))</f>
        <v/>
      </c>
      <c r="Q889" s="28" t="str">
        <f t="shared" si="64"/>
        <v/>
      </c>
      <c r="R889" s="26" t="str">
        <f t="shared" ca="1" si="65"/>
        <v/>
      </c>
      <c r="S889" s="27" t="str">
        <f>IF(I889="","",_xlfn.XLOOKUP(I889,Lists!$C:$C,Lists!$I:$I))</f>
        <v/>
      </c>
    </row>
    <row r="890" spans="3:19" x14ac:dyDescent="0.2">
      <c r="C890" s="26">
        <f>_xlfn.XLOOKUP(B890,Lists!B:B,Lists!A:A,"")</f>
        <v>0</v>
      </c>
      <c r="G890" s="26" t="str">
        <f t="shared" si="61"/>
        <v/>
      </c>
      <c r="H890" s="31" t="str">
        <f t="shared" si="62"/>
        <v/>
      </c>
      <c r="J890" s="27" t="str">
        <f>IF(I890="","",_xlfn.XLOOKUP(I890,Lists!$C:$C,Lists!$D:$D))</f>
        <v/>
      </c>
      <c r="N890" s="26" t="str">
        <f t="shared" si="63"/>
        <v/>
      </c>
      <c r="O890" s="27" t="str">
        <f>IF(I890="","",_xlfn.XLOOKUP(I890,Lists!$C:$C,Lists!$J:$J))</f>
        <v/>
      </c>
      <c r="P890" s="27" t="str">
        <f>IF(I890="","",_xlfn.XLOOKUP(I890,Lists!$C:$C,Lists!$E:$E))</f>
        <v/>
      </c>
      <c r="Q890" s="28" t="str">
        <f t="shared" si="64"/>
        <v/>
      </c>
      <c r="R890" s="26" t="str">
        <f t="shared" ca="1" si="65"/>
        <v/>
      </c>
      <c r="S890" s="27" t="str">
        <f>IF(I890="","",_xlfn.XLOOKUP(I890,Lists!$C:$C,Lists!$I:$I))</f>
        <v/>
      </c>
    </row>
    <row r="891" spans="3:19" x14ac:dyDescent="0.2">
      <c r="C891" s="26">
        <f>_xlfn.XLOOKUP(B891,Lists!B:B,Lists!A:A,"")</f>
        <v>0</v>
      </c>
      <c r="G891" s="26" t="str">
        <f t="shared" si="61"/>
        <v/>
      </c>
      <c r="H891" s="31" t="str">
        <f t="shared" si="62"/>
        <v/>
      </c>
      <c r="J891" s="27" t="str">
        <f>IF(I891="","",_xlfn.XLOOKUP(I891,Lists!$C:$C,Lists!$D:$D))</f>
        <v/>
      </c>
      <c r="N891" s="26" t="str">
        <f t="shared" si="63"/>
        <v/>
      </c>
      <c r="O891" s="27" t="str">
        <f>IF(I891="","",_xlfn.XLOOKUP(I891,Lists!$C:$C,Lists!$J:$J))</f>
        <v/>
      </c>
      <c r="P891" s="27" t="str">
        <f>IF(I891="","",_xlfn.XLOOKUP(I891,Lists!$C:$C,Lists!$E:$E))</f>
        <v/>
      </c>
      <c r="Q891" s="28" t="str">
        <f t="shared" si="64"/>
        <v/>
      </c>
      <c r="R891" s="26" t="str">
        <f t="shared" ca="1" si="65"/>
        <v/>
      </c>
      <c r="S891" s="27" t="str">
        <f>IF(I891="","",_xlfn.XLOOKUP(I891,Lists!$C:$C,Lists!$I:$I))</f>
        <v/>
      </c>
    </row>
    <row r="892" spans="3:19" x14ac:dyDescent="0.2">
      <c r="C892" s="26">
        <f>_xlfn.XLOOKUP(B892,Lists!B:B,Lists!A:A,"")</f>
        <v>0</v>
      </c>
      <c r="G892" s="26" t="str">
        <f t="shared" si="61"/>
        <v/>
      </c>
      <c r="H892" s="31" t="str">
        <f t="shared" si="62"/>
        <v/>
      </c>
      <c r="J892" s="27" t="str">
        <f>IF(I892="","",_xlfn.XLOOKUP(I892,Lists!$C:$C,Lists!$D:$D))</f>
        <v/>
      </c>
      <c r="N892" s="26" t="str">
        <f t="shared" si="63"/>
        <v/>
      </c>
      <c r="O892" s="27" t="str">
        <f>IF(I892="","",_xlfn.XLOOKUP(I892,Lists!$C:$C,Lists!$J:$J))</f>
        <v/>
      </c>
      <c r="P892" s="27" t="str">
        <f>IF(I892="","",_xlfn.XLOOKUP(I892,Lists!$C:$C,Lists!$E:$E))</f>
        <v/>
      </c>
      <c r="Q892" s="28" t="str">
        <f t="shared" si="64"/>
        <v/>
      </c>
      <c r="R892" s="26" t="str">
        <f t="shared" ca="1" si="65"/>
        <v/>
      </c>
      <c r="S892" s="27" t="str">
        <f>IF(I892="","",_xlfn.XLOOKUP(I892,Lists!$C:$C,Lists!$I:$I))</f>
        <v/>
      </c>
    </row>
    <row r="893" spans="3:19" x14ac:dyDescent="0.2">
      <c r="C893" s="26">
        <f>_xlfn.XLOOKUP(B893,Lists!B:B,Lists!A:A,"")</f>
        <v>0</v>
      </c>
      <c r="G893" s="26" t="str">
        <f t="shared" si="61"/>
        <v/>
      </c>
      <c r="H893" s="31" t="str">
        <f t="shared" si="62"/>
        <v/>
      </c>
      <c r="J893" s="27" t="str">
        <f>IF(I893="","",_xlfn.XLOOKUP(I893,Lists!$C:$C,Lists!$D:$D))</f>
        <v/>
      </c>
      <c r="N893" s="26" t="str">
        <f t="shared" si="63"/>
        <v/>
      </c>
      <c r="O893" s="27" t="str">
        <f>IF(I893="","",_xlfn.XLOOKUP(I893,Lists!$C:$C,Lists!$J:$J))</f>
        <v/>
      </c>
      <c r="P893" s="27" t="str">
        <f>IF(I893="","",_xlfn.XLOOKUP(I893,Lists!$C:$C,Lists!$E:$E))</f>
        <v/>
      </c>
      <c r="Q893" s="28" t="str">
        <f t="shared" si="64"/>
        <v/>
      </c>
      <c r="R893" s="26" t="str">
        <f t="shared" ca="1" si="65"/>
        <v/>
      </c>
      <c r="S893" s="27" t="str">
        <f>IF(I893="","",_xlfn.XLOOKUP(I893,Lists!$C:$C,Lists!$I:$I))</f>
        <v/>
      </c>
    </row>
    <row r="894" spans="3:19" x14ac:dyDescent="0.2">
      <c r="C894" s="26">
        <f>_xlfn.XLOOKUP(B894,Lists!B:B,Lists!A:A,"")</f>
        <v>0</v>
      </c>
      <c r="G894" s="26" t="str">
        <f t="shared" si="61"/>
        <v/>
      </c>
      <c r="H894" s="31" t="str">
        <f t="shared" si="62"/>
        <v/>
      </c>
      <c r="J894" s="27" t="str">
        <f>IF(I894="","",_xlfn.XLOOKUP(I894,Lists!$C:$C,Lists!$D:$D))</f>
        <v/>
      </c>
      <c r="N894" s="26" t="str">
        <f t="shared" si="63"/>
        <v/>
      </c>
      <c r="O894" s="27" t="str">
        <f>IF(I894="","",_xlfn.XLOOKUP(I894,Lists!$C:$C,Lists!$J:$J))</f>
        <v/>
      </c>
      <c r="P894" s="27" t="str">
        <f>IF(I894="","",_xlfn.XLOOKUP(I894,Lists!$C:$C,Lists!$E:$E))</f>
        <v/>
      </c>
      <c r="Q894" s="28" t="str">
        <f t="shared" si="64"/>
        <v/>
      </c>
      <c r="R894" s="26" t="str">
        <f t="shared" ca="1" si="65"/>
        <v/>
      </c>
      <c r="S894" s="27" t="str">
        <f>IF(I894="","",_xlfn.XLOOKUP(I894,Lists!$C:$C,Lists!$I:$I))</f>
        <v/>
      </c>
    </row>
    <row r="895" spans="3:19" x14ac:dyDescent="0.2">
      <c r="C895" s="26">
        <f>_xlfn.XLOOKUP(B895,Lists!B:B,Lists!A:A,"")</f>
        <v>0</v>
      </c>
      <c r="G895" s="26" t="str">
        <f t="shared" si="61"/>
        <v/>
      </c>
      <c r="H895" s="31" t="str">
        <f t="shared" si="62"/>
        <v/>
      </c>
      <c r="J895" s="27" t="str">
        <f>IF(I895="","",_xlfn.XLOOKUP(I895,Lists!$C:$C,Lists!$D:$D))</f>
        <v/>
      </c>
      <c r="N895" s="26" t="str">
        <f t="shared" si="63"/>
        <v/>
      </c>
      <c r="O895" s="27" t="str">
        <f>IF(I895="","",_xlfn.XLOOKUP(I895,Lists!$C:$C,Lists!$J:$J))</f>
        <v/>
      </c>
      <c r="P895" s="27" t="str">
        <f>IF(I895="","",_xlfn.XLOOKUP(I895,Lists!$C:$C,Lists!$E:$E))</f>
        <v/>
      </c>
      <c r="Q895" s="28" t="str">
        <f t="shared" si="64"/>
        <v/>
      </c>
      <c r="R895" s="26" t="str">
        <f t="shared" ca="1" si="65"/>
        <v/>
      </c>
      <c r="S895" s="27" t="str">
        <f>IF(I895="","",_xlfn.XLOOKUP(I895,Lists!$C:$C,Lists!$I:$I))</f>
        <v/>
      </c>
    </row>
    <row r="896" spans="3:19" x14ac:dyDescent="0.2">
      <c r="C896" s="26">
        <f>_xlfn.XLOOKUP(B896,Lists!B:B,Lists!A:A,"")</f>
        <v>0</v>
      </c>
      <c r="G896" s="26" t="str">
        <f t="shared" si="61"/>
        <v/>
      </c>
      <c r="H896" s="31" t="str">
        <f t="shared" si="62"/>
        <v/>
      </c>
      <c r="J896" s="27" t="str">
        <f>IF(I896="","",_xlfn.XLOOKUP(I896,Lists!$C:$C,Lists!$D:$D))</f>
        <v/>
      </c>
      <c r="N896" s="26" t="str">
        <f t="shared" si="63"/>
        <v/>
      </c>
      <c r="O896" s="27" t="str">
        <f>IF(I896="","",_xlfn.XLOOKUP(I896,Lists!$C:$C,Lists!$J:$J))</f>
        <v/>
      </c>
      <c r="P896" s="27" t="str">
        <f>IF(I896="","",_xlfn.XLOOKUP(I896,Lists!$C:$C,Lists!$E:$E))</f>
        <v/>
      </c>
      <c r="Q896" s="28" t="str">
        <f t="shared" si="64"/>
        <v/>
      </c>
      <c r="R896" s="26" t="str">
        <f t="shared" ca="1" si="65"/>
        <v/>
      </c>
      <c r="S896" s="27" t="str">
        <f>IF(I896="","",_xlfn.XLOOKUP(I896,Lists!$C:$C,Lists!$I:$I))</f>
        <v/>
      </c>
    </row>
    <row r="897" spans="3:19" x14ac:dyDescent="0.2">
      <c r="C897" s="26">
        <f>_xlfn.XLOOKUP(B897,Lists!B:B,Lists!A:A,"")</f>
        <v>0</v>
      </c>
      <c r="G897" s="26" t="str">
        <f t="shared" si="61"/>
        <v/>
      </c>
      <c r="H897" s="31" t="str">
        <f t="shared" si="62"/>
        <v/>
      </c>
      <c r="J897" s="27" t="str">
        <f>IF(I897="","",_xlfn.XLOOKUP(I897,Lists!$C:$C,Lists!$D:$D))</f>
        <v/>
      </c>
      <c r="N897" s="26" t="str">
        <f t="shared" si="63"/>
        <v/>
      </c>
      <c r="O897" s="27" t="str">
        <f>IF(I897="","",_xlfn.XLOOKUP(I897,Lists!$C:$C,Lists!$J:$J))</f>
        <v/>
      </c>
      <c r="P897" s="27" t="str">
        <f>IF(I897="","",_xlfn.XLOOKUP(I897,Lists!$C:$C,Lists!$E:$E))</f>
        <v/>
      </c>
      <c r="Q897" s="28" t="str">
        <f t="shared" si="64"/>
        <v/>
      </c>
      <c r="R897" s="26" t="str">
        <f t="shared" ca="1" si="65"/>
        <v/>
      </c>
      <c r="S897" s="27" t="str">
        <f>IF(I897="","",_xlfn.XLOOKUP(I897,Lists!$C:$C,Lists!$I:$I))</f>
        <v/>
      </c>
    </row>
    <row r="898" spans="3:19" x14ac:dyDescent="0.2">
      <c r="C898" s="26">
        <f>_xlfn.XLOOKUP(B898,Lists!B:B,Lists!A:A,"")</f>
        <v>0</v>
      </c>
      <c r="G898" s="26" t="str">
        <f t="shared" si="61"/>
        <v/>
      </c>
      <c r="H898" s="31" t="str">
        <f t="shared" si="62"/>
        <v/>
      </c>
      <c r="J898" s="27" t="str">
        <f>IF(I898="","",_xlfn.XLOOKUP(I898,Lists!$C:$C,Lists!$D:$D))</f>
        <v/>
      </c>
      <c r="N898" s="26" t="str">
        <f t="shared" si="63"/>
        <v/>
      </c>
      <c r="O898" s="27" t="str">
        <f>IF(I898="","",_xlfn.XLOOKUP(I898,Lists!$C:$C,Lists!$J:$J))</f>
        <v/>
      </c>
      <c r="P898" s="27" t="str">
        <f>IF(I898="","",_xlfn.XLOOKUP(I898,Lists!$C:$C,Lists!$E:$E))</f>
        <v/>
      </c>
      <c r="Q898" s="28" t="str">
        <f t="shared" si="64"/>
        <v/>
      </c>
      <c r="R898" s="26" t="str">
        <f t="shared" ca="1" si="65"/>
        <v/>
      </c>
      <c r="S898" s="27" t="str">
        <f>IF(I898="","",_xlfn.XLOOKUP(I898,Lists!$C:$C,Lists!$I:$I))</f>
        <v/>
      </c>
    </row>
    <row r="899" spans="3:19" x14ac:dyDescent="0.2">
      <c r="C899" s="26">
        <f>_xlfn.XLOOKUP(B899,Lists!B:B,Lists!A:A,"")</f>
        <v>0</v>
      </c>
      <c r="G899" s="26" t="str">
        <f t="shared" si="61"/>
        <v/>
      </c>
      <c r="H899" s="31" t="str">
        <f t="shared" si="62"/>
        <v/>
      </c>
      <c r="J899" s="27" t="str">
        <f>IF(I899="","",_xlfn.XLOOKUP(I899,Lists!$C:$C,Lists!$D:$D))</f>
        <v/>
      </c>
      <c r="N899" s="26" t="str">
        <f t="shared" si="63"/>
        <v/>
      </c>
      <c r="O899" s="27" t="str">
        <f>IF(I899="","",_xlfn.XLOOKUP(I899,Lists!$C:$C,Lists!$J:$J))</f>
        <v/>
      </c>
      <c r="P899" s="27" t="str">
        <f>IF(I899="","",_xlfn.XLOOKUP(I899,Lists!$C:$C,Lists!$E:$E))</f>
        <v/>
      </c>
      <c r="Q899" s="28" t="str">
        <f t="shared" si="64"/>
        <v/>
      </c>
      <c r="R899" s="26" t="str">
        <f t="shared" ca="1" si="65"/>
        <v/>
      </c>
      <c r="S899" s="27" t="str">
        <f>IF(I899="","",_xlfn.XLOOKUP(I899,Lists!$C:$C,Lists!$I:$I))</f>
        <v/>
      </c>
    </row>
    <row r="900" spans="3:19" x14ac:dyDescent="0.2">
      <c r="C900" s="26">
        <f>_xlfn.XLOOKUP(B900,Lists!B:B,Lists!A:A,"")</f>
        <v>0</v>
      </c>
      <c r="G900" s="26" t="str">
        <f t="shared" si="61"/>
        <v/>
      </c>
      <c r="H900" s="31" t="str">
        <f t="shared" si="62"/>
        <v/>
      </c>
      <c r="J900" s="27" t="str">
        <f>IF(I900="","",_xlfn.XLOOKUP(I900,Lists!$C:$C,Lists!$D:$D))</f>
        <v/>
      </c>
      <c r="N900" s="26" t="str">
        <f t="shared" si="63"/>
        <v/>
      </c>
      <c r="O900" s="27" t="str">
        <f>IF(I900="","",_xlfn.XLOOKUP(I900,Lists!$C:$C,Lists!$J:$J))</f>
        <v/>
      </c>
      <c r="P900" s="27" t="str">
        <f>IF(I900="","",_xlfn.XLOOKUP(I900,Lists!$C:$C,Lists!$E:$E))</f>
        <v/>
      </c>
      <c r="Q900" s="28" t="str">
        <f t="shared" si="64"/>
        <v/>
      </c>
      <c r="R900" s="26" t="str">
        <f t="shared" ca="1" si="65"/>
        <v/>
      </c>
      <c r="S900" s="27" t="str">
        <f>IF(I900="","",_xlfn.XLOOKUP(I900,Lists!$C:$C,Lists!$I:$I))</f>
        <v/>
      </c>
    </row>
    <row r="901" spans="3:19" x14ac:dyDescent="0.2">
      <c r="C901" s="26">
        <f>_xlfn.XLOOKUP(B901,Lists!B:B,Lists!A:A,"")</f>
        <v>0</v>
      </c>
      <c r="G901" s="26" t="str">
        <f t="shared" si="61"/>
        <v/>
      </c>
      <c r="H901" s="31" t="str">
        <f t="shared" si="62"/>
        <v/>
      </c>
      <c r="J901" s="27" t="str">
        <f>IF(I901="","",_xlfn.XLOOKUP(I901,Lists!$C:$C,Lists!$D:$D))</f>
        <v/>
      </c>
      <c r="N901" s="26" t="str">
        <f t="shared" si="63"/>
        <v/>
      </c>
      <c r="O901" s="27" t="str">
        <f>IF(I901="","",_xlfn.XLOOKUP(I901,Lists!$C:$C,Lists!$J:$J))</f>
        <v/>
      </c>
      <c r="P901" s="27" t="str">
        <f>IF(I901="","",_xlfn.XLOOKUP(I901,Lists!$C:$C,Lists!$E:$E))</f>
        <v/>
      </c>
      <c r="Q901" s="28" t="str">
        <f t="shared" si="64"/>
        <v/>
      </c>
      <c r="R901" s="26" t="str">
        <f t="shared" ca="1" si="65"/>
        <v/>
      </c>
      <c r="S901" s="27" t="str">
        <f>IF(I901="","",_xlfn.XLOOKUP(I901,Lists!$C:$C,Lists!$I:$I))</f>
        <v/>
      </c>
    </row>
    <row r="902" spans="3:19" x14ac:dyDescent="0.2">
      <c r="C902" s="26">
        <f>_xlfn.XLOOKUP(B902,Lists!B:B,Lists!A:A,"")</f>
        <v>0</v>
      </c>
      <c r="G902" s="26" t="str">
        <f t="shared" si="61"/>
        <v/>
      </c>
      <c r="H902" s="31" t="str">
        <f t="shared" si="62"/>
        <v/>
      </c>
      <c r="J902" s="27" t="str">
        <f>IF(I902="","",_xlfn.XLOOKUP(I902,Lists!$C:$C,Lists!$D:$D))</f>
        <v/>
      </c>
      <c r="N902" s="26" t="str">
        <f t="shared" si="63"/>
        <v/>
      </c>
      <c r="O902" s="27" t="str">
        <f>IF(I902="","",_xlfn.XLOOKUP(I902,Lists!$C:$C,Lists!$J:$J))</f>
        <v/>
      </c>
      <c r="P902" s="27" t="str">
        <f>IF(I902="","",_xlfn.XLOOKUP(I902,Lists!$C:$C,Lists!$E:$E))</f>
        <v/>
      </c>
      <c r="Q902" s="28" t="str">
        <f t="shared" si="64"/>
        <v/>
      </c>
      <c r="R902" s="26" t="str">
        <f t="shared" ca="1" si="65"/>
        <v/>
      </c>
      <c r="S902" s="27" t="str">
        <f>IF(I902="","",_xlfn.XLOOKUP(I902,Lists!$C:$C,Lists!$I:$I))</f>
        <v/>
      </c>
    </row>
    <row r="903" spans="3:19" x14ac:dyDescent="0.2">
      <c r="C903" s="26">
        <f>_xlfn.XLOOKUP(B903,Lists!B:B,Lists!A:A,"")</f>
        <v>0</v>
      </c>
      <c r="G903" s="26" t="str">
        <f t="shared" si="61"/>
        <v/>
      </c>
      <c r="H903" s="31" t="str">
        <f t="shared" si="62"/>
        <v/>
      </c>
      <c r="J903" s="27" t="str">
        <f>IF(I903="","",_xlfn.XLOOKUP(I903,Lists!$C:$C,Lists!$D:$D))</f>
        <v/>
      </c>
      <c r="N903" s="26" t="str">
        <f t="shared" si="63"/>
        <v/>
      </c>
      <c r="O903" s="27" t="str">
        <f>IF(I903="","",_xlfn.XLOOKUP(I903,Lists!$C:$C,Lists!$J:$J))</f>
        <v/>
      </c>
      <c r="P903" s="27" t="str">
        <f>IF(I903="","",_xlfn.XLOOKUP(I903,Lists!$C:$C,Lists!$E:$E))</f>
        <v/>
      </c>
      <c r="Q903" s="28" t="str">
        <f t="shared" si="64"/>
        <v/>
      </c>
      <c r="R903" s="26" t="str">
        <f t="shared" ca="1" si="65"/>
        <v/>
      </c>
      <c r="S903" s="27" t="str">
        <f>IF(I903="","",_xlfn.XLOOKUP(I903,Lists!$C:$C,Lists!$I:$I))</f>
        <v/>
      </c>
    </row>
    <row r="904" spans="3:19" x14ac:dyDescent="0.2">
      <c r="C904" s="26">
        <f>_xlfn.XLOOKUP(B904,Lists!B:B,Lists!A:A,"")</f>
        <v>0</v>
      </c>
      <c r="G904" s="26" t="str">
        <f t="shared" si="61"/>
        <v/>
      </c>
      <c r="H904" s="31" t="str">
        <f t="shared" si="62"/>
        <v/>
      </c>
      <c r="J904" s="27" t="str">
        <f>IF(I904="","",_xlfn.XLOOKUP(I904,Lists!$C:$C,Lists!$D:$D))</f>
        <v/>
      </c>
      <c r="N904" s="26" t="str">
        <f t="shared" si="63"/>
        <v/>
      </c>
      <c r="O904" s="27" t="str">
        <f>IF(I904="","",_xlfn.XLOOKUP(I904,Lists!$C:$C,Lists!$J:$J))</f>
        <v/>
      </c>
      <c r="P904" s="27" t="str">
        <f>IF(I904="","",_xlfn.XLOOKUP(I904,Lists!$C:$C,Lists!$E:$E))</f>
        <v/>
      </c>
      <c r="Q904" s="28" t="str">
        <f t="shared" si="64"/>
        <v/>
      </c>
      <c r="R904" s="26" t="str">
        <f t="shared" ca="1" si="65"/>
        <v/>
      </c>
      <c r="S904" s="27" t="str">
        <f>IF(I904="","",_xlfn.XLOOKUP(I904,Lists!$C:$C,Lists!$I:$I))</f>
        <v/>
      </c>
    </row>
    <row r="905" spans="3:19" x14ac:dyDescent="0.2">
      <c r="C905" s="26">
        <f>_xlfn.XLOOKUP(B905,Lists!B:B,Lists!A:A,"")</f>
        <v>0</v>
      </c>
      <c r="G905" s="26" t="str">
        <f t="shared" si="61"/>
        <v/>
      </c>
      <c r="H905" s="31" t="str">
        <f t="shared" si="62"/>
        <v/>
      </c>
      <c r="J905" s="27" t="str">
        <f>IF(I905="","",_xlfn.XLOOKUP(I905,Lists!$C:$C,Lists!$D:$D))</f>
        <v/>
      </c>
      <c r="N905" s="26" t="str">
        <f t="shared" si="63"/>
        <v/>
      </c>
      <c r="O905" s="27" t="str">
        <f>IF(I905="","",_xlfn.XLOOKUP(I905,Lists!$C:$C,Lists!$J:$J))</f>
        <v/>
      </c>
      <c r="P905" s="27" t="str">
        <f>IF(I905="","",_xlfn.XLOOKUP(I905,Lists!$C:$C,Lists!$E:$E))</f>
        <v/>
      </c>
      <c r="Q905" s="28" t="str">
        <f t="shared" si="64"/>
        <v/>
      </c>
      <c r="R905" s="26" t="str">
        <f t="shared" ca="1" si="65"/>
        <v/>
      </c>
      <c r="S905" s="27" t="str">
        <f>IF(I905="","",_xlfn.XLOOKUP(I905,Lists!$C:$C,Lists!$I:$I))</f>
        <v/>
      </c>
    </row>
    <row r="906" spans="3:19" x14ac:dyDescent="0.2">
      <c r="C906" s="26">
        <f>_xlfn.XLOOKUP(B906,Lists!B:B,Lists!A:A,"")</f>
        <v>0</v>
      </c>
      <c r="G906" s="26" t="str">
        <f t="shared" si="61"/>
        <v/>
      </c>
      <c r="H906" s="31" t="str">
        <f t="shared" si="62"/>
        <v/>
      </c>
      <c r="J906" s="27" t="str">
        <f>IF(I906="","",_xlfn.XLOOKUP(I906,Lists!$C:$C,Lists!$D:$D))</f>
        <v/>
      </c>
      <c r="N906" s="26" t="str">
        <f t="shared" si="63"/>
        <v/>
      </c>
      <c r="O906" s="27" t="str">
        <f>IF(I906="","",_xlfn.XLOOKUP(I906,Lists!$C:$C,Lists!$J:$J))</f>
        <v/>
      </c>
      <c r="P906" s="27" t="str">
        <f>IF(I906="","",_xlfn.XLOOKUP(I906,Lists!$C:$C,Lists!$E:$E))</f>
        <v/>
      </c>
      <c r="Q906" s="28" t="str">
        <f t="shared" si="64"/>
        <v/>
      </c>
      <c r="R906" s="26" t="str">
        <f t="shared" ca="1" si="65"/>
        <v/>
      </c>
      <c r="S906" s="27" t="str">
        <f>IF(I906="","",_xlfn.XLOOKUP(I906,Lists!$C:$C,Lists!$I:$I))</f>
        <v/>
      </c>
    </row>
    <row r="907" spans="3:19" x14ac:dyDescent="0.2">
      <c r="C907" s="26">
        <f>_xlfn.XLOOKUP(B907,Lists!B:B,Lists!A:A,"")</f>
        <v>0</v>
      </c>
      <c r="G907" s="26" t="str">
        <f t="shared" ref="G907:G970" si="66">IF(OR(E907="",F907=""),"",F907-E907+1)</f>
        <v/>
      </c>
      <c r="H907" s="31" t="str">
        <f t="shared" ref="H907:H970" si="67">IF(D907="","",IF(OR(D907="A",D907="B"),G907/80,IF(D907="A&amp;B",G907/160,"")))</f>
        <v/>
      </c>
      <c r="J907" s="27" t="str">
        <f>IF(I907="","",_xlfn.XLOOKUP(I907,Lists!$C:$C,Lists!$D:$D))</f>
        <v/>
      </c>
      <c r="N907" s="26" t="str">
        <f t="shared" ref="N907:N970" si="68">IF(OR(M907="",L907=""),"",(M907*L907)/100000)</f>
        <v/>
      </c>
      <c r="O907" s="27" t="str">
        <f>IF(I907="","",_xlfn.XLOOKUP(I907,Lists!$C:$C,Lists!$J:$J))</f>
        <v/>
      </c>
      <c r="P907" s="27" t="str">
        <f>IF(I907="","",_xlfn.XLOOKUP(I907,Lists!$C:$C,Lists!$E:$E))</f>
        <v/>
      </c>
      <c r="Q907" s="28" t="str">
        <f t="shared" ref="Q907:Q970" si="69">IF(OR(A907="",P907=""),"",A907+P907+1)</f>
        <v/>
      </c>
      <c r="R907" s="26" t="str">
        <f t="shared" ref="R907:R970" ca="1" si="70">IF(Q907="","",IF(Q907&lt;=TODAY(),"Allow","Not Allow"))</f>
        <v/>
      </c>
      <c r="S907" s="27" t="str">
        <f>IF(I907="","",_xlfn.XLOOKUP(I907,Lists!$C:$C,Lists!$I:$I))</f>
        <v/>
      </c>
    </row>
    <row r="908" spans="3:19" x14ac:dyDescent="0.2">
      <c r="C908" s="26">
        <f>_xlfn.XLOOKUP(B908,Lists!B:B,Lists!A:A,"")</f>
        <v>0</v>
      </c>
      <c r="G908" s="26" t="str">
        <f t="shared" si="66"/>
        <v/>
      </c>
      <c r="H908" s="31" t="str">
        <f t="shared" si="67"/>
        <v/>
      </c>
      <c r="J908" s="27" t="str">
        <f>IF(I908="","",_xlfn.XLOOKUP(I908,Lists!$C:$C,Lists!$D:$D))</f>
        <v/>
      </c>
      <c r="N908" s="26" t="str">
        <f t="shared" si="68"/>
        <v/>
      </c>
      <c r="O908" s="27" t="str">
        <f>IF(I908="","",_xlfn.XLOOKUP(I908,Lists!$C:$C,Lists!$J:$J))</f>
        <v/>
      </c>
      <c r="P908" s="27" t="str">
        <f>IF(I908="","",_xlfn.XLOOKUP(I908,Lists!$C:$C,Lists!$E:$E))</f>
        <v/>
      </c>
      <c r="Q908" s="28" t="str">
        <f t="shared" si="69"/>
        <v/>
      </c>
      <c r="R908" s="26" t="str">
        <f t="shared" ca="1" si="70"/>
        <v/>
      </c>
      <c r="S908" s="27" t="str">
        <f>IF(I908="","",_xlfn.XLOOKUP(I908,Lists!$C:$C,Lists!$I:$I))</f>
        <v/>
      </c>
    </row>
    <row r="909" spans="3:19" x14ac:dyDescent="0.2">
      <c r="C909" s="26">
        <f>_xlfn.XLOOKUP(B909,Lists!B:B,Lists!A:A,"")</f>
        <v>0</v>
      </c>
      <c r="G909" s="26" t="str">
        <f t="shared" si="66"/>
        <v/>
      </c>
      <c r="H909" s="31" t="str">
        <f t="shared" si="67"/>
        <v/>
      </c>
      <c r="J909" s="27" t="str">
        <f>IF(I909="","",_xlfn.XLOOKUP(I909,Lists!$C:$C,Lists!$D:$D))</f>
        <v/>
      </c>
      <c r="N909" s="26" t="str">
        <f t="shared" si="68"/>
        <v/>
      </c>
      <c r="O909" s="27" t="str">
        <f>IF(I909="","",_xlfn.XLOOKUP(I909,Lists!$C:$C,Lists!$J:$J))</f>
        <v/>
      </c>
      <c r="P909" s="27" t="str">
        <f>IF(I909="","",_xlfn.XLOOKUP(I909,Lists!$C:$C,Lists!$E:$E))</f>
        <v/>
      </c>
      <c r="Q909" s="28" t="str">
        <f t="shared" si="69"/>
        <v/>
      </c>
      <c r="R909" s="26" t="str">
        <f t="shared" ca="1" si="70"/>
        <v/>
      </c>
      <c r="S909" s="27" t="str">
        <f>IF(I909="","",_xlfn.XLOOKUP(I909,Lists!$C:$C,Lists!$I:$I))</f>
        <v/>
      </c>
    </row>
    <row r="910" spans="3:19" x14ac:dyDescent="0.2">
      <c r="C910" s="26">
        <f>_xlfn.XLOOKUP(B910,Lists!B:B,Lists!A:A,"")</f>
        <v>0</v>
      </c>
      <c r="G910" s="26" t="str">
        <f t="shared" si="66"/>
        <v/>
      </c>
      <c r="H910" s="31" t="str">
        <f t="shared" si="67"/>
        <v/>
      </c>
      <c r="J910" s="27" t="str">
        <f>IF(I910="","",_xlfn.XLOOKUP(I910,Lists!$C:$C,Lists!$D:$D))</f>
        <v/>
      </c>
      <c r="N910" s="26" t="str">
        <f t="shared" si="68"/>
        <v/>
      </c>
      <c r="O910" s="27" t="str">
        <f>IF(I910="","",_xlfn.XLOOKUP(I910,Lists!$C:$C,Lists!$J:$J))</f>
        <v/>
      </c>
      <c r="P910" s="27" t="str">
        <f>IF(I910="","",_xlfn.XLOOKUP(I910,Lists!$C:$C,Lists!$E:$E))</f>
        <v/>
      </c>
      <c r="Q910" s="28" t="str">
        <f t="shared" si="69"/>
        <v/>
      </c>
      <c r="R910" s="26" t="str">
        <f t="shared" ca="1" si="70"/>
        <v/>
      </c>
      <c r="S910" s="27" t="str">
        <f>IF(I910="","",_xlfn.XLOOKUP(I910,Lists!$C:$C,Lists!$I:$I))</f>
        <v/>
      </c>
    </row>
    <row r="911" spans="3:19" x14ac:dyDescent="0.2">
      <c r="C911" s="26">
        <f>_xlfn.XLOOKUP(B911,Lists!B:B,Lists!A:A,"")</f>
        <v>0</v>
      </c>
      <c r="G911" s="26" t="str">
        <f t="shared" si="66"/>
        <v/>
      </c>
      <c r="H911" s="31" t="str">
        <f t="shared" si="67"/>
        <v/>
      </c>
      <c r="J911" s="27" t="str">
        <f>IF(I911="","",_xlfn.XLOOKUP(I911,Lists!$C:$C,Lists!$D:$D))</f>
        <v/>
      </c>
      <c r="N911" s="26" t="str">
        <f t="shared" si="68"/>
        <v/>
      </c>
      <c r="O911" s="27" t="str">
        <f>IF(I911="","",_xlfn.XLOOKUP(I911,Lists!$C:$C,Lists!$J:$J))</f>
        <v/>
      </c>
      <c r="P911" s="27" t="str">
        <f>IF(I911="","",_xlfn.XLOOKUP(I911,Lists!$C:$C,Lists!$E:$E))</f>
        <v/>
      </c>
      <c r="Q911" s="28" t="str">
        <f t="shared" si="69"/>
        <v/>
      </c>
      <c r="R911" s="26" t="str">
        <f t="shared" ca="1" si="70"/>
        <v/>
      </c>
      <c r="S911" s="27" t="str">
        <f>IF(I911="","",_xlfn.XLOOKUP(I911,Lists!$C:$C,Lists!$I:$I))</f>
        <v/>
      </c>
    </row>
    <row r="912" spans="3:19" x14ac:dyDescent="0.2">
      <c r="C912" s="26">
        <f>_xlfn.XLOOKUP(B912,Lists!B:B,Lists!A:A,"")</f>
        <v>0</v>
      </c>
      <c r="G912" s="26" t="str">
        <f t="shared" si="66"/>
        <v/>
      </c>
      <c r="H912" s="31" t="str">
        <f t="shared" si="67"/>
        <v/>
      </c>
      <c r="J912" s="27" t="str">
        <f>IF(I912="","",_xlfn.XLOOKUP(I912,Lists!$C:$C,Lists!$D:$D))</f>
        <v/>
      </c>
      <c r="N912" s="26" t="str">
        <f t="shared" si="68"/>
        <v/>
      </c>
      <c r="O912" s="27" t="str">
        <f>IF(I912="","",_xlfn.XLOOKUP(I912,Lists!$C:$C,Lists!$J:$J))</f>
        <v/>
      </c>
      <c r="P912" s="27" t="str">
        <f>IF(I912="","",_xlfn.XLOOKUP(I912,Lists!$C:$C,Lists!$E:$E))</f>
        <v/>
      </c>
      <c r="Q912" s="28" t="str">
        <f t="shared" si="69"/>
        <v/>
      </c>
      <c r="R912" s="26" t="str">
        <f t="shared" ca="1" si="70"/>
        <v/>
      </c>
      <c r="S912" s="27" t="str">
        <f>IF(I912="","",_xlfn.XLOOKUP(I912,Lists!$C:$C,Lists!$I:$I))</f>
        <v/>
      </c>
    </row>
    <row r="913" spans="3:19" x14ac:dyDescent="0.2">
      <c r="C913" s="26">
        <f>_xlfn.XLOOKUP(B913,Lists!B:B,Lists!A:A,"")</f>
        <v>0</v>
      </c>
      <c r="G913" s="26" t="str">
        <f t="shared" si="66"/>
        <v/>
      </c>
      <c r="H913" s="31" t="str">
        <f t="shared" si="67"/>
        <v/>
      </c>
      <c r="J913" s="27" t="str">
        <f>IF(I913="","",_xlfn.XLOOKUP(I913,Lists!$C:$C,Lists!$D:$D))</f>
        <v/>
      </c>
      <c r="N913" s="26" t="str">
        <f t="shared" si="68"/>
        <v/>
      </c>
      <c r="O913" s="27" t="str">
        <f>IF(I913="","",_xlfn.XLOOKUP(I913,Lists!$C:$C,Lists!$J:$J))</f>
        <v/>
      </c>
      <c r="P913" s="27" t="str">
        <f>IF(I913="","",_xlfn.XLOOKUP(I913,Lists!$C:$C,Lists!$E:$E))</f>
        <v/>
      </c>
      <c r="Q913" s="28" t="str">
        <f t="shared" si="69"/>
        <v/>
      </c>
      <c r="R913" s="26" t="str">
        <f t="shared" ca="1" si="70"/>
        <v/>
      </c>
      <c r="S913" s="27" t="str">
        <f>IF(I913="","",_xlfn.XLOOKUP(I913,Lists!$C:$C,Lists!$I:$I))</f>
        <v/>
      </c>
    </row>
    <row r="914" spans="3:19" x14ac:dyDescent="0.2">
      <c r="C914" s="26">
        <f>_xlfn.XLOOKUP(B914,Lists!B:B,Lists!A:A,"")</f>
        <v>0</v>
      </c>
      <c r="G914" s="26" t="str">
        <f t="shared" si="66"/>
        <v/>
      </c>
      <c r="H914" s="31" t="str">
        <f t="shared" si="67"/>
        <v/>
      </c>
      <c r="J914" s="27" t="str">
        <f>IF(I914="","",_xlfn.XLOOKUP(I914,Lists!$C:$C,Lists!$D:$D))</f>
        <v/>
      </c>
      <c r="N914" s="26" t="str">
        <f t="shared" si="68"/>
        <v/>
      </c>
      <c r="O914" s="27" t="str">
        <f>IF(I914="","",_xlfn.XLOOKUP(I914,Lists!$C:$C,Lists!$J:$J))</f>
        <v/>
      </c>
      <c r="P914" s="27" t="str">
        <f>IF(I914="","",_xlfn.XLOOKUP(I914,Lists!$C:$C,Lists!$E:$E))</f>
        <v/>
      </c>
      <c r="Q914" s="28" t="str">
        <f t="shared" si="69"/>
        <v/>
      </c>
      <c r="R914" s="26" t="str">
        <f t="shared" ca="1" si="70"/>
        <v/>
      </c>
      <c r="S914" s="27" t="str">
        <f>IF(I914="","",_xlfn.XLOOKUP(I914,Lists!$C:$C,Lists!$I:$I))</f>
        <v/>
      </c>
    </row>
    <row r="915" spans="3:19" x14ac:dyDescent="0.2">
      <c r="C915" s="26">
        <f>_xlfn.XLOOKUP(B915,Lists!B:B,Lists!A:A,"")</f>
        <v>0</v>
      </c>
      <c r="G915" s="26" t="str">
        <f t="shared" si="66"/>
        <v/>
      </c>
      <c r="H915" s="31" t="str">
        <f t="shared" si="67"/>
        <v/>
      </c>
      <c r="J915" s="27" t="str">
        <f>IF(I915="","",_xlfn.XLOOKUP(I915,Lists!$C:$C,Lists!$D:$D))</f>
        <v/>
      </c>
      <c r="N915" s="26" t="str">
        <f t="shared" si="68"/>
        <v/>
      </c>
      <c r="O915" s="27" t="str">
        <f>IF(I915="","",_xlfn.XLOOKUP(I915,Lists!$C:$C,Lists!$J:$J))</f>
        <v/>
      </c>
      <c r="P915" s="27" t="str">
        <f>IF(I915="","",_xlfn.XLOOKUP(I915,Lists!$C:$C,Lists!$E:$E))</f>
        <v/>
      </c>
      <c r="Q915" s="28" t="str">
        <f t="shared" si="69"/>
        <v/>
      </c>
      <c r="R915" s="26" t="str">
        <f t="shared" ca="1" si="70"/>
        <v/>
      </c>
      <c r="S915" s="27" t="str">
        <f>IF(I915="","",_xlfn.XLOOKUP(I915,Lists!$C:$C,Lists!$I:$I))</f>
        <v/>
      </c>
    </row>
    <row r="916" spans="3:19" x14ac:dyDescent="0.2">
      <c r="C916" s="26">
        <f>_xlfn.XLOOKUP(B916,Lists!B:B,Lists!A:A,"")</f>
        <v>0</v>
      </c>
      <c r="G916" s="26" t="str">
        <f t="shared" si="66"/>
        <v/>
      </c>
      <c r="H916" s="31" t="str">
        <f t="shared" si="67"/>
        <v/>
      </c>
      <c r="J916" s="27" t="str">
        <f>IF(I916="","",_xlfn.XLOOKUP(I916,Lists!$C:$C,Lists!$D:$D))</f>
        <v/>
      </c>
      <c r="N916" s="26" t="str">
        <f t="shared" si="68"/>
        <v/>
      </c>
      <c r="O916" s="27" t="str">
        <f>IF(I916="","",_xlfn.XLOOKUP(I916,Lists!$C:$C,Lists!$J:$J))</f>
        <v/>
      </c>
      <c r="P916" s="27" t="str">
        <f>IF(I916="","",_xlfn.XLOOKUP(I916,Lists!$C:$C,Lists!$E:$E))</f>
        <v/>
      </c>
      <c r="Q916" s="28" t="str">
        <f t="shared" si="69"/>
        <v/>
      </c>
      <c r="R916" s="26" t="str">
        <f t="shared" ca="1" si="70"/>
        <v/>
      </c>
      <c r="S916" s="27" t="str">
        <f>IF(I916="","",_xlfn.XLOOKUP(I916,Lists!$C:$C,Lists!$I:$I))</f>
        <v/>
      </c>
    </row>
    <row r="917" spans="3:19" x14ac:dyDescent="0.2">
      <c r="C917" s="26">
        <f>_xlfn.XLOOKUP(B917,Lists!B:B,Lists!A:A,"")</f>
        <v>0</v>
      </c>
      <c r="G917" s="26" t="str">
        <f t="shared" si="66"/>
        <v/>
      </c>
      <c r="H917" s="31" t="str">
        <f t="shared" si="67"/>
        <v/>
      </c>
      <c r="J917" s="27" t="str">
        <f>IF(I917="","",_xlfn.XLOOKUP(I917,Lists!$C:$C,Lists!$D:$D))</f>
        <v/>
      </c>
      <c r="N917" s="26" t="str">
        <f t="shared" si="68"/>
        <v/>
      </c>
      <c r="O917" s="27" t="str">
        <f>IF(I917="","",_xlfn.XLOOKUP(I917,Lists!$C:$C,Lists!$J:$J))</f>
        <v/>
      </c>
      <c r="P917" s="27" t="str">
        <f>IF(I917="","",_xlfn.XLOOKUP(I917,Lists!$C:$C,Lists!$E:$E))</f>
        <v/>
      </c>
      <c r="Q917" s="28" t="str">
        <f t="shared" si="69"/>
        <v/>
      </c>
      <c r="R917" s="26" t="str">
        <f t="shared" ca="1" si="70"/>
        <v/>
      </c>
      <c r="S917" s="27" t="str">
        <f>IF(I917="","",_xlfn.XLOOKUP(I917,Lists!$C:$C,Lists!$I:$I))</f>
        <v/>
      </c>
    </row>
    <row r="918" spans="3:19" x14ac:dyDescent="0.2">
      <c r="C918" s="26">
        <f>_xlfn.XLOOKUP(B918,Lists!B:B,Lists!A:A,"")</f>
        <v>0</v>
      </c>
      <c r="G918" s="26" t="str">
        <f t="shared" si="66"/>
        <v/>
      </c>
      <c r="H918" s="31" t="str">
        <f t="shared" si="67"/>
        <v/>
      </c>
      <c r="J918" s="27" t="str">
        <f>IF(I918="","",_xlfn.XLOOKUP(I918,Lists!$C:$C,Lists!$D:$D))</f>
        <v/>
      </c>
      <c r="N918" s="26" t="str">
        <f t="shared" si="68"/>
        <v/>
      </c>
      <c r="O918" s="27" t="str">
        <f>IF(I918="","",_xlfn.XLOOKUP(I918,Lists!$C:$C,Lists!$J:$J))</f>
        <v/>
      </c>
      <c r="P918" s="27" t="str">
        <f>IF(I918="","",_xlfn.XLOOKUP(I918,Lists!$C:$C,Lists!$E:$E))</f>
        <v/>
      </c>
      <c r="Q918" s="28" t="str">
        <f t="shared" si="69"/>
        <v/>
      </c>
      <c r="R918" s="26" t="str">
        <f t="shared" ca="1" si="70"/>
        <v/>
      </c>
      <c r="S918" s="27" t="str">
        <f>IF(I918="","",_xlfn.XLOOKUP(I918,Lists!$C:$C,Lists!$I:$I))</f>
        <v/>
      </c>
    </row>
    <row r="919" spans="3:19" x14ac:dyDescent="0.2">
      <c r="C919" s="26">
        <f>_xlfn.XLOOKUP(B919,Lists!B:B,Lists!A:A,"")</f>
        <v>0</v>
      </c>
      <c r="G919" s="26" t="str">
        <f t="shared" si="66"/>
        <v/>
      </c>
      <c r="H919" s="31" t="str">
        <f t="shared" si="67"/>
        <v/>
      </c>
      <c r="J919" s="27" t="str">
        <f>IF(I919="","",_xlfn.XLOOKUP(I919,Lists!$C:$C,Lists!$D:$D))</f>
        <v/>
      </c>
      <c r="N919" s="26" t="str">
        <f t="shared" si="68"/>
        <v/>
      </c>
      <c r="O919" s="27" t="str">
        <f>IF(I919="","",_xlfn.XLOOKUP(I919,Lists!$C:$C,Lists!$J:$J))</f>
        <v/>
      </c>
      <c r="P919" s="27" t="str">
        <f>IF(I919="","",_xlfn.XLOOKUP(I919,Lists!$C:$C,Lists!$E:$E))</f>
        <v/>
      </c>
      <c r="Q919" s="28" t="str">
        <f t="shared" si="69"/>
        <v/>
      </c>
      <c r="R919" s="26" t="str">
        <f t="shared" ca="1" si="70"/>
        <v/>
      </c>
      <c r="S919" s="27" t="str">
        <f>IF(I919="","",_xlfn.XLOOKUP(I919,Lists!$C:$C,Lists!$I:$I))</f>
        <v/>
      </c>
    </row>
    <row r="920" spans="3:19" x14ac:dyDescent="0.2">
      <c r="C920" s="26">
        <f>_xlfn.XLOOKUP(B920,Lists!B:B,Lists!A:A,"")</f>
        <v>0</v>
      </c>
      <c r="G920" s="26" t="str">
        <f t="shared" si="66"/>
        <v/>
      </c>
      <c r="H920" s="31" t="str">
        <f t="shared" si="67"/>
        <v/>
      </c>
      <c r="J920" s="27" t="str">
        <f>IF(I920="","",_xlfn.XLOOKUP(I920,Lists!$C:$C,Lists!$D:$D))</f>
        <v/>
      </c>
      <c r="N920" s="26" t="str">
        <f t="shared" si="68"/>
        <v/>
      </c>
      <c r="O920" s="27" t="str">
        <f>IF(I920="","",_xlfn.XLOOKUP(I920,Lists!$C:$C,Lists!$J:$J))</f>
        <v/>
      </c>
      <c r="P920" s="27" t="str">
        <f>IF(I920="","",_xlfn.XLOOKUP(I920,Lists!$C:$C,Lists!$E:$E))</f>
        <v/>
      </c>
      <c r="Q920" s="28" t="str">
        <f t="shared" si="69"/>
        <v/>
      </c>
      <c r="R920" s="26" t="str">
        <f t="shared" ca="1" si="70"/>
        <v/>
      </c>
      <c r="S920" s="27" t="str">
        <f>IF(I920="","",_xlfn.XLOOKUP(I920,Lists!$C:$C,Lists!$I:$I))</f>
        <v/>
      </c>
    </row>
    <row r="921" spans="3:19" x14ac:dyDescent="0.2">
      <c r="C921" s="26">
        <f>_xlfn.XLOOKUP(B921,Lists!B:B,Lists!A:A,"")</f>
        <v>0</v>
      </c>
      <c r="G921" s="26" t="str">
        <f t="shared" si="66"/>
        <v/>
      </c>
      <c r="H921" s="31" t="str">
        <f t="shared" si="67"/>
        <v/>
      </c>
      <c r="J921" s="27" t="str">
        <f>IF(I921="","",_xlfn.XLOOKUP(I921,Lists!$C:$C,Lists!$D:$D))</f>
        <v/>
      </c>
      <c r="N921" s="26" t="str">
        <f t="shared" si="68"/>
        <v/>
      </c>
      <c r="O921" s="27" t="str">
        <f>IF(I921="","",_xlfn.XLOOKUP(I921,Lists!$C:$C,Lists!$J:$J))</f>
        <v/>
      </c>
      <c r="P921" s="27" t="str">
        <f>IF(I921="","",_xlfn.XLOOKUP(I921,Lists!$C:$C,Lists!$E:$E))</f>
        <v/>
      </c>
      <c r="Q921" s="28" t="str">
        <f t="shared" si="69"/>
        <v/>
      </c>
      <c r="R921" s="26" t="str">
        <f t="shared" ca="1" si="70"/>
        <v/>
      </c>
      <c r="S921" s="27" t="str">
        <f>IF(I921="","",_xlfn.XLOOKUP(I921,Lists!$C:$C,Lists!$I:$I))</f>
        <v/>
      </c>
    </row>
    <row r="922" spans="3:19" x14ac:dyDescent="0.2">
      <c r="C922" s="26">
        <f>_xlfn.XLOOKUP(B922,Lists!B:B,Lists!A:A,"")</f>
        <v>0</v>
      </c>
      <c r="G922" s="26" t="str">
        <f t="shared" si="66"/>
        <v/>
      </c>
      <c r="H922" s="31" t="str">
        <f t="shared" si="67"/>
        <v/>
      </c>
      <c r="J922" s="27" t="str">
        <f>IF(I922="","",_xlfn.XLOOKUP(I922,Lists!$C:$C,Lists!$D:$D))</f>
        <v/>
      </c>
      <c r="N922" s="26" t="str">
        <f t="shared" si="68"/>
        <v/>
      </c>
      <c r="O922" s="27" t="str">
        <f>IF(I922="","",_xlfn.XLOOKUP(I922,Lists!$C:$C,Lists!$J:$J))</f>
        <v/>
      </c>
      <c r="P922" s="27" t="str">
        <f>IF(I922="","",_xlfn.XLOOKUP(I922,Lists!$C:$C,Lists!$E:$E))</f>
        <v/>
      </c>
      <c r="Q922" s="28" t="str">
        <f t="shared" si="69"/>
        <v/>
      </c>
      <c r="R922" s="26" t="str">
        <f t="shared" ca="1" si="70"/>
        <v/>
      </c>
      <c r="S922" s="27" t="str">
        <f>IF(I922="","",_xlfn.XLOOKUP(I922,Lists!$C:$C,Lists!$I:$I))</f>
        <v/>
      </c>
    </row>
    <row r="923" spans="3:19" x14ac:dyDescent="0.2">
      <c r="C923" s="26">
        <f>_xlfn.XLOOKUP(B923,Lists!B:B,Lists!A:A,"")</f>
        <v>0</v>
      </c>
      <c r="G923" s="26" t="str">
        <f t="shared" si="66"/>
        <v/>
      </c>
      <c r="H923" s="31" t="str">
        <f t="shared" si="67"/>
        <v/>
      </c>
      <c r="J923" s="27" t="str">
        <f>IF(I923="","",_xlfn.XLOOKUP(I923,Lists!$C:$C,Lists!$D:$D))</f>
        <v/>
      </c>
      <c r="N923" s="26" t="str">
        <f t="shared" si="68"/>
        <v/>
      </c>
      <c r="O923" s="27" t="str">
        <f>IF(I923="","",_xlfn.XLOOKUP(I923,Lists!$C:$C,Lists!$J:$J))</f>
        <v/>
      </c>
      <c r="P923" s="27" t="str">
        <f>IF(I923="","",_xlfn.XLOOKUP(I923,Lists!$C:$C,Lists!$E:$E))</f>
        <v/>
      </c>
      <c r="Q923" s="28" t="str">
        <f t="shared" si="69"/>
        <v/>
      </c>
      <c r="R923" s="26" t="str">
        <f t="shared" ca="1" si="70"/>
        <v/>
      </c>
      <c r="S923" s="27" t="str">
        <f>IF(I923="","",_xlfn.XLOOKUP(I923,Lists!$C:$C,Lists!$I:$I))</f>
        <v/>
      </c>
    </row>
    <row r="924" spans="3:19" x14ac:dyDescent="0.2">
      <c r="C924" s="26">
        <f>_xlfn.XLOOKUP(B924,Lists!B:B,Lists!A:A,"")</f>
        <v>0</v>
      </c>
      <c r="G924" s="26" t="str">
        <f t="shared" si="66"/>
        <v/>
      </c>
      <c r="H924" s="31" t="str">
        <f t="shared" si="67"/>
        <v/>
      </c>
      <c r="J924" s="27" t="str">
        <f>IF(I924="","",_xlfn.XLOOKUP(I924,Lists!$C:$C,Lists!$D:$D))</f>
        <v/>
      </c>
      <c r="N924" s="26" t="str">
        <f t="shared" si="68"/>
        <v/>
      </c>
      <c r="O924" s="27" t="str">
        <f>IF(I924="","",_xlfn.XLOOKUP(I924,Lists!$C:$C,Lists!$J:$J))</f>
        <v/>
      </c>
      <c r="P924" s="27" t="str">
        <f>IF(I924="","",_xlfn.XLOOKUP(I924,Lists!$C:$C,Lists!$E:$E))</f>
        <v/>
      </c>
      <c r="Q924" s="28" t="str">
        <f t="shared" si="69"/>
        <v/>
      </c>
      <c r="R924" s="26" t="str">
        <f t="shared" ca="1" si="70"/>
        <v/>
      </c>
      <c r="S924" s="27" t="str">
        <f>IF(I924="","",_xlfn.XLOOKUP(I924,Lists!$C:$C,Lists!$I:$I))</f>
        <v/>
      </c>
    </row>
    <row r="925" spans="3:19" x14ac:dyDescent="0.2">
      <c r="C925" s="26">
        <f>_xlfn.XLOOKUP(B925,Lists!B:B,Lists!A:A,"")</f>
        <v>0</v>
      </c>
      <c r="G925" s="26" t="str">
        <f t="shared" si="66"/>
        <v/>
      </c>
      <c r="H925" s="31" t="str">
        <f t="shared" si="67"/>
        <v/>
      </c>
      <c r="J925" s="27" t="str">
        <f>IF(I925="","",_xlfn.XLOOKUP(I925,Lists!$C:$C,Lists!$D:$D))</f>
        <v/>
      </c>
      <c r="N925" s="26" t="str">
        <f t="shared" si="68"/>
        <v/>
      </c>
      <c r="O925" s="27" t="str">
        <f>IF(I925="","",_xlfn.XLOOKUP(I925,Lists!$C:$C,Lists!$J:$J))</f>
        <v/>
      </c>
      <c r="P925" s="27" t="str">
        <f>IF(I925="","",_xlfn.XLOOKUP(I925,Lists!$C:$C,Lists!$E:$E))</f>
        <v/>
      </c>
      <c r="Q925" s="28" t="str">
        <f t="shared" si="69"/>
        <v/>
      </c>
      <c r="R925" s="26" t="str">
        <f t="shared" ca="1" si="70"/>
        <v/>
      </c>
      <c r="S925" s="27" t="str">
        <f>IF(I925="","",_xlfn.XLOOKUP(I925,Lists!$C:$C,Lists!$I:$I))</f>
        <v/>
      </c>
    </row>
    <row r="926" spans="3:19" x14ac:dyDescent="0.2">
      <c r="C926" s="26">
        <f>_xlfn.XLOOKUP(B926,Lists!B:B,Lists!A:A,"")</f>
        <v>0</v>
      </c>
      <c r="G926" s="26" t="str">
        <f t="shared" si="66"/>
        <v/>
      </c>
      <c r="H926" s="31" t="str">
        <f t="shared" si="67"/>
        <v/>
      </c>
      <c r="J926" s="27" t="str">
        <f>IF(I926="","",_xlfn.XLOOKUP(I926,Lists!$C:$C,Lists!$D:$D))</f>
        <v/>
      </c>
      <c r="N926" s="26" t="str">
        <f t="shared" si="68"/>
        <v/>
      </c>
      <c r="O926" s="27" t="str">
        <f>IF(I926="","",_xlfn.XLOOKUP(I926,Lists!$C:$C,Lists!$J:$J))</f>
        <v/>
      </c>
      <c r="P926" s="27" t="str">
        <f>IF(I926="","",_xlfn.XLOOKUP(I926,Lists!$C:$C,Lists!$E:$E))</f>
        <v/>
      </c>
      <c r="Q926" s="28" t="str">
        <f t="shared" si="69"/>
        <v/>
      </c>
      <c r="R926" s="26" t="str">
        <f t="shared" ca="1" si="70"/>
        <v/>
      </c>
      <c r="S926" s="27" t="str">
        <f>IF(I926="","",_xlfn.XLOOKUP(I926,Lists!$C:$C,Lists!$I:$I))</f>
        <v/>
      </c>
    </row>
    <row r="927" spans="3:19" x14ac:dyDescent="0.2">
      <c r="C927" s="26">
        <f>_xlfn.XLOOKUP(B927,Lists!B:B,Lists!A:A,"")</f>
        <v>0</v>
      </c>
      <c r="G927" s="26" t="str">
        <f t="shared" si="66"/>
        <v/>
      </c>
      <c r="H927" s="31" t="str">
        <f t="shared" si="67"/>
        <v/>
      </c>
      <c r="J927" s="27" t="str">
        <f>IF(I927="","",_xlfn.XLOOKUP(I927,Lists!$C:$C,Lists!$D:$D))</f>
        <v/>
      </c>
      <c r="N927" s="26" t="str">
        <f t="shared" si="68"/>
        <v/>
      </c>
      <c r="O927" s="27" t="str">
        <f>IF(I927="","",_xlfn.XLOOKUP(I927,Lists!$C:$C,Lists!$J:$J))</f>
        <v/>
      </c>
      <c r="P927" s="27" t="str">
        <f>IF(I927="","",_xlfn.XLOOKUP(I927,Lists!$C:$C,Lists!$E:$E))</f>
        <v/>
      </c>
      <c r="Q927" s="28" t="str">
        <f t="shared" si="69"/>
        <v/>
      </c>
      <c r="R927" s="26" t="str">
        <f t="shared" ca="1" si="70"/>
        <v/>
      </c>
      <c r="S927" s="27" t="str">
        <f>IF(I927="","",_xlfn.XLOOKUP(I927,Lists!$C:$C,Lists!$I:$I))</f>
        <v/>
      </c>
    </row>
    <row r="928" spans="3:19" x14ac:dyDescent="0.2">
      <c r="C928" s="26">
        <f>_xlfn.XLOOKUP(B928,Lists!B:B,Lists!A:A,"")</f>
        <v>0</v>
      </c>
      <c r="G928" s="26" t="str">
        <f t="shared" si="66"/>
        <v/>
      </c>
      <c r="H928" s="31" t="str">
        <f t="shared" si="67"/>
        <v/>
      </c>
      <c r="J928" s="27" t="str">
        <f>IF(I928="","",_xlfn.XLOOKUP(I928,Lists!$C:$C,Lists!$D:$D))</f>
        <v/>
      </c>
      <c r="N928" s="26" t="str">
        <f t="shared" si="68"/>
        <v/>
      </c>
      <c r="O928" s="27" t="str">
        <f>IF(I928="","",_xlfn.XLOOKUP(I928,Lists!$C:$C,Lists!$J:$J))</f>
        <v/>
      </c>
      <c r="P928" s="27" t="str">
        <f>IF(I928="","",_xlfn.XLOOKUP(I928,Lists!$C:$C,Lists!$E:$E))</f>
        <v/>
      </c>
      <c r="Q928" s="28" t="str">
        <f t="shared" si="69"/>
        <v/>
      </c>
      <c r="R928" s="26" t="str">
        <f t="shared" ca="1" si="70"/>
        <v/>
      </c>
      <c r="S928" s="27" t="str">
        <f>IF(I928="","",_xlfn.XLOOKUP(I928,Lists!$C:$C,Lists!$I:$I))</f>
        <v/>
      </c>
    </row>
    <row r="929" spans="3:19" x14ac:dyDescent="0.2">
      <c r="C929" s="26">
        <f>_xlfn.XLOOKUP(B929,Lists!B:B,Lists!A:A,"")</f>
        <v>0</v>
      </c>
      <c r="G929" s="26" t="str">
        <f t="shared" si="66"/>
        <v/>
      </c>
      <c r="H929" s="31" t="str">
        <f t="shared" si="67"/>
        <v/>
      </c>
      <c r="J929" s="27" t="str">
        <f>IF(I929="","",_xlfn.XLOOKUP(I929,Lists!$C:$C,Lists!$D:$D))</f>
        <v/>
      </c>
      <c r="N929" s="26" t="str">
        <f t="shared" si="68"/>
        <v/>
      </c>
      <c r="O929" s="27" t="str">
        <f>IF(I929="","",_xlfn.XLOOKUP(I929,Lists!$C:$C,Lists!$J:$J))</f>
        <v/>
      </c>
      <c r="P929" s="27" t="str">
        <f>IF(I929="","",_xlfn.XLOOKUP(I929,Lists!$C:$C,Lists!$E:$E))</f>
        <v/>
      </c>
      <c r="Q929" s="28" t="str">
        <f t="shared" si="69"/>
        <v/>
      </c>
      <c r="R929" s="26" t="str">
        <f t="shared" ca="1" si="70"/>
        <v/>
      </c>
      <c r="S929" s="27" t="str">
        <f>IF(I929="","",_xlfn.XLOOKUP(I929,Lists!$C:$C,Lists!$I:$I))</f>
        <v/>
      </c>
    </row>
    <row r="930" spans="3:19" x14ac:dyDescent="0.2">
      <c r="C930" s="26">
        <f>_xlfn.XLOOKUP(B930,Lists!B:B,Lists!A:A,"")</f>
        <v>0</v>
      </c>
      <c r="G930" s="26" t="str">
        <f t="shared" si="66"/>
        <v/>
      </c>
      <c r="H930" s="31" t="str">
        <f t="shared" si="67"/>
        <v/>
      </c>
      <c r="J930" s="27" t="str">
        <f>IF(I930="","",_xlfn.XLOOKUP(I930,Lists!$C:$C,Lists!$D:$D))</f>
        <v/>
      </c>
      <c r="N930" s="26" t="str">
        <f t="shared" si="68"/>
        <v/>
      </c>
      <c r="O930" s="27" t="str">
        <f>IF(I930="","",_xlfn.XLOOKUP(I930,Lists!$C:$C,Lists!$J:$J))</f>
        <v/>
      </c>
      <c r="P930" s="27" t="str">
        <f>IF(I930="","",_xlfn.XLOOKUP(I930,Lists!$C:$C,Lists!$E:$E))</f>
        <v/>
      </c>
      <c r="Q930" s="28" t="str">
        <f t="shared" si="69"/>
        <v/>
      </c>
      <c r="R930" s="26" t="str">
        <f t="shared" ca="1" si="70"/>
        <v/>
      </c>
      <c r="S930" s="27" t="str">
        <f>IF(I930="","",_xlfn.XLOOKUP(I930,Lists!$C:$C,Lists!$I:$I))</f>
        <v/>
      </c>
    </row>
    <row r="931" spans="3:19" x14ac:dyDescent="0.2">
      <c r="C931" s="26">
        <f>_xlfn.XLOOKUP(B931,Lists!B:B,Lists!A:A,"")</f>
        <v>0</v>
      </c>
      <c r="G931" s="26" t="str">
        <f t="shared" si="66"/>
        <v/>
      </c>
      <c r="H931" s="31" t="str">
        <f t="shared" si="67"/>
        <v/>
      </c>
      <c r="J931" s="27" t="str">
        <f>IF(I931="","",_xlfn.XLOOKUP(I931,Lists!$C:$C,Lists!$D:$D))</f>
        <v/>
      </c>
      <c r="N931" s="26" t="str">
        <f t="shared" si="68"/>
        <v/>
      </c>
      <c r="O931" s="27" t="str">
        <f>IF(I931="","",_xlfn.XLOOKUP(I931,Lists!$C:$C,Lists!$J:$J))</f>
        <v/>
      </c>
      <c r="P931" s="27" t="str">
        <f>IF(I931="","",_xlfn.XLOOKUP(I931,Lists!$C:$C,Lists!$E:$E))</f>
        <v/>
      </c>
      <c r="Q931" s="28" t="str">
        <f t="shared" si="69"/>
        <v/>
      </c>
      <c r="R931" s="26" t="str">
        <f t="shared" ca="1" si="70"/>
        <v/>
      </c>
      <c r="S931" s="27" t="str">
        <f>IF(I931="","",_xlfn.XLOOKUP(I931,Lists!$C:$C,Lists!$I:$I))</f>
        <v/>
      </c>
    </row>
    <row r="932" spans="3:19" x14ac:dyDescent="0.2">
      <c r="C932" s="26">
        <f>_xlfn.XLOOKUP(B932,Lists!B:B,Lists!A:A,"")</f>
        <v>0</v>
      </c>
      <c r="G932" s="26" t="str">
        <f t="shared" si="66"/>
        <v/>
      </c>
      <c r="H932" s="31" t="str">
        <f t="shared" si="67"/>
        <v/>
      </c>
      <c r="J932" s="27" t="str">
        <f>IF(I932="","",_xlfn.XLOOKUP(I932,Lists!$C:$C,Lists!$D:$D))</f>
        <v/>
      </c>
      <c r="N932" s="26" t="str">
        <f t="shared" si="68"/>
        <v/>
      </c>
      <c r="O932" s="27" t="str">
        <f>IF(I932="","",_xlfn.XLOOKUP(I932,Lists!$C:$C,Lists!$J:$J))</f>
        <v/>
      </c>
      <c r="P932" s="27" t="str">
        <f>IF(I932="","",_xlfn.XLOOKUP(I932,Lists!$C:$C,Lists!$E:$E))</f>
        <v/>
      </c>
      <c r="Q932" s="28" t="str">
        <f t="shared" si="69"/>
        <v/>
      </c>
      <c r="R932" s="26" t="str">
        <f t="shared" ca="1" si="70"/>
        <v/>
      </c>
      <c r="S932" s="27" t="str">
        <f>IF(I932="","",_xlfn.XLOOKUP(I932,Lists!$C:$C,Lists!$I:$I))</f>
        <v/>
      </c>
    </row>
    <row r="933" spans="3:19" x14ac:dyDescent="0.2">
      <c r="C933" s="26">
        <f>_xlfn.XLOOKUP(B933,Lists!B:B,Lists!A:A,"")</f>
        <v>0</v>
      </c>
      <c r="G933" s="26" t="str">
        <f t="shared" si="66"/>
        <v/>
      </c>
      <c r="H933" s="31" t="str">
        <f t="shared" si="67"/>
        <v/>
      </c>
      <c r="J933" s="27" t="str">
        <f>IF(I933="","",_xlfn.XLOOKUP(I933,Lists!$C:$C,Lists!$D:$D))</f>
        <v/>
      </c>
      <c r="N933" s="26" t="str">
        <f t="shared" si="68"/>
        <v/>
      </c>
      <c r="O933" s="27" t="str">
        <f>IF(I933="","",_xlfn.XLOOKUP(I933,Lists!$C:$C,Lists!$J:$J))</f>
        <v/>
      </c>
      <c r="P933" s="27" t="str">
        <f>IF(I933="","",_xlfn.XLOOKUP(I933,Lists!$C:$C,Lists!$E:$E))</f>
        <v/>
      </c>
      <c r="Q933" s="28" t="str">
        <f t="shared" si="69"/>
        <v/>
      </c>
      <c r="R933" s="26" t="str">
        <f t="shared" ca="1" si="70"/>
        <v/>
      </c>
      <c r="S933" s="27" t="str">
        <f>IF(I933="","",_xlfn.XLOOKUP(I933,Lists!$C:$C,Lists!$I:$I))</f>
        <v/>
      </c>
    </row>
    <row r="934" spans="3:19" x14ac:dyDescent="0.2">
      <c r="C934" s="26">
        <f>_xlfn.XLOOKUP(B934,Lists!B:B,Lists!A:A,"")</f>
        <v>0</v>
      </c>
      <c r="G934" s="26" t="str">
        <f t="shared" si="66"/>
        <v/>
      </c>
      <c r="H934" s="31" t="str">
        <f t="shared" si="67"/>
        <v/>
      </c>
      <c r="J934" s="27" t="str">
        <f>IF(I934="","",_xlfn.XLOOKUP(I934,Lists!$C:$C,Lists!$D:$D))</f>
        <v/>
      </c>
      <c r="N934" s="26" t="str">
        <f t="shared" si="68"/>
        <v/>
      </c>
      <c r="O934" s="27" t="str">
        <f>IF(I934="","",_xlfn.XLOOKUP(I934,Lists!$C:$C,Lists!$J:$J))</f>
        <v/>
      </c>
      <c r="P934" s="27" t="str">
        <f>IF(I934="","",_xlfn.XLOOKUP(I934,Lists!$C:$C,Lists!$E:$E))</f>
        <v/>
      </c>
      <c r="Q934" s="28" t="str">
        <f t="shared" si="69"/>
        <v/>
      </c>
      <c r="R934" s="26" t="str">
        <f t="shared" ca="1" si="70"/>
        <v/>
      </c>
      <c r="S934" s="27" t="str">
        <f>IF(I934="","",_xlfn.XLOOKUP(I934,Lists!$C:$C,Lists!$I:$I))</f>
        <v/>
      </c>
    </row>
    <row r="935" spans="3:19" x14ac:dyDescent="0.2">
      <c r="C935" s="26">
        <f>_xlfn.XLOOKUP(B935,Lists!B:B,Lists!A:A,"")</f>
        <v>0</v>
      </c>
      <c r="G935" s="26" t="str">
        <f t="shared" si="66"/>
        <v/>
      </c>
      <c r="H935" s="31" t="str">
        <f t="shared" si="67"/>
        <v/>
      </c>
      <c r="J935" s="27" t="str">
        <f>IF(I935="","",_xlfn.XLOOKUP(I935,Lists!$C:$C,Lists!$D:$D))</f>
        <v/>
      </c>
      <c r="N935" s="26" t="str">
        <f t="shared" si="68"/>
        <v/>
      </c>
      <c r="O935" s="27" t="str">
        <f>IF(I935="","",_xlfn.XLOOKUP(I935,Lists!$C:$C,Lists!$J:$J))</f>
        <v/>
      </c>
      <c r="P935" s="27" t="str">
        <f>IF(I935="","",_xlfn.XLOOKUP(I935,Lists!$C:$C,Lists!$E:$E))</f>
        <v/>
      </c>
      <c r="Q935" s="28" t="str">
        <f t="shared" si="69"/>
        <v/>
      </c>
      <c r="R935" s="26" t="str">
        <f t="shared" ca="1" si="70"/>
        <v/>
      </c>
      <c r="S935" s="27" t="str">
        <f>IF(I935="","",_xlfn.XLOOKUP(I935,Lists!$C:$C,Lists!$I:$I))</f>
        <v/>
      </c>
    </row>
    <row r="936" spans="3:19" x14ac:dyDescent="0.2">
      <c r="C936" s="26">
        <f>_xlfn.XLOOKUP(B936,Lists!B:B,Lists!A:A,"")</f>
        <v>0</v>
      </c>
      <c r="G936" s="26" t="str">
        <f t="shared" si="66"/>
        <v/>
      </c>
      <c r="H936" s="31" t="str">
        <f t="shared" si="67"/>
        <v/>
      </c>
      <c r="J936" s="27" t="str">
        <f>IF(I936="","",_xlfn.XLOOKUP(I936,Lists!$C:$C,Lists!$D:$D))</f>
        <v/>
      </c>
      <c r="N936" s="26" t="str">
        <f t="shared" si="68"/>
        <v/>
      </c>
      <c r="O936" s="27" t="str">
        <f>IF(I936="","",_xlfn.XLOOKUP(I936,Lists!$C:$C,Lists!$J:$J))</f>
        <v/>
      </c>
      <c r="P936" s="27" t="str">
        <f>IF(I936="","",_xlfn.XLOOKUP(I936,Lists!$C:$C,Lists!$E:$E))</f>
        <v/>
      </c>
      <c r="Q936" s="28" t="str">
        <f t="shared" si="69"/>
        <v/>
      </c>
      <c r="R936" s="26" t="str">
        <f t="shared" ca="1" si="70"/>
        <v/>
      </c>
      <c r="S936" s="27" t="str">
        <f>IF(I936="","",_xlfn.XLOOKUP(I936,Lists!$C:$C,Lists!$I:$I))</f>
        <v/>
      </c>
    </row>
    <row r="937" spans="3:19" x14ac:dyDescent="0.2">
      <c r="C937" s="26">
        <f>_xlfn.XLOOKUP(B937,Lists!B:B,Lists!A:A,"")</f>
        <v>0</v>
      </c>
      <c r="G937" s="26" t="str">
        <f t="shared" si="66"/>
        <v/>
      </c>
      <c r="H937" s="31" t="str">
        <f t="shared" si="67"/>
        <v/>
      </c>
      <c r="J937" s="27" t="str">
        <f>IF(I937="","",_xlfn.XLOOKUP(I937,Lists!$C:$C,Lists!$D:$D))</f>
        <v/>
      </c>
      <c r="N937" s="26" t="str">
        <f t="shared" si="68"/>
        <v/>
      </c>
      <c r="O937" s="27" t="str">
        <f>IF(I937="","",_xlfn.XLOOKUP(I937,Lists!$C:$C,Lists!$J:$J))</f>
        <v/>
      </c>
      <c r="P937" s="27" t="str">
        <f>IF(I937="","",_xlfn.XLOOKUP(I937,Lists!$C:$C,Lists!$E:$E))</f>
        <v/>
      </c>
      <c r="Q937" s="28" t="str">
        <f t="shared" si="69"/>
        <v/>
      </c>
      <c r="R937" s="26" t="str">
        <f t="shared" ca="1" si="70"/>
        <v/>
      </c>
      <c r="S937" s="27" t="str">
        <f>IF(I937="","",_xlfn.XLOOKUP(I937,Lists!$C:$C,Lists!$I:$I))</f>
        <v/>
      </c>
    </row>
    <row r="938" spans="3:19" x14ac:dyDescent="0.2">
      <c r="C938" s="26">
        <f>_xlfn.XLOOKUP(B938,Lists!B:B,Lists!A:A,"")</f>
        <v>0</v>
      </c>
      <c r="G938" s="26" t="str">
        <f t="shared" si="66"/>
        <v/>
      </c>
      <c r="H938" s="31" t="str">
        <f t="shared" si="67"/>
        <v/>
      </c>
      <c r="J938" s="27" t="str">
        <f>IF(I938="","",_xlfn.XLOOKUP(I938,Lists!$C:$C,Lists!$D:$D))</f>
        <v/>
      </c>
      <c r="N938" s="26" t="str">
        <f t="shared" si="68"/>
        <v/>
      </c>
      <c r="O938" s="27" t="str">
        <f>IF(I938="","",_xlfn.XLOOKUP(I938,Lists!$C:$C,Lists!$J:$J))</f>
        <v/>
      </c>
      <c r="P938" s="27" t="str">
        <f>IF(I938="","",_xlfn.XLOOKUP(I938,Lists!$C:$C,Lists!$E:$E))</f>
        <v/>
      </c>
      <c r="Q938" s="28" t="str">
        <f t="shared" si="69"/>
        <v/>
      </c>
      <c r="R938" s="26" t="str">
        <f t="shared" ca="1" si="70"/>
        <v/>
      </c>
      <c r="S938" s="27" t="str">
        <f>IF(I938="","",_xlfn.XLOOKUP(I938,Lists!$C:$C,Lists!$I:$I))</f>
        <v/>
      </c>
    </row>
    <row r="939" spans="3:19" x14ac:dyDescent="0.2">
      <c r="C939" s="26">
        <f>_xlfn.XLOOKUP(B939,Lists!B:B,Lists!A:A,"")</f>
        <v>0</v>
      </c>
      <c r="G939" s="26" t="str">
        <f t="shared" si="66"/>
        <v/>
      </c>
      <c r="H939" s="31" t="str">
        <f t="shared" si="67"/>
        <v/>
      </c>
      <c r="J939" s="27" t="str">
        <f>IF(I939="","",_xlfn.XLOOKUP(I939,Lists!$C:$C,Lists!$D:$D))</f>
        <v/>
      </c>
      <c r="N939" s="26" t="str">
        <f t="shared" si="68"/>
        <v/>
      </c>
      <c r="O939" s="27" t="str">
        <f>IF(I939="","",_xlfn.XLOOKUP(I939,Lists!$C:$C,Lists!$J:$J))</f>
        <v/>
      </c>
      <c r="P939" s="27" t="str">
        <f>IF(I939="","",_xlfn.XLOOKUP(I939,Lists!$C:$C,Lists!$E:$E))</f>
        <v/>
      </c>
      <c r="Q939" s="28" t="str">
        <f t="shared" si="69"/>
        <v/>
      </c>
      <c r="R939" s="26" t="str">
        <f t="shared" ca="1" si="70"/>
        <v/>
      </c>
      <c r="S939" s="27" t="str">
        <f>IF(I939="","",_xlfn.XLOOKUP(I939,Lists!$C:$C,Lists!$I:$I))</f>
        <v/>
      </c>
    </row>
    <row r="940" spans="3:19" x14ac:dyDescent="0.2">
      <c r="C940" s="26">
        <f>_xlfn.XLOOKUP(B940,Lists!B:B,Lists!A:A,"")</f>
        <v>0</v>
      </c>
      <c r="G940" s="26" t="str">
        <f t="shared" si="66"/>
        <v/>
      </c>
      <c r="H940" s="31" t="str">
        <f t="shared" si="67"/>
        <v/>
      </c>
      <c r="J940" s="27" t="str">
        <f>IF(I940="","",_xlfn.XLOOKUP(I940,Lists!$C:$C,Lists!$D:$D))</f>
        <v/>
      </c>
      <c r="N940" s="26" t="str">
        <f t="shared" si="68"/>
        <v/>
      </c>
      <c r="O940" s="27" t="str">
        <f>IF(I940="","",_xlfn.XLOOKUP(I940,Lists!$C:$C,Lists!$J:$J))</f>
        <v/>
      </c>
      <c r="P940" s="27" t="str">
        <f>IF(I940="","",_xlfn.XLOOKUP(I940,Lists!$C:$C,Lists!$E:$E))</f>
        <v/>
      </c>
      <c r="Q940" s="28" t="str">
        <f t="shared" si="69"/>
        <v/>
      </c>
      <c r="R940" s="26" t="str">
        <f t="shared" ca="1" si="70"/>
        <v/>
      </c>
      <c r="S940" s="27" t="str">
        <f>IF(I940="","",_xlfn.XLOOKUP(I940,Lists!$C:$C,Lists!$I:$I))</f>
        <v/>
      </c>
    </row>
    <row r="941" spans="3:19" x14ac:dyDescent="0.2">
      <c r="C941" s="26">
        <f>_xlfn.XLOOKUP(B941,Lists!B:B,Lists!A:A,"")</f>
        <v>0</v>
      </c>
      <c r="G941" s="26" t="str">
        <f t="shared" si="66"/>
        <v/>
      </c>
      <c r="H941" s="31" t="str">
        <f t="shared" si="67"/>
        <v/>
      </c>
      <c r="J941" s="27" t="str">
        <f>IF(I941="","",_xlfn.XLOOKUP(I941,Lists!$C:$C,Lists!$D:$D))</f>
        <v/>
      </c>
      <c r="N941" s="26" t="str">
        <f t="shared" si="68"/>
        <v/>
      </c>
      <c r="O941" s="27" t="str">
        <f>IF(I941="","",_xlfn.XLOOKUP(I941,Lists!$C:$C,Lists!$J:$J))</f>
        <v/>
      </c>
      <c r="P941" s="27" t="str">
        <f>IF(I941="","",_xlfn.XLOOKUP(I941,Lists!$C:$C,Lists!$E:$E))</f>
        <v/>
      </c>
      <c r="Q941" s="28" t="str">
        <f t="shared" si="69"/>
        <v/>
      </c>
      <c r="R941" s="26" t="str">
        <f t="shared" ca="1" si="70"/>
        <v/>
      </c>
      <c r="S941" s="27" t="str">
        <f>IF(I941="","",_xlfn.XLOOKUP(I941,Lists!$C:$C,Lists!$I:$I))</f>
        <v/>
      </c>
    </row>
    <row r="942" spans="3:19" x14ac:dyDescent="0.2">
      <c r="C942" s="26">
        <f>_xlfn.XLOOKUP(B942,Lists!B:B,Lists!A:A,"")</f>
        <v>0</v>
      </c>
      <c r="G942" s="26" t="str">
        <f t="shared" si="66"/>
        <v/>
      </c>
      <c r="H942" s="31" t="str">
        <f t="shared" si="67"/>
        <v/>
      </c>
      <c r="J942" s="27" t="str">
        <f>IF(I942="","",_xlfn.XLOOKUP(I942,Lists!$C:$C,Lists!$D:$D))</f>
        <v/>
      </c>
      <c r="N942" s="26" t="str">
        <f t="shared" si="68"/>
        <v/>
      </c>
      <c r="O942" s="27" t="str">
        <f>IF(I942="","",_xlfn.XLOOKUP(I942,Lists!$C:$C,Lists!$J:$J))</f>
        <v/>
      </c>
      <c r="P942" s="27" t="str">
        <f>IF(I942="","",_xlfn.XLOOKUP(I942,Lists!$C:$C,Lists!$E:$E))</f>
        <v/>
      </c>
      <c r="Q942" s="28" t="str">
        <f t="shared" si="69"/>
        <v/>
      </c>
      <c r="R942" s="26" t="str">
        <f t="shared" ca="1" si="70"/>
        <v/>
      </c>
      <c r="S942" s="27" t="str">
        <f>IF(I942="","",_xlfn.XLOOKUP(I942,Lists!$C:$C,Lists!$I:$I))</f>
        <v/>
      </c>
    </row>
    <row r="943" spans="3:19" x14ac:dyDescent="0.2">
      <c r="C943" s="26">
        <f>_xlfn.XLOOKUP(B943,Lists!B:B,Lists!A:A,"")</f>
        <v>0</v>
      </c>
      <c r="G943" s="26" t="str">
        <f t="shared" si="66"/>
        <v/>
      </c>
      <c r="H943" s="31" t="str">
        <f t="shared" si="67"/>
        <v/>
      </c>
      <c r="J943" s="27" t="str">
        <f>IF(I943="","",_xlfn.XLOOKUP(I943,Lists!$C:$C,Lists!$D:$D))</f>
        <v/>
      </c>
      <c r="N943" s="26" t="str">
        <f t="shared" si="68"/>
        <v/>
      </c>
      <c r="O943" s="27" t="str">
        <f>IF(I943="","",_xlfn.XLOOKUP(I943,Lists!$C:$C,Lists!$J:$J))</f>
        <v/>
      </c>
      <c r="P943" s="27" t="str">
        <f>IF(I943="","",_xlfn.XLOOKUP(I943,Lists!$C:$C,Lists!$E:$E))</f>
        <v/>
      </c>
      <c r="Q943" s="28" t="str">
        <f t="shared" si="69"/>
        <v/>
      </c>
      <c r="R943" s="26" t="str">
        <f t="shared" ca="1" si="70"/>
        <v/>
      </c>
      <c r="S943" s="27" t="str">
        <f>IF(I943="","",_xlfn.XLOOKUP(I943,Lists!$C:$C,Lists!$I:$I))</f>
        <v/>
      </c>
    </row>
    <row r="944" spans="3:19" x14ac:dyDescent="0.2">
      <c r="C944" s="26">
        <f>_xlfn.XLOOKUP(B944,Lists!B:B,Lists!A:A,"")</f>
        <v>0</v>
      </c>
      <c r="G944" s="26" t="str">
        <f t="shared" si="66"/>
        <v/>
      </c>
      <c r="H944" s="31" t="str">
        <f t="shared" si="67"/>
        <v/>
      </c>
      <c r="J944" s="27" t="str">
        <f>IF(I944="","",_xlfn.XLOOKUP(I944,Lists!$C:$C,Lists!$D:$D))</f>
        <v/>
      </c>
      <c r="N944" s="26" t="str">
        <f t="shared" si="68"/>
        <v/>
      </c>
      <c r="O944" s="27" t="str">
        <f>IF(I944="","",_xlfn.XLOOKUP(I944,Lists!$C:$C,Lists!$J:$J))</f>
        <v/>
      </c>
      <c r="P944" s="27" t="str">
        <f>IF(I944="","",_xlfn.XLOOKUP(I944,Lists!$C:$C,Lists!$E:$E))</f>
        <v/>
      </c>
      <c r="Q944" s="28" t="str">
        <f t="shared" si="69"/>
        <v/>
      </c>
      <c r="R944" s="26" t="str">
        <f t="shared" ca="1" si="70"/>
        <v/>
      </c>
      <c r="S944" s="27" t="str">
        <f>IF(I944="","",_xlfn.XLOOKUP(I944,Lists!$C:$C,Lists!$I:$I))</f>
        <v/>
      </c>
    </row>
    <row r="945" spans="3:19" x14ac:dyDescent="0.2">
      <c r="C945" s="26">
        <f>_xlfn.XLOOKUP(B945,Lists!B:B,Lists!A:A,"")</f>
        <v>0</v>
      </c>
      <c r="G945" s="26" t="str">
        <f t="shared" si="66"/>
        <v/>
      </c>
      <c r="H945" s="31" t="str">
        <f t="shared" si="67"/>
        <v/>
      </c>
      <c r="J945" s="27" t="str">
        <f>IF(I945="","",_xlfn.XLOOKUP(I945,Lists!$C:$C,Lists!$D:$D))</f>
        <v/>
      </c>
      <c r="N945" s="26" t="str">
        <f t="shared" si="68"/>
        <v/>
      </c>
      <c r="O945" s="27" t="str">
        <f>IF(I945="","",_xlfn.XLOOKUP(I945,Lists!$C:$C,Lists!$J:$J))</f>
        <v/>
      </c>
      <c r="P945" s="27" t="str">
        <f>IF(I945="","",_xlfn.XLOOKUP(I945,Lists!$C:$C,Lists!$E:$E))</f>
        <v/>
      </c>
      <c r="Q945" s="28" t="str">
        <f t="shared" si="69"/>
        <v/>
      </c>
      <c r="R945" s="26" t="str">
        <f t="shared" ca="1" si="70"/>
        <v/>
      </c>
      <c r="S945" s="27" t="str">
        <f>IF(I945="","",_xlfn.XLOOKUP(I945,Lists!$C:$C,Lists!$I:$I))</f>
        <v/>
      </c>
    </row>
    <row r="946" spans="3:19" x14ac:dyDescent="0.2">
      <c r="C946" s="26">
        <f>_xlfn.XLOOKUP(B946,Lists!B:B,Lists!A:A,"")</f>
        <v>0</v>
      </c>
      <c r="G946" s="26" t="str">
        <f t="shared" si="66"/>
        <v/>
      </c>
      <c r="H946" s="31" t="str">
        <f t="shared" si="67"/>
        <v/>
      </c>
      <c r="J946" s="27" t="str">
        <f>IF(I946="","",_xlfn.XLOOKUP(I946,Lists!$C:$C,Lists!$D:$D))</f>
        <v/>
      </c>
      <c r="N946" s="26" t="str">
        <f t="shared" si="68"/>
        <v/>
      </c>
      <c r="O946" s="27" t="str">
        <f>IF(I946="","",_xlfn.XLOOKUP(I946,Lists!$C:$C,Lists!$J:$J))</f>
        <v/>
      </c>
      <c r="P946" s="27" t="str">
        <f>IF(I946="","",_xlfn.XLOOKUP(I946,Lists!$C:$C,Lists!$E:$E))</f>
        <v/>
      </c>
      <c r="Q946" s="28" t="str">
        <f t="shared" si="69"/>
        <v/>
      </c>
      <c r="R946" s="26" t="str">
        <f t="shared" ca="1" si="70"/>
        <v/>
      </c>
      <c r="S946" s="27" t="str">
        <f>IF(I946="","",_xlfn.XLOOKUP(I946,Lists!$C:$C,Lists!$I:$I))</f>
        <v/>
      </c>
    </row>
    <row r="947" spans="3:19" x14ac:dyDescent="0.2">
      <c r="C947" s="26">
        <f>_xlfn.XLOOKUP(B947,Lists!B:B,Lists!A:A,"")</f>
        <v>0</v>
      </c>
      <c r="G947" s="26" t="str">
        <f t="shared" si="66"/>
        <v/>
      </c>
      <c r="H947" s="31" t="str">
        <f t="shared" si="67"/>
        <v/>
      </c>
      <c r="J947" s="27" t="str">
        <f>IF(I947="","",_xlfn.XLOOKUP(I947,Lists!$C:$C,Lists!$D:$D))</f>
        <v/>
      </c>
      <c r="N947" s="26" t="str">
        <f t="shared" si="68"/>
        <v/>
      </c>
      <c r="O947" s="27" t="str">
        <f>IF(I947="","",_xlfn.XLOOKUP(I947,Lists!$C:$C,Lists!$J:$J))</f>
        <v/>
      </c>
      <c r="P947" s="27" t="str">
        <f>IF(I947="","",_xlfn.XLOOKUP(I947,Lists!$C:$C,Lists!$E:$E))</f>
        <v/>
      </c>
      <c r="Q947" s="28" t="str">
        <f t="shared" si="69"/>
        <v/>
      </c>
      <c r="R947" s="26" t="str">
        <f t="shared" ca="1" si="70"/>
        <v/>
      </c>
      <c r="S947" s="27" t="str">
        <f>IF(I947="","",_xlfn.XLOOKUP(I947,Lists!$C:$C,Lists!$I:$I))</f>
        <v/>
      </c>
    </row>
    <row r="948" spans="3:19" x14ac:dyDescent="0.2">
      <c r="C948" s="26">
        <f>_xlfn.XLOOKUP(B948,Lists!B:B,Lists!A:A,"")</f>
        <v>0</v>
      </c>
      <c r="G948" s="26" t="str">
        <f t="shared" si="66"/>
        <v/>
      </c>
      <c r="H948" s="31" t="str">
        <f t="shared" si="67"/>
        <v/>
      </c>
      <c r="J948" s="27" t="str">
        <f>IF(I948="","",_xlfn.XLOOKUP(I948,Lists!$C:$C,Lists!$D:$D))</f>
        <v/>
      </c>
      <c r="N948" s="26" t="str">
        <f t="shared" si="68"/>
        <v/>
      </c>
      <c r="O948" s="27" t="str">
        <f>IF(I948="","",_xlfn.XLOOKUP(I948,Lists!$C:$C,Lists!$J:$J))</f>
        <v/>
      </c>
      <c r="P948" s="27" t="str">
        <f>IF(I948="","",_xlfn.XLOOKUP(I948,Lists!$C:$C,Lists!$E:$E))</f>
        <v/>
      </c>
      <c r="Q948" s="28" t="str">
        <f t="shared" si="69"/>
        <v/>
      </c>
      <c r="R948" s="26" t="str">
        <f t="shared" ca="1" si="70"/>
        <v/>
      </c>
      <c r="S948" s="27" t="str">
        <f>IF(I948="","",_xlfn.XLOOKUP(I948,Lists!$C:$C,Lists!$I:$I))</f>
        <v/>
      </c>
    </row>
    <row r="949" spans="3:19" x14ac:dyDescent="0.2">
      <c r="C949" s="26">
        <f>_xlfn.XLOOKUP(B949,Lists!B:B,Lists!A:A,"")</f>
        <v>0</v>
      </c>
      <c r="G949" s="26" t="str">
        <f t="shared" si="66"/>
        <v/>
      </c>
      <c r="H949" s="31" t="str">
        <f t="shared" si="67"/>
        <v/>
      </c>
      <c r="J949" s="27" t="str">
        <f>IF(I949="","",_xlfn.XLOOKUP(I949,Lists!$C:$C,Lists!$D:$D))</f>
        <v/>
      </c>
      <c r="N949" s="26" t="str">
        <f t="shared" si="68"/>
        <v/>
      </c>
      <c r="O949" s="27" t="str">
        <f>IF(I949="","",_xlfn.XLOOKUP(I949,Lists!$C:$C,Lists!$J:$J))</f>
        <v/>
      </c>
      <c r="P949" s="27" t="str">
        <f>IF(I949="","",_xlfn.XLOOKUP(I949,Lists!$C:$C,Lists!$E:$E))</f>
        <v/>
      </c>
      <c r="Q949" s="28" t="str">
        <f t="shared" si="69"/>
        <v/>
      </c>
      <c r="R949" s="26" t="str">
        <f t="shared" ca="1" si="70"/>
        <v/>
      </c>
      <c r="S949" s="27" t="str">
        <f>IF(I949="","",_xlfn.XLOOKUP(I949,Lists!$C:$C,Lists!$I:$I))</f>
        <v/>
      </c>
    </row>
    <row r="950" spans="3:19" x14ac:dyDescent="0.2">
      <c r="C950" s="26">
        <f>_xlfn.XLOOKUP(B950,Lists!B:B,Lists!A:A,"")</f>
        <v>0</v>
      </c>
      <c r="G950" s="26" t="str">
        <f t="shared" si="66"/>
        <v/>
      </c>
      <c r="H950" s="31" t="str">
        <f t="shared" si="67"/>
        <v/>
      </c>
      <c r="J950" s="27" t="str">
        <f>IF(I950="","",_xlfn.XLOOKUP(I950,Lists!$C:$C,Lists!$D:$D))</f>
        <v/>
      </c>
      <c r="N950" s="26" t="str">
        <f t="shared" si="68"/>
        <v/>
      </c>
      <c r="O950" s="27" t="str">
        <f>IF(I950="","",_xlfn.XLOOKUP(I950,Lists!$C:$C,Lists!$J:$J))</f>
        <v/>
      </c>
      <c r="P950" s="27" t="str">
        <f>IF(I950="","",_xlfn.XLOOKUP(I950,Lists!$C:$C,Lists!$E:$E))</f>
        <v/>
      </c>
      <c r="Q950" s="28" t="str">
        <f t="shared" si="69"/>
        <v/>
      </c>
      <c r="R950" s="26" t="str">
        <f t="shared" ca="1" si="70"/>
        <v/>
      </c>
      <c r="S950" s="27" t="str">
        <f>IF(I950="","",_xlfn.XLOOKUP(I950,Lists!$C:$C,Lists!$I:$I))</f>
        <v/>
      </c>
    </row>
    <row r="951" spans="3:19" x14ac:dyDescent="0.2">
      <c r="C951" s="26">
        <f>_xlfn.XLOOKUP(B951,Lists!B:B,Lists!A:A,"")</f>
        <v>0</v>
      </c>
      <c r="G951" s="26" t="str">
        <f t="shared" si="66"/>
        <v/>
      </c>
      <c r="H951" s="31" t="str">
        <f t="shared" si="67"/>
        <v/>
      </c>
      <c r="J951" s="27" t="str">
        <f>IF(I951="","",_xlfn.XLOOKUP(I951,Lists!$C:$C,Lists!$D:$D))</f>
        <v/>
      </c>
      <c r="N951" s="26" t="str">
        <f t="shared" si="68"/>
        <v/>
      </c>
      <c r="O951" s="27" t="str">
        <f>IF(I951="","",_xlfn.XLOOKUP(I951,Lists!$C:$C,Lists!$J:$J))</f>
        <v/>
      </c>
      <c r="P951" s="27" t="str">
        <f>IF(I951="","",_xlfn.XLOOKUP(I951,Lists!$C:$C,Lists!$E:$E))</f>
        <v/>
      </c>
      <c r="Q951" s="28" t="str">
        <f t="shared" si="69"/>
        <v/>
      </c>
      <c r="R951" s="26" t="str">
        <f t="shared" ca="1" si="70"/>
        <v/>
      </c>
      <c r="S951" s="27" t="str">
        <f>IF(I951="","",_xlfn.XLOOKUP(I951,Lists!$C:$C,Lists!$I:$I))</f>
        <v/>
      </c>
    </row>
    <row r="952" spans="3:19" x14ac:dyDescent="0.2">
      <c r="C952" s="26">
        <f>_xlfn.XLOOKUP(B952,Lists!B:B,Lists!A:A,"")</f>
        <v>0</v>
      </c>
      <c r="G952" s="26" t="str">
        <f t="shared" si="66"/>
        <v/>
      </c>
      <c r="H952" s="31" t="str">
        <f t="shared" si="67"/>
        <v/>
      </c>
      <c r="J952" s="27" t="str">
        <f>IF(I952="","",_xlfn.XLOOKUP(I952,Lists!$C:$C,Lists!$D:$D))</f>
        <v/>
      </c>
      <c r="N952" s="26" t="str">
        <f t="shared" si="68"/>
        <v/>
      </c>
      <c r="O952" s="27" t="str">
        <f>IF(I952="","",_xlfn.XLOOKUP(I952,Lists!$C:$C,Lists!$J:$J))</f>
        <v/>
      </c>
      <c r="P952" s="27" t="str">
        <f>IF(I952="","",_xlfn.XLOOKUP(I952,Lists!$C:$C,Lists!$E:$E))</f>
        <v/>
      </c>
      <c r="Q952" s="28" t="str">
        <f t="shared" si="69"/>
        <v/>
      </c>
      <c r="R952" s="26" t="str">
        <f t="shared" ca="1" si="70"/>
        <v/>
      </c>
      <c r="S952" s="27" t="str">
        <f>IF(I952="","",_xlfn.XLOOKUP(I952,Lists!$C:$C,Lists!$I:$I))</f>
        <v/>
      </c>
    </row>
    <row r="953" spans="3:19" x14ac:dyDescent="0.2">
      <c r="C953" s="26">
        <f>_xlfn.XLOOKUP(B953,Lists!B:B,Lists!A:A,"")</f>
        <v>0</v>
      </c>
      <c r="G953" s="26" t="str">
        <f t="shared" si="66"/>
        <v/>
      </c>
      <c r="H953" s="31" t="str">
        <f t="shared" si="67"/>
        <v/>
      </c>
      <c r="J953" s="27" t="str">
        <f>IF(I953="","",_xlfn.XLOOKUP(I953,Lists!$C:$C,Lists!$D:$D))</f>
        <v/>
      </c>
      <c r="N953" s="26" t="str">
        <f t="shared" si="68"/>
        <v/>
      </c>
      <c r="O953" s="27" t="str">
        <f>IF(I953="","",_xlfn.XLOOKUP(I953,Lists!$C:$C,Lists!$J:$J))</f>
        <v/>
      </c>
      <c r="P953" s="27" t="str">
        <f>IF(I953="","",_xlfn.XLOOKUP(I953,Lists!$C:$C,Lists!$E:$E))</f>
        <v/>
      </c>
      <c r="Q953" s="28" t="str">
        <f t="shared" si="69"/>
        <v/>
      </c>
      <c r="R953" s="26" t="str">
        <f t="shared" ca="1" si="70"/>
        <v/>
      </c>
      <c r="S953" s="27" t="str">
        <f>IF(I953="","",_xlfn.XLOOKUP(I953,Lists!$C:$C,Lists!$I:$I))</f>
        <v/>
      </c>
    </row>
    <row r="954" spans="3:19" x14ac:dyDescent="0.2">
      <c r="C954" s="26">
        <f>_xlfn.XLOOKUP(B954,Lists!B:B,Lists!A:A,"")</f>
        <v>0</v>
      </c>
      <c r="G954" s="26" t="str">
        <f t="shared" si="66"/>
        <v/>
      </c>
      <c r="H954" s="31" t="str">
        <f t="shared" si="67"/>
        <v/>
      </c>
      <c r="J954" s="27" t="str">
        <f>IF(I954="","",_xlfn.XLOOKUP(I954,Lists!$C:$C,Lists!$D:$D))</f>
        <v/>
      </c>
      <c r="N954" s="26" t="str">
        <f t="shared" si="68"/>
        <v/>
      </c>
      <c r="O954" s="27" t="str">
        <f>IF(I954="","",_xlfn.XLOOKUP(I954,Lists!$C:$C,Lists!$J:$J))</f>
        <v/>
      </c>
      <c r="P954" s="27" t="str">
        <f>IF(I954="","",_xlfn.XLOOKUP(I954,Lists!$C:$C,Lists!$E:$E))</f>
        <v/>
      </c>
      <c r="Q954" s="28" t="str">
        <f t="shared" si="69"/>
        <v/>
      </c>
      <c r="R954" s="26" t="str">
        <f t="shared" ca="1" si="70"/>
        <v/>
      </c>
      <c r="S954" s="27" t="str">
        <f>IF(I954="","",_xlfn.XLOOKUP(I954,Lists!$C:$C,Lists!$I:$I))</f>
        <v/>
      </c>
    </row>
    <row r="955" spans="3:19" x14ac:dyDescent="0.2">
      <c r="C955" s="26">
        <f>_xlfn.XLOOKUP(B955,Lists!B:B,Lists!A:A,"")</f>
        <v>0</v>
      </c>
      <c r="G955" s="26" t="str">
        <f t="shared" si="66"/>
        <v/>
      </c>
      <c r="H955" s="31" t="str">
        <f t="shared" si="67"/>
        <v/>
      </c>
      <c r="J955" s="27" t="str">
        <f>IF(I955="","",_xlfn.XLOOKUP(I955,Lists!$C:$C,Lists!$D:$D))</f>
        <v/>
      </c>
      <c r="N955" s="26" t="str">
        <f t="shared" si="68"/>
        <v/>
      </c>
      <c r="O955" s="27" t="str">
        <f>IF(I955="","",_xlfn.XLOOKUP(I955,Lists!$C:$C,Lists!$J:$J))</f>
        <v/>
      </c>
      <c r="P955" s="27" t="str">
        <f>IF(I955="","",_xlfn.XLOOKUP(I955,Lists!$C:$C,Lists!$E:$E))</f>
        <v/>
      </c>
      <c r="Q955" s="28" t="str">
        <f t="shared" si="69"/>
        <v/>
      </c>
      <c r="R955" s="26" t="str">
        <f t="shared" ca="1" si="70"/>
        <v/>
      </c>
      <c r="S955" s="27" t="str">
        <f>IF(I955="","",_xlfn.XLOOKUP(I955,Lists!$C:$C,Lists!$I:$I))</f>
        <v/>
      </c>
    </row>
    <row r="956" spans="3:19" x14ac:dyDescent="0.2">
      <c r="C956" s="26">
        <f>_xlfn.XLOOKUP(B956,Lists!B:B,Lists!A:A,"")</f>
        <v>0</v>
      </c>
      <c r="G956" s="26" t="str">
        <f t="shared" si="66"/>
        <v/>
      </c>
      <c r="H956" s="31" t="str">
        <f t="shared" si="67"/>
        <v/>
      </c>
      <c r="J956" s="27" t="str">
        <f>IF(I956="","",_xlfn.XLOOKUP(I956,Lists!$C:$C,Lists!$D:$D))</f>
        <v/>
      </c>
      <c r="N956" s="26" t="str">
        <f t="shared" si="68"/>
        <v/>
      </c>
      <c r="O956" s="27" t="str">
        <f>IF(I956="","",_xlfn.XLOOKUP(I956,Lists!$C:$C,Lists!$J:$J))</f>
        <v/>
      </c>
      <c r="P956" s="27" t="str">
        <f>IF(I956="","",_xlfn.XLOOKUP(I956,Lists!$C:$C,Lists!$E:$E))</f>
        <v/>
      </c>
      <c r="Q956" s="28" t="str">
        <f t="shared" si="69"/>
        <v/>
      </c>
      <c r="R956" s="26" t="str">
        <f t="shared" ca="1" si="70"/>
        <v/>
      </c>
      <c r="S956" s="27" t="str">
        <f>IF(I956="","",_xlfn.XLOOKUP(I956,Lists!$C:$C,Lists!$I:$I))</f>
        <v/>
      </c>
    </row>
    <row r="957" spans="3:19" x14ac:dyDescent="0.2">
      <c r="C957" s="26">
        <f>_xlfn.XLOOKUP(B957,Lists!B:B,Lists!A:A,"")</f>
        <v>0</v>
      </c>
      <c r="G957" s="26" t="str">
        <f t="shared" si="66"/>
        <v/>
      </c>
      <c r="H957" s="31" t="str">
        <f t="shared" si="67"/>
        <v/>
      </c>
      <c r="J957" s="27" t="str">
        <f>IF(I957="","",_xlfn.XLOOKUP(I957,Lists!$C:$C,Lists!$D:$D))</f>
        <v/>
      </c>
      <c r="N957" s="26" t="str">
        <f t="shared" si="68"/>
        <v/>
      </c>
      <c r="O957" s="27" t="str">
        <f>IF(I957="","",_xlfn.XLOOKUP(I957,Lists!$C:$C,Lists!$J:$J))</f>
        <v/>
      </c>
      <c r="P957" s="27" t="str">
        <f>IF(I957="","",_xlfn.XLOOKUP(I957,Lists!$C:$C,Lists!$E:$E))</f>
        <v/>
      </c>
      <c r="Q957" s="28" t="str">
        <f t="shared" si="69"/>
        <v/>
      </c>
      <c r="R957" s="26" t="str">
        <f t="shared" ca="1" si="70"/>
        <v/>
      </c>
      <c r="S957" s="27" t="str">
        <f>IF(I957="","",_xlfn.XLOOKUP(I957,Lists!$C:$C,Lists!$I:$I))</f>
        <v/>
      </c>
    </row>
    <row r="958" spans="3:19" x14ac:dyDescent="0.2">
      <c r="C958" s="26">
        <f>_xlfn.XLOOKUP(B958,Lists!B:B,Lists!A:A,"")</f>
        <v>0</v>
      </c>
      <c r="G958" s="26" t="str">
        <f t="shared" si="66"/>
        <v/>
      </c>
      <c r="H958" s="31" t="str">
        <f t="shared" si="67"/>
        <v/>
      </c>
      <c r="J958" s="27" t="str">
        <f>IF(I958="","",_xlfn.XLOOKUP(I958,Lists!$C:$C,Lists!$D:$D))</f>
        <v/>
      </c>
      <c r="N958" s="26" t="str">
        <f t="shared" si="68"/>
        <v/>
      </c>
      <c r="O958" s="27" t="str">
        <f>IF(I958="","",_xlfn.XLOOKUP(I958,Lists!$C:$C,Lists!$J:$J))</f>
        <v/>
      </c>
      <c r="P958" s="27" t="str">
        <f>IF(I958="","",_xlfn.XLOOKUP(I958,Lists!$C:$C,Lists!$E:$E))</f>
        <v/>
      </c>
      <c r="Q958" s="28" t="str">
        <f t="shared" si="69"/>
        <v/>
      </c>
      <c r="R958" s="26" t="str">
        <f t="shared" ca="1" si="70"/>
        <v/>
      </c>
      <c r="S958" s="27" t="str">
        <f>IF(I958="","",_xlfn.XLOOKUP(I958,Lists!$C:$C,Lists!$I:$I))</f>
        <v/>
      </c>
    </row>
    <row r="959" spans="3:19" x14ac:dyDescent="0.2">
      <c r="C959" s="26">
        <f>_xlfn.XLOOKUP(B959,Lists!B:B,Lists!A:A,"")</f>
        <v>0</v>
      </c>
      <c r="G959" s="26" t="str">
        <f t="shared" si="66"/>
        <v/>
      </c>
      <c r="H959" s="31" t="str">
        <f t="shared" si="67"/>
        <v/>
      </c>
      <c r="J959" s="27" t="str">
        <f>IF(I959="","",_xlfn.XLOOKUP(I959,Lists!$C:$C,Lists!$D:$D))</f>
        <v/>
      </c>
      <c r="N959" s="26" t="str">
        <f t="shared" si="68"/>
        <v/>
      </c>
      <c r="O959" s="27" t="str">
        <f>IF(I959="","",_xlfn.XLOOKUP(I959,Lists!$C:$C,Lists!$J:$J))</f>
        <v/>
      </c>
      <c r="P959" s="27" t="str">
        <f>IF(I959="","",_xlfn.XLOOKUP(I959,Lists!$C:$C,Lists!$E:$E))</f>
        <v/>
      </c>
      <c r="Q959" s="28" t="str">
        <f t="shared" si="69"/>
        <v/>
      </c>
      <c r="R959" s="26" t="str">
        <f t="shared" ca="1" si="70"/>
        <v/>
      </c>
      <c r="S959" s="27" t="str">
        <f>IF(I959="","",_xlfn.XLOOKUP(I959,Lists!$C:$C,Lists!$I:$I))</f>
        <v/>
      </c>
    </row>
    <row r="960" spans="3:19" x14ac:dyDescent="0.2">
      <c r="C960" s="26">
        <f>_xlfn.XLOOKUP(B960,Lists!B:B,Lists!A:A,"")</f>
        <v>0</v>
      </c>
      <c r="G960" s="26" t="str">
        <f t="shared" si="66"/>
        <v/>
      </c>
      <c r="H960" s="31" t="str">
        <f t="shared" si="67"/>
        <v/>
      </c>
      <c r="J960" s="27" t="str">
        <f>IF(I960="","",_xlfn.XLOOKUP(I960,Lists!$C:$C,Lists!$D:$D))</f>
        <v/>
      </c>
      <c r="N960" s="26" t="str">
        <f t="shared" si="68"/>
        <v/>
      </c>
      <c r="O960" s="27" t="str">
        <f>IF(I960="","",_xlfn.XLOOKUP(I960,Lists!$C:$C,Lists!$J:$J))</f>
        <v/>
      </c>
      <c r="P960" s="27" t="str">
        <f>IF(I960="","",_xlfn.XLOOKUP(I960,Lists!$C:$C,Lists!$E:$E))</f>
        <v/>
      </c>
      <c r="Q960" s="28" t="str">
        <f t="shared" si="69"/>
        <v/>
      </c>
      <c r="R960" s="26" t="str">
        <f t="shared" ca="1" si="70"/>
        <v/>
      </c>
      <c r="S960" s="27" t="str">
        <f>IF(I960="","",_xlfn.XLOOKUP(I960,Lists!$C:$C,Lists!$I:$I))</f>
        <v/>
      </c>
    </row>
    <row r="961" spans="3:19" x14ac:dyDescent="0.2">
      <c r="C961" s="26">
        <f>_xlfn.XLOOKUP(B961,Lists!B:B,Lists!A:A,"")</f>
        <v>0</v>
      </c>
      <c r="G961" s="26" t="str">
        <f t="shared" si="66"/>
        <v/>
      </c>
      <c r="H961" s="31" t="str">
        <f t="shared" si="67"/>
        <v/>
      </c>
      <c r="J961" s="27" t="str">
        <f>IF(I961="","",_xlfn.XLOOKUP(I961,Lists!$C:$C,Lists!$D:$D))</f>
        <v/>
      </c>
      <c r="N961" s="26" t="str">
        <f t="shared" si="68"/>
        <v/>
      </c>
      <c r="O961" s="27" t="str">
        <f>IF(I961="","",_xlfn.XLOOKUP(I961,Lists!$C:$C,Lists!$J:$J))</f>
        <v/>
      </c>
      <c r="P961" s="27" t="str">
        <f>IF(I961="","",_xlfn.XLOOKUP(I961,Lists!$C:$C,Lists!$E:$E))</f>
        <v/>
      </c>
      <c r="Q961" s="28" t="str">
        <f t="shared" si="69"/>
        <v/>
      </c>
      <c r="R961" s="26" t="str">
        <f t="shared" ca="1" si="70"/>
        <v/>
      </c>
      <c r="S961" s="27" t="str">
        <f>IF(I961="","",_xlfn.XLOOKUP(I961,Lists!$C:$C,Lists!$I:$I))</f>
        <v/>
      </c>
    </row>
    <row r="962" spans="3:19" x14ac:dyDescent="0.2">
      <c r="C962" s="26">
        <f>_xlfn.XLOOKUP(B962,Lists!B:B,Lists!A:A,"")</f>
        <v>0</v>
      </c>
      <c r="G962" s="26" t="str">
        <f t="shared" si="66"/>
        <v/>
      </c>
      <c r="H962" s="31" t="str">
        <f t="shared" si="67"/>
        <v/>
      </c>
      <c r="J962" s="27" t="str">
        <f>IF(I962="","",_xlfn.XLOOKUP(I962,Lists!$C:$C,Lists!$D:$D))</f>
        <v/>
      </c>
      <c r="N962" s="26" t="str">
        <f t="shared" si="68"/>
        <v/>
      </c>
      <c r="O962" s="27" t="str">
        <f>IF(I962="","",_xlfn.XLOOKUP(I962,Lists!$C:$C,Lists!$J:$J))</f>
        <v/>
      </c>
      <c r="P962" s="27" t="str">
        <f>IF(I962="","",_xlfn.XLOOKUP(I962,Lists!$C:$C,Lists!$E:$E))</f>
        <v/>
      </c>
      <c r="Q962" s="28" t="str">
        <f t="shared" si="69"/>
        <v/>
      </c>
      <c r="R962" s="26" t="str">
        <f t="shared" ca="1" si="70"/>
        <v/>
      </c>
      <c r="S962" s="27" t="str">
        <f>IF(I962="","",_xlfn.XLOOKUP(I962,Lists!$C:$C,Lists!$I:$I))</f>
        <v/>
      </c>
    </row>
    <row r="963" spans="3:19" x14ac:dyDescent="0.2">
      <c r="C963" s="26">
        <f>_xlfn.XLOOKUP(B963,Lists!B:B,Lists!A:A,"")</f>
        <v>0</v>
      </c>
      <c r="G963" s="26" t="str">
        <f t="shared" si="66"/>
        <v/>
      </c>
      <c r="H963" s="31" t="str">
        <f t="shared" si="67"/>
        <v/>
      </c>
      <c r="J963" s="27" t="str">
        <f>IF(I963="","",_xlfn.XLOOKUP(I963,Lists!$C:$C,Lists!$D:$D))</f>
        <v/>
      </c>
      <c r="N963" s="26" t="str">
        <f t="shared" si="68"/>
        <v/>
      </c>
      <c r="O963" s="27" t="str">
        <f>IF(I963="","",_xlfn.XLOOKUP(I963,Lists!$C:$C,Lists!$J:$J))</f>
        <v/>
      </c>
      <c r="P963" s="27" t="str">
        <f>IF(I963="","",_xlfn.XLOOKUP(I963,Lists!$C:$C,Lists!$E:$E))</f>
        <v/>
      </c>
      <c r="Q963" s="28" t="str">
        <f t="shared" si="69"/>
        <v/>
      </c>
      <c r="R963" s="26" t="str">
        <f t="shared" ca="1" si="70"/>
        <v/>
      </c>
      <c r="S963" s="27" t="str">
        <f>IF(I963="","",_xlfn.XLOOKUP(I963,Lists!$C:$C,Lists!$I:$I))</f>
        <v/>
      </c>
    </row>
    <row r="964" spans="3:19" x14ac:dyDescent="0.2">
      <c r="C964" s="26">
        <f>_xlfn.XLOOKUP(B964,Lists!B:B,Lists!A:A,"")</f>
        <v>0</v>
      </c>
      <c r="G964" s="26" t="str">
        <f t="shared" si="66"/>
        <v/>
      </c>
      <c r="H964" s="31" t="str">
        <f t="shared" si="67"/>
        <v/>
      </c>
      <c r="J964" s="27" t="str">
        <f>IF(I964="","",_xlfn.XLOOKUP(I964,Lists!$C:$C,Lists!$D:$D))</f>
        <v/>
      </c>
      <c r="N964" s="26" t="str">
        <f t="shared" si="68"/>
        <v/>
      </c>
      <c r="O964" s="27" t="str">
        <f>IF(I964="","",_xlfn.XLOOKUP(I964,Lists!$C:$C,Lists!$J:$J))</f>
        <v/>
      </c>
      <c r="P964" s="27" t="str">
        <f>IF(I964="","",_xlfn.XLOOKUP(I964,Lists!$C:$C,Lists!$E:$E))</f>
        <v/>
      </c>
      <c r="Q964" s="28" t="str">
        <f t="shared" si="69"/>
        <v/>
      </c>
      <c r="R964" s="26" t="str">
        <f t="shared" ca="1" si="70"/>
        <v/>
      </c>
      <c r="S964" s="27" t="str">
        <f>IF(I964="","",_xlfn.XLOOKUP(I964,Lists!$C:$C,Lists!$I:$I))</f>
        <v/>
      </c>
    </row>
    <row r="965" spans="3:19" x14ac:dyDescent="0.2">
      <c r="C965" s="26">
        <f>_xlfn.XLOOKUP(B965,Lists!B:B,Lists!A:A,"")</f>
        <v>0</v>
      </c>
      <c r="G965" s="26" t="str">
        <f t="shared" si="66"/>
        <v/>
      </c>
      <c r="H965" s="31" t="str">
        <f t="shared" si="67"/>
        <v/>
      </c>
      <c r="J965" s="27" t="str">
        <f>IF(I965="","",_xlfn.XLOOKUP(I965,Lists!$C:$C,Lists!$D:$D))</f>
        <v/>
      </c>
      <c r="N965" s="26" t="str">
        <f t="shared" si="68"/>
        <v/>
      </c>
      <c r="O965" s="27" t="str">
        <f>IF(I965="","",_xlfn.XLOOKUP(I965,Lists!$C:$C,Lists!$J:$J))</f>
        <v/>
      </c>
      <c r="P965" s="27" t="str">
        <f>IF(I965="","",_xlfn.XLOOKUP(I965,Lists!$C:$C,Lists!$E:$E))</f>
        <v/>
      </c>
      <c r="Q965" s="28" t="str">
        <f t="shared" si="69"/>
        <v/>
      </c>
      <c r="R965" s="26" t="str">
        <f t="shared" ca="1" si="70"/>
        <v/>
      </c>
      <c r="S965" s="27" t="str">
        <f>IF(I965="","",_xlfn.XLOOKUP(I965,Lists!$C:$C,Lists!$I:$I))</f>
        <v/>
      </c>
    </row>
    <row r="966" spans="3:19" x14ac:dyDescent="0.2">
      <c r="C966" s="26">
        <f>_xlfn.XLOOKUP(B966,Lists!B:B,Lists!A:A,"")</f>
        <v>0</v>
      </c>
      <c r="G966" s="26" t="str">
        <f t="shared" si="66"/>
        <v/>
      </c>
      <c r="H966" s="31" t="str">
        <f t="shared" si="67"/>
        <v/>
      </c>
      <c r="J966" s="27" t="str">
        <f>IF(I966="","",_xlfn.XLOOKUP(I966,Lists!$C:$C,Lists!$D:$D))</f>
        <v/>
      </c>
      <c r="N966" s="26" t="str">
        <f t="shared" si="68"/>
        <v/>
      </c>
      <c r="O966" s="27" t="str">
        <f>IF(I966="","",_xlfn.XLOOKUP(I966,Lists!$C:$C,Lists!$J:$J))</f>
        <v/>
      </c>
      <c r="P966" s="27" t="str">
        <f>IF(I966="","",_xlfn.XLOOKUP(I966,Lists!$C:$C,Lists!$E:$E))</f>
        <v/>
      </c>
      <c r="Q966" s="28" t="str">
        <f t="shared" si="69"/>
        <v/>
      </c>
      <c r="R966" s="26" t="str">
        <f t="shared" ca="1" si="70"/>
        <v/>
      </c>
      <c r="S966" s="27" t="str">
        <f>IF(I966="","",_xlfn.XLOOKUP(I966,Lists!$C:$C,Lists!$I:$I))</f>
        <v/>
      </c>
    </row>
    <row r="967" spans="3:19" x14ac:dyDescent="0.2">
      <c r="C967" s="26">
        <f>_xlfn.XLOOKUP(B967,Lists!B:B,Lists!A:A,"")</f>
        <v>0</v>
      </c>
      <c r="G967" s="26" t="str">
        <f t="shared" si="66"/>
        <v/>
      </c>
      <c r="H967" s="31" t="str">
        <f t="shared" si="67"/>
        <v/>
      </c>
      <c r="J967" s="27" t="str">
        <f>IF(I967="","",_xlfn.XLOOKUP(I967,Lists!$C:$C,Lists!$D:$D))</f>
        <v/>
      </c>
      <c r="N967" s="26" t="str">
        <f t="shared" si="68"/>
        <v/>
      </c>
      <c r="O967" s="27" t="str">
        <f>IF(I967="","",_xlfn.XLOOKUP(I967,Lists!$C:$C,Lists!$J:$J))</f>
        <v/>
      </c>
      <c r="P967" s="27" t="str">
        <f>IF(I967="","",_xlfn.XLOOKUP(I967,Lists!$C:$C,Lists!$E:$E))</f>
        <v/>
      </c>
      <c r="Q967" s="28" t="str">
        <f t="shared" si="69"/>
        <v/>
      </c>
      <c r="R967" s="26" t="str">
        <f t="shared" ca="1" si="70"/>
        <v/>
      </c>
      <c r="S967" s="27" t="str">
        <f>IF(I967="","",_xlfn.XLOOKUP(I967,Lists!$C:$C,Lists!$I:$I))</f>
        <v/>
      </c>
    </row>
    <row r="968" spans="3:19" x14ac:dyDescent="0.2">
      <c r="C968" s="26">
        <f>_xlfn.XLOOKUP(B968,Lists!B:B,Lists!A:A,"")</f>
        <v>0</v>
      </c>
      <c r="G968" s="26" t="str">
        <f t="shared" si="66"/>
        <v/>
      </c>
      <c r="H968" s="31" t="str">
        <f t="shared" si="67"/>
        <v/>
      </c>
      <c r="J968" s="27" t="str">
        <f>IF(I968="","",_xlfn.XLOOKUP(I968,Lists!$C:$C,Lists!$D:$D))</f>
        <v/>
      </c>
      <c r="N968" s="26" t="str">
        <f t="shared" si="68"/>
        <v/>
      </c>
      <c r="O968" s="27" t="str">
        <f>IF(I968="","",_xlfn.XLOOKUP(I968,Lists!$C:$C,Lists!$J:$J))</f>
        <v/>
      </c>
      <c r="P968" s="27" t="str">
        <f>IF(I968="","",_xlfn.XLOOKUP(I968,Lists!$C:$C,Lists!$E:$E))</f>
        <v/>
      </c>
      <c r="Q968" s="28" t="str">
        <f t="shared" si="69"/>
        <v/>
      </c>
      <c r="R968" s="26" t="str">
        <f t="shared" ca="1" si="70"/>
        <v/>
      </c>
      <c r="S968" s="27" t="str">
        <f>IF(I968="","",_xlfn.XLOOKUP(I968,Lists!$C:$C,Lists!$I:$I))</f>
        <v/>
      </c>
    </row>
    <row r="969" spans="3:19" x14ac:dyDescent="0.2">
      <c r="C969" s="26">
        <f>_xlfn.XLOOKUP(B969,Lists!B:B,Lists!A:A,"")</f>
        <v>0</v>
      </c>
      <c r="G969" s="26" t="str">
        <f t="shared" si="66"/>
        <v/>
      </c>
      <c r="H969" s="31" t="str">
        <f t="shared" si="67"/>
        <v/>
      </c>
      <c r="J969" s="27" t="str">
        <f>IF(I969="","",_xlfn.XLOOKUP(I969,Lists!$C:$C,Lists!$D:$D))</f>
        <v/>
      </c>
      <c r="N969" s="26" t="str">
        <f t="shared" si="68"/>
        <v/>
      </c>
      <c r="O969" s="27" t="str">
        <f>IF(I969="","",_xlfn.XLOOKUP(I969,Lists!$C:$C,Lists!$J:$J))</f>
        <v/>
      </c>
      <c r="P969" s="27" t="str">
        <f>IF(I969="","",_xlfn.XLOOKUP(I969,Lists!$C:$C,Lists!$E:$E))</f>
        <v/>
      </c>
      <c r="Q969" s="28" t="str">
        <f t="shared" si="69"/>
        <v/>
      </c>
      <c r="R969" s="26" t="str">
        <f t="shared" ca="1" si="70"/>
        <v/>
      </c>
      <c r="S969" s="27" t="str">
        <f>IF(I969="","",_xlfn.XLOOKUP(I969,Lists!$C:$C,Lists!$I:$I))</f>
        <v/>
      </c>
    </row>
    <row r="970" spans="3:19" x14ac:dyDescent="0.2">
      <c r="C970" s="26">
        <f>_xlfn.XLOOKUP(B970,Lists!B:B,Lists!A:A,"")</f>
        <v>0</v>
      </c>
      <c r="G970" s="26" t="str">
        <f t="shared" si="66"/>
        <v/>
      </c>
      <c r="H970" s="31" t="str">
        <f t="shared" si="67"/>
        <v/>
      </c>
      <c r="J970" s="27" t="str">
        <f>IF(I970="","",_xlfn.XLOOKUP(I970,Lists!$C:$C,Lists!$D:$D))</f>
        <v/>
      </c>
      <c r="N970" s="26" t="str">
        <f t="shared" si="68"/>
        <v/>
      </c>
      <c r="O970" s="27" t="str">
        <f>IF(I970="","",_xlfn.XLOOKUP(I970,Lists!$C:$C,Lists!$J:$J))</f>
        <v/>
      </c>
      <c r="P970" s="27" t="str">
        <f>IF(I970="","",_xlfn.XLOOKUP(I970,Lists!$C:$C,Lists!$E:$E))</f>
        <v/>
      </c>
      <c r="Q970" s="28" t="str">
        <f t="shared" si="69"/>
        <v/>
      </c>
      <c r="R970" s="26" t="str">
        <f t="shared" ca="1" si="70"/>
        <v/>
      </c>
      <c r="S970" s="27" t="str">
        <f>IF(I970="","",_xlfn.XLOOKUP(I970,Lists!$C:$C,Lists!$I:$I))</f>
        <v/>
      </c>
    </row>
    <row r="971" spans="3:19" x14ac:dyDescent="0.2">
      <c r="C971" s="26">
        <f>_xlfn.XLOOKUP(B971,Lists!B:B,Lists!A:A,"")</f>
        <v>0</v>
      </c>
      <c r="G971" s="26" t="str">
        <f t="shared" ref="G971:G1034" si="71">IF(OR(E971="",F971=""),"",F971-E971+1)</f>
        <v/>
      </c>
      <c r="H971" s="31" t="str">
        <f t="shared" ref="H971:H1034" si="72">IF(D971="","",IF(OR(D971="A",D971="B"),G971/80,IF(D971="A&amp;B",G971/160,"")))</f>
        <v/>
      </c>
      <c r="J971" s="27" t="str">
        <f>IF(I971="","",_xlfn.XLOOKUP(I971,Lists!$C:$C,Lists!$D:$D))</f>
        <v/>
      </c>
      <c r="N971" s="26" t="str">
        <f t="shared" ref="N971:N1034" si="73">IF(OR(M971="",L971=""),"",(M971*L971)/100000)</f>
        <v/>
      </c>
      <c r="O971" s="27" t="str">
        <f>IF(I971="","",_xlfn.XLOOKUP(I971,Lists!$C:$C,Lists!$J:$J))</f>
        <v/>
      </c>
      <c r="P971" s="27" t="str">
        <f>IF(I971="","",_xlfn.XLOOKUP(I971,Lists!$C:$C,Lists!$E:$E))</f>
        <v/>
      </c>
      <c r="Q971" s="28" t="str">
        <f t="shared" ref="Q971:Q1034" si="74">IF(OR(A971="",P971=""),"",A971+P971+1)</f>
        <v/>
      </c>
      <c r="R971" s="26" t="str">
        <f t="shared" ref="R971:R1034" ca="1" si="75">IF(Q971="","",IF(Q971&lt;=TODAY(),"Allow","Not Allow"))</f>
        <v/>
      </c>
      <c r="S971" s="27" t="str">
        <f>IF(I971="","",_xlfn.XLOOKUP(I971,Lists!$C:$C,Lists!$I:$I))</f>
        <v/>
      </c>
    </row>
    <row r="972" spans="3:19" x14ac:dyDescent="0.2">
      <c r="C972" s="26">
        <f>_xlfn.XLOOKUP(B972,Lists!B:B,Lists!A:A,"")</f>
        <v>0</v>
      </c>
      <c r="G972" s="26" t="str">
        <f t="shared" si="71"/>
        <v/>
      </c>
      <c r="H972" s="31" t="str">
        <f t="shared" si="72"/>
        <v/>
      </c>
      <c r="J972" s="27" t="str">
        <f>IF(I972="","",_xlfn.XLOOKUP(I972,Lists!$C:$C,Lists!$D:$D))</f>
        <v/>
      </c>
      <c r="N972" s="26" t="str">
        <f t="shared" si="73"/>
        <v/>
      </c>
      <c r="O972" s="27" t="str">
        <f>IF(I972="","",_xlfn.XLOOKUP(I972,Lists!$C:$C,Lists!$J:$J))</f>
        <v/>
      </c>
      <c r="P972" s="27" t="str">
        <f>IF(I972="","",_xlfn.XLOOKUP(I972,Lists!$C:$C,Lists!$E:$E))</f>
        <v/>
      </c>
      <c r="Q972" s="28" t="str">
        <f t="shared" si="74"/>
        <v/>
      </c>
      <c r="R972" s="26" t="str">
        <f t="shared" ca="1" si="75"/>
        <v/>
      </c>
      <c r="S972" s="27" t="str">
        <f>IF(I972="","",_xlfn.XLOOKUP(I972,Lists!$C:$C,Lists!$I:$I))</f>
        <v/>
      </c>
    </row>
    <row r="973" spans="3:19" x14ac:dyDescent="0.2">
      <c r="C973" s="26">
        <f>_xlfn.XLOOKUP(B973,Lists!B:B,Lists!A:A,"")</f>
        <v>0</v>
      </c>
      <c r="G973" s="26" t="str">
        <f t="shared" si="71"/>
        <v/>
      </c>
      <c r="H973" s="31" t="str">
        <f t="shared" si="72"/>
        <v/>
      </c>
      <c r="J973" s="27" t="str">
        <f>IF(I973="","",_xlfn.XLOOKUP(I973,Lists!$C:$C,Lists!$D:$D))</f>
        <v/>
      </c>
      <c r="N973" s="26" t="str">
        <f t="shared" si="73"/>
        <v/>
      </c>
      <c r="O973" s="27" t="str">
        <f>IF(I973="","",_xlfn.XLOOKUP(I973,Lists!$C:$C,Lists!$J:$J))</f>
        <v/>
      </c>
      <c r="P973" s="27" t="str">
        <f>IF(I973="","",_xlfn.XLOOKUP(I973,Lists!$C:$C,Lists!$E:$E))</f>
        <v/>
      </c>
      <c r="Q973" s="28" t="str">
        <f t="shared" si="74"/>
        <v/>
      </c>
      <c r="R973" s="26" t="str">
        <f t="shared" ca="1" si="75"/>
        <v/>
      </c>
      <c r="S973" s="27" t="str">
        <f>IF(I973="","",_xlfn.XLOOKUP(I973,Lists!$C:$C,Lists!$I:$I))</f>
        <v/>
      </c>
    </row>
    <row r="974" spans="3:19" x14ac:dyDescent="0.2">
      <c r="C974" s="26">
        <f>_xlfn.XLOOKUP(B974,Lists!B:B,Lists!A:A,"")</f>
        <v>0</v>
      </c>
      <c r="G974" s="26" t="str">
        <f t="shared" si="71"/>
        <v/>
      </c>
      <c r="H974" s="31" t="str">
        <f t="shared" si="72"/>
        <v/>
      </c>
      <c r="J974" s="27" t="str">
        <f>IF(I974="","",_xlfn.XLOOKUP(I974,Lists!$C:$C,Lists!$D:$D))</f>
        <v/>
      </c>
      <c r="N974" s="26" t="str">
        <f t="shared" si="73"/>
        <v/>
      </c>
      <c r="O974" s="27" t="str">
        <f>IF(I974="","",_xlfn.XLOOKUP(I974,Lists!$C:$C,Lists!$J:$J))</f>
        <v/>
      </c>
      <c r="P974" s="27" t="str">
        <f>IF(I974="","",_xlfn.XLOOKUP(I974,Lists!$C:$C,Lists!$E:$E))</f>
        <v/>
      </c>
      <c r="Q974" s="28" t="str">
        <f t="shared" si="74"/>
        <v/>
      </c>
      <c r="R974" s="26" t="str">
        <f t="shared" ca="1" si="75"/>
        <v/>
      </c>
      <c r="S974" s="27" t="str">
        <f>IF(I974="","",_xlfn.XLOOKUP(I974,Lists!$C:$C,Lists!$I:$I))</f>
        <v/>
      </c>
    </row>
    <row r="975" spans="3:19" x14ac:dyDescent="0.2">
      <c r="C975" s="26">
        <f>_xlfn.XLOOKUP(B975,Lists!B:B,Lists!A:A,"")</f>
        <v>0</v>
      </c>
      <c r="G975" s="26" t="str">
        <f t="shared" si="71"/>
        <v/>
      </c>
      <c r="H975" s="31" t="str">
        <f t="shared" si="72"/>
        <v/>
      </c>
      <c r="J975" s="27" t="str">
        <f>IF(I975="","",_xlfn.XLOOKUP(I975,Lists!$C:$C,Lists!$D:$D))</f>
        <v/>
      </c>
      <c r="N975" s="26" t="str">
        <f t="shared" si="73"/>
        <v/>
      </c>
      <c r="O975" s="27" t="str">
        <f>IF(I975="","",_xlfn.XLOOKUP(I975,Lists!$C:$C,Lists!$J:$J))</f>
        <v/>
      </c>
      <c r="P975" s="27" t="str">
        <f>IF(I975="","",_xlfn.XLOOKUP(I975,Lists!$C:$C,Lists!$E:$E))</f>
        <v/>
      </c>
      <c r="Q975" s="28" t="str">
        <f t="shared" si="74"/>
        <v/>
      </c>
      <c r="R975" s="26" t="str">
        <f t="shared" ca="1" si="75"/>
        <v/>
      </c>
      <c r="S975" s="27" t="str">
        <f>IF(I975="","",_xlfn.XLOOKUP(I975,Lists!$C:$C,Lists!$I:$I))</f>
        <v/>
      </c>
    </row>
    <row r="976" spans="3:19" x14ac:dyDescent="0.2">
      <c r="C976" s="26">
        <f>_xlfn.XLOOKUP(B976,Lists!B:B,Lists!A:A,"")</f>
        <v>0</v>
      </c>
      <c r="G976" s="26" t="str">
        <f t="shared" si="71"/>
        <v/>
      </c>
      <c r="H976" s="31" t="str">
        <f t="shared" si="72"/>
        <v/>
      </c>
      <c r="J976" s="27" t="str">
        <f>IF(I976="","",_xlfn.XLOOKUP(I976,Lists!$C:$C,Lists!$D:$D))</f>
        <v/>
      </c>
      <c r="N976" s="26" t="str">
        <f t="shared" si="73"/>
        <v/>
      </c>
      <c r="O976" s="27" t="str">
        <f>IF(I976="","",_xlfn.XLOOKUP(I976,Lists!$C:$C,Lists!$J:$J))</f>
        <v/>
      </c>
      <c r="P976" s="27" t="str">
        <f>IF(I976="","",_xlfn.XLOOKUP(I976,Lists!$C:$C,Lists!$E:$E))</f>
        <v/>
      </c>
      <c r="Q976" s="28" t="str">
        <f t="shared" si="74"/>
        <v/>
      </c>
      <c r="R976" s="26" t="str">
        <f t="shared" ca="1" si="75"/>
        <v/>
      </c>
      <c r="S976" s="27" t="str">
        <f>IF(I976="","",_xlfn.XLOOKUP(I976,Lists!$C:$C,Lists!$I:$I))</f>
        <v/>
      </c>
    </row>
    <row r="977" spans="3:19" x14ac:dyDescent="0.2">
      <c r="C977" s="26">
        <f>_xlfn.XLOOKUP(B977,Lists!B:B,Lists!A:A,"")</f>
        <v>0</v>
      </c>
      <c r="G977" s="26" t="str">
        <f t="shared" si="71"/>
        <v/>
      </c>
      <c r="H977" s="31" t="str">
        <f t="shared" si="72"/>
        <v/>
      </c>
      <c r="J977" s="27" t="str">
        <f>IF(I977="","",_xlfn.XLOOKUP(I977,Lists!$C:$C,Lists!$D:$D))</f>
        <v/>
      </c>
      <c r="N977" s="26" t="str">
        <f t="shared" si="73"/>
        <v/>
      </c>
      <c r="O977" s="27" t="str">
        <f>IF(I977="","",_xlfn.XLOOKUP(I977,Lists!$C:$C,Lists!$J:$J))</f>
        <v/>
      </c>
      <c r="P977" s="27" t="str">
        <f>IF(I977="","",_xlfn.XLOOKUP(I977,Lists!$C:$C,Lists!$E:$E))</f>
        <v/>
      </c>
      <c r="Q977" s="28" t="str">
        <f t="shared" si="74"/>
        <v/>
      </c>
      <c r="R977" s="26" t="str">
        <f t="shared" ca="1" si="75"/>
        <v/>
      </c>
      <c r="S977" s="27" t="str">
        <f>IF(I977="","",_xlfn.XLOOKUP(I977,Lists!$C:$C,Lists!$I:$I))</f>
        <v/>
      </c>
    </row>
    <row r="978" spans="3:19" x14ac:dyDescent="0.2">
      <c r="C978" s="26">
        <f>_xlfn.XLOOKUP(B978,Lists!B:B,Lists!A:A,"")</f>
        <v>0</v>
      </c>
      <c r="G978" s="26" t="str">
        <f t="shared" si="71"/>
        <v/>
      </c>
      <c r="H978" s="31" t="str">
        <f t="shared" si="72"/>
        <v/>
      </c>
      <c r="J978" s="27" t="str">
        <f>IF(I978="","",_xlfn.XLOOKUP(I978,Lists!$C:$C,Lists!$D:$D))</f>
        <v/>
      </c>
      <c r="N978" s="26" t="str">
        <f t="shared" si="73"/>
        <v/>
      </c>
      <c r="O978" s="27" t="str">
        <f>IF(I978="","",_xlfn.XLOOKUP(I978,Lists!$C:$C,Lists!$J:$J))</f>
        <v/>
      </c>
      <c r="P978" s="27" t="str">
        <f>IF(I978="","",_xlfn.XLOOKUP(I978,Lists!$C:$C,Lists!$E:$E))</f>
        <v/>
      </c>
      <c r="Q978" s="28" t="str">
        <f t="shared" si="74"/>
        <v/>
      </c>
      <c r="R978" s="26" t="str">
        <f t="shared" ca="1" si="75"/>
        <v/>
      </c>
      <c r="S978" s="27" t="str">
        <f>IF(I978="","",_xlfn.XLOOKUP(I978,Lists!$C:$C,Lists!$I:$I))</f>
        <v/>
      </c>
    </row>
    <row r="979" spans="3:19" x14ac:dyDescent="0.2">
      <c r="C979" s="26">
        <f>_xlfn.XLOOKUP(B979,Lists!B:B,Lists!A:A,"")</f>
        <v>0</v>
      </c>
      <c r="G979" s="26" t="str">
        <f t="shared" si="71"/>
        <v/>
      </c>
      <c r="H979" s="31" t="str">
        <f t="shared" si="72"/>
        <v/>
      </c>
      <c r="J979" s="27" t="str">
        <f>IF(I979="","",_xlfn.XLOOKUP(I979,Lists!$C:$C,Lists!$D:$D))</f>
        <v/>
      </c>
      <c r="N979" s="26" t="str">
        <f t="shared" si="73"/>
        <v/>
      </c>
      <c r="O979" s="27" t="str">
        <f>IF(I979="","",_xlfn.XLOOKUP(I979,Lists!$C:$C,Lists!$J:$J))</f>
        <v/>
      </c>
      <c r="P979" s="27" t="str">
        <f>IF(I979="","",_xlfn.XLOOKUP(I979,Lists!$C:$C,Lists!$E:$E))</f>
        <v/>
      </c>
      <c r="Q979" s="28" t="str">
        <f t="shared" si="74"/>
        <v/>
      </c>
      <c r="R979" s="26" t="str">
        <f t="shared" ca="1" si="75"/>
        <v/>
      </c>
      <c r="S979" s="27" t="str">
        <f>IF(I979="","",_xlfn.XLOOKUP(I979,Lists!$C:$C,Lists!$I:$I))</f>
        <v/>
      </c>
    </row>
    <row r="980" spans="3:19" x14ac:dyDescent="0.2">
      <c r="C980" s="26">
        <f>_xlfn.XLOOKUP(B980,Lists!B:B,Lists!A:A,"")</f>
        <v>0</v>
      </c>
      <c r="G980" s="26" t="str">
        <f t="shared" si="71"/>
        <v/>
      </c>
      <c r="H980" s="31" t="str">
        <f t="shared" si="72"/>
        <v/>
      </c>
      <c r="J980" s="27" t="str">
        <f>IF(I980="","",_xlfn.XLOOKUP(I980,Lists!$C:$C,Lists!$D:$D))</f>
        <v/>
      </c>
      <c r="N980" s="26" t="str">
        <f t="shared" si="73"/>
        <v/>
      </c>
      <c r="O980" s="27" t="str">
        <f>IF(I980="","",_xlfn.XLOOKUP(I980,Lists!$C:$C,Lists!$J:$J))</f>
        <v/>
      </c>
      <c r="P980" s="27" t="str">
        <f>IF(I980="","",_xlfn.XLOOKUP(I980,Lists!$C:$C,Lists!$E:$E))</f>
        <v/>
      </c>
      <c r="Q980" s="28" t="str">
        <f t="shared" si="74"/>
        <v/>
      </c>
      <c r="R980" s="26" t="str">
        <f t="shared" ca="1" si="75"/>
        <v/>
      </c>
      <c r="S980" s="27" t="str">
        <f>IF(I980="","",_xlfn.XLOOKUP(I980,Lists!$C:$C,Lists!$I:$I))</f>
        <v/>
      </c>
    </row>
    <row r="981" spans="3:19" x14ac:dyDescent="0.2">
      <c r="C981" s="26">
        <f>_xlfn.XLOOKUP(B981,Lists!B:B,Lists!A:A,"")</f>
        <v>0</v>
      </c>
      <c r="G981" s="26" t="str">
        <f t="shared" si="71"/>
        <v/>
      </c>
      <c r="H981" s="31" t="str">
        <f t="shared" si="72"/>
        <v/>
      </c>
      <c r="J981" s="27" t="str">
        <f>IF(I981="","",_xlfn.XLOOKUP(I981,Lists!$C:$C,Lists!$D:$D))</f>
        <v/>
      </c>
      <c r="N981" s="26" t="str">
        <f t="shared" si="73"/>
        <v/>
      </c>
      <c r="O981" s="27" t="str">
        <f>IF(I981="","",_xlfn.XLOOKUP(I981,Lists!$C:$C,Lists!$J:$J))</f>
        <v/>
      </c>
      <c r="P981" s="27" t="str">
        <f>IF(I981="","",_xlfn.XLOOKUP(I981,Lists!$C:$C,Lists!$E:$E))</f>
        <v/>
      </c>
      <c r="Q981" s="28" t="str">
        <f t="shared" si="74"/>
        <v/>
      </c>
      <c r="R981" s="26" t="str">
        <f t="shared" ca="1" si="75"/>
        <v/>
      </c>
      <c r="S981" s="27" t="str">
        <f>IF(I981="","",_xlfn.XLOOKUP(I981,Lists!$C:$C,Lists!$I:$I))</f>
        <v/>
      </c>
    </row>
    <row r="982" spans="3:19" x14ac:dyDescent="0.2">
      <c r="C982" s="26">
        <f>_xlfn.XLOOKUP(B982,Lists!B:B,Lists!A:A,"")</f>
        <v>0</v>
      </c>
      <c r="G982" s="26" t="str">
        <f t="shared" si="71"/>
        <v/>
      </c>
      <c r="H982" s="31" t="str">
        <f t="shared" si="72"/>
        <v/>
      </c>
      <c r="J982" s="27" t="str">
        <f>IF(I982="","",_xlfn.XLOOKUP(I982,Lists!$C:$C,Lists!$D:$D))</f>
        <v/>
      </c>
      <c r="N982" s="26" t="str">
        <f t="shared" si="73"/>
        <v/>
      </c>
      <c r="O982" s="27" t="str">
        <f>IF(I982="","",_xlfn.XLOOKUP(I982,Lists!$C:$C,Lists!$J:$J))</f>
        <v/>
      </c>
      <c r="P982" s="27" t="str">
        <f>IF(I982="","",_xlfn.XLOOKUP(I982,Lists!$C:$C,Lists!$E:$E))</f>
        <v/>
      </c>
      <c r="Q982" s="28" t="str">
        <f t="shared" si="74"/>
        <v/>
      </c>
      <c r="R982" s="26" t="str">
        <f t="shared" ca="1" si="75"/>
        <v/>
      </c>
      <c r="S982" s="27" t="str">
        <f>IF(I982="","",_xlfn.XLOOKUP(I982,Lists!$C:$C,Lists!$I:$I))</f>
        <v/>
      </c>
    </row>
    <row r="983" spans="3:19" x14ac:dyDescent="0.2">
      <c r="C983" s="26">
        <f>_xlfn.XLOOKUP(B983,Lists!B:B,Lists!A:A,"")</f>
        <v>0</v>
      </c>
      <c r="G983" s="26" t="str">
        <f t="shared" si="71"/>
        <v/>
      </c>
      <c r="H983" s="31" t="str">
        <f t="shared" si="72"/>
        <v/>
      </c>
      <c r="J983" s="27" t="str">
        <f>IF(I983="","",_xlfn.XLOOKUP(I983,Lists!$C:$C,Lists!$D:$D))</f>
        <v/>
      </c>
      <c r="N983" s="26" t="str">
        <f t="shared" si="73"/>
        <v/>
      </c>
      <c r="O983" s="27" t="str">
        <f>IF(I983="","",_xlfn.XLOOKUP(I983,Lists!$C:$C,Lists!$J:$J))</f>
        <v/>
      </c>
      <c r="P983" s="27" t="str">
        <f>IF(I983="","",_xlfn.XLOOKUP(I983,Lists!$C:$C,Lists!$E:$E))</f>
        <v/>
      </c>
      <c r="Q983" s="28" t="str">
        <f t="shared" si="74"/>
        <v/>
      </c>
      <c r="R983" s="26" t="str">
        <f t="shared" ca="1" si="75"/>
        <v/>
      </c>
      <c r="S983" s="27" t="str">
        <f>IF(I983="","",_xlfn.XLOOKUP(I983,Lists!$C:$C,Lists!$I:$I))</f>
        <v/>
      </c>
    </row>
    <row r="984" spans="3:19" x14ac:dyDescent="0.2">
      <c r="C984" s="26">
        <f>_xlfn.XLOOKUP(B984,Lists!B:B,Lists!A:A,"")</f>
        <v>0</v>
      </c>
      <c r="G984" s="26" t="str">
        <f t="shared" si="71"/>
        <v/>
      </c>
      <c r="H984" s="31" t="str">
        <f t="shared" si="72"/>
        <v/>
      </c>
      <c r="J984" s="27" t="str">
        <f>IF(I984="","",_xlfn.XLOOKUP(I984,Lists!$C:$C,Lists!$D:$D))</f>
        <v/>
      </c>
      <c r="N984" s="26" t="str">
        <f t="shared" si="73"/>
        <v/>
      </c>
      <c r="O984" s="27" t="str">
        <f>IF(I984="","",_xlfn.XLOOKUP(I984,Lists!$C:$C,Lists!$J:$J))</f>
        <v/>
      </c>
      <c r="P984" s="27" t="str">
        <f>IF(I984="","",_xlfn.XLOOKUP(I984,Lists!$C:$C,Lists!$E:$E))</f>
        <v/>
      </c>
      <c r="Q984" s="28" t="str">
        <f t="shared" si="74"/>
        <v/>
      </c>
      <c r="R984" s="26" t="str">
        <f t="shared" ca="1" si="75"/>
        <v/>
      </c>
      <c r="S984" s="27" t="str">
        <f>IF(I984="","",_xlfn.XLOOKUP(I984,Lists!$C:$C,Lists!$I:$I))</f>
        <v/>
      </c>
    </row>
    <row r="985" spans="3:19" x14ac:dyDescent="0.2">
      <c r="C985" s="26">
        <f>_xlfn.XLOOKUP(B985,Lists!B:B,Lists!A:A,"")</f>
        <v>0</v>
      </c>
      <c r="G985" s="26" t="str">
        <f t="shared" si="71"/>
        <v/>
      </c>
      <c r="H985" s="31" t="str">
        <f t="shared" si="72"/>
        <v/>
      </c>
      <c r="J985" s="27" t="str">
        <f>IF(I985="","",_xlfn.XLOOKUP(I985,Lists!$C:$C,Lists!$D:$D))</f>
        <v/>
      </c>
      <c r="N985" s="26" t="str">
        <f t="shared" si="73"/>
        <v/>
      </c>
      <c r="O985" s="27" t="str">
        <f>IF(I985="","",_xlfn.XLOOKUP(I985,Lists!$C:$C,Lists!$J:$J))</f>
        <v/>
      </c>
      <c r="P985" s="27" t="str">
        <f>IF(I985="","",_xlfn.XLOOKUP(I985,Lists!$C:$C,Lists!$E:$E))</f>
        <v/>
      </c>
      <c r="Q985" s="28" t="str">
        <f t="shared" si="74"/>
        <v/>
      </c>
      <c r="R985" s="26" t="str">
        <f t="shared" ca="1" si="75"/>
        <v/>
      </c>
      <c r="S985" s="27" t="str">
        <f>IF(I985="","",_xlfn.XLOOKUP(I985,Lists!$C:$C,Lists!$I:$I))</f>
        <v/>
      </c>
    </row>
    <row r="986" spans="3:19" x14ac:dyDescent="0.2">
      <c r="C986" s="26">
        <f>_xlfn.XLOOKUP(B986,Lists!B:B,Lists!A:A,"")</f>
        <v>0</v>
      </c>
      <c r="G986" s="26" t="str">
        <f t="shared" si="71"/>
        <v/>
      </c>
      <c r="H986" s="31" t="str">
        <f t="shared" si="72"/>
        <v/>
      </c>
      <c r="J986" s="27" t="str">
        <f>IF(I986="","",_xlfn.XLOOKUP(I986,Lists!$C:$C,Lists!$D:$D))</f>
        <v/>
      </c>
      <c r="N986" s="26" t="str">
        <f t="shared" si="73"/>
        <v/>
      </c>
      <c r="O986" s="27" t="str">
        <f>IF(I986="","",_xlfn.XLOOKUP(I986,Lists!$C:$C,Lists!$J:$J))</f>
        <v/>
      </c>
      <c r="P986" s="27" t="str">
        <f>IF(I986="","",_xlfn.XLOOKUP(I986,Lists!$C:$C,Lists!$E:$E))</f>
        <v/>
      </c>
      <c r="Q986" s="28" t="str">
        <f t="shared" si="74"/>
        <v/>
      </c>
      <c r="R986" s="26" t="str">
        <f t="shared" ca="1" si="75"/>
        <v/>
      </c>
      <c r="S986" s="27" t="str">
        <f>IF(I986="","",_xlfn.XLOOKUP(I986,Lists!$C:$C,Lists!$I:$I))</f>
        <v/>
      </c>
    </row>
    <row r="987" spans="3:19" x14ac:dyDescent="0.2">
      <c r="C987" s="26">
        <f>_xlfn.XLOOKUP(B987,Lists!B:B,Lists!A:A,"")</f>
        <v>0</v>
      </c>
      <c r="G987" s="26" t="str">
        <f t="shared" si="71"/>
        <v/>
      </c>
      <c r="H987" s="31" t="str">
        <f t="shared" si="72"/>
        <v/>
      </c>
      <c r="J987" s="27" t="str">
        <f>IF(I987="","",_xlfn.XLOOKUP(I987,Lists!$C:$C,Lists!$D:$D))</f>
        <v/>
      </c>
      <c r="N987" s="26" t="str">
        <f t="shared" si="73"/>
        <v/>
      </c>
      <c r="O987" s="27" t="str">
        <f>IF(I987="","",_xlfn.XLOOKUP(I987,Lists!$C:$C,Lists!$J:$J))</f>
        <v/>
      </c>
      <c r="P987" s="27" t="str">
        <f>IF(I987="","",_xlfn.XLOOKUP(I987,Lists!$C:$C,Lists!$E:$E))</f>
        <v/>
      </c>
      <c r="Q987" s="28" t="str">
        <f t="shared" si="74"/>
        <v/>
      </c>
      <c r="R987" s="26" t="str">
        <f t="shared" ca="1" si="75"/>
        <v/>
      </c>
      <c r="S987" s="27" t="str">
        <f>IF(I987="","",_xlfn.XLOOKUP(I987,Lists!$C:$C,Lists!$I:$I))</f>
        <v/>
      </c>
    </row>
    <row r="988" spans="3:19" x14ac:dyDescent="0.2">
      <c r="C988" s="26">
        <f>_xlfn.XLOOKUP(B988,Lists!B:B,Lists!A:A,"")</f>
        <v>0</v>
      </c>
      <c r="G988" s="26" t="str">
        <f t="shared" si="71"/>
        <v/>
      </c>
      <c r="H988" s="31" t="str">
        <f t="shared" si="72"/>
        <v/>
      </c>
      <c r="J988" s="27" t="str">
        <f>IF(I988="","",_xlfn.XLOOKUP(I988,Lists!$C:$C,Lists!$D:$D))</f>
        <v/>
      </c>
      <c r="N988" s="26" t="str">
        <f t="shared" si="73"/>
        <v/>
      </c>
      <c r="O988" s="27" t="str">
        <f>IF(I988="","",_xlfn.XLOOKUP(I988,Lists!$C:$C,Lists!$J:$J))</f>
        <v/>
      </c>
      <c r="P988" s="27" t="str">
        <f>IF(I988="","",_xlfn.XLOOKUP(I988,Lists!$C:$C,Lists!$E:$E))</f>
        <v/>
      </c>
      <c r="Q988" s="28" t="str">
        <f t="shared" si="74"/>
        <v/>
      </c>
      <c r="R988" s="26" t="str">
        <f t="shared" ca="1" si="75"/>
        <v/>
      </c>
      <c r="S988" s="27" t="str">
        <f>IF(I988="","",_xlfn.XLOOKUP(I988,Lists!$C:$C,Lists!$I:$I))</f>
        <v/>
      </c>
    </row>
    <row r="989" spans="3:19" x14ac:dyDescent="0.2">
      <c r="C989" s="26">
        <f>_xlfn.XLOOKUP(B989,Lists!B:B,Lists!A:A,"")</f>
        <v>0</v>
      </c>
      <c r="G989" s="26" t="str">
        <f t="shared" si="71"/>
        <v/>
      </c>
      <c r="H989" s="31" t="str">
        <f t="shared" si="72"/>
        <v/>
      </c>
      <c r="J989" s="27" t="str">
        <f>IF(I989="","",_xlfn.XLOOKUP(I989,Lists!$C:$C,Lists!$D:$D))</f>
        <v/>
      </c>
      <c r="N989" s="26" t="str">
        <f t="shared" si="73"/>
        <v/>
      </c>
      <c r="O989" s="27" t="str">
        <f>IF(I989="","",_xlfn.XLOOKUP(I989,Lists!$C:$C,Lists!$J:$J))</f>
        <v/>
      </c>
      <c r="P989" s="27" t="str">
        <f>IF(I989="","",_xlfn.XLOOKUP(I989,Lists!$C:$C,Lists!$E:$E))</f>
        <v/>
      </c>
      <c r="Q989" s="28" t="str">
        <f t="shared" si="74"/>
        <v/>
      </c>
      <c r="R989" s="26" t="str">
        <f t="shared" ca="1" si="75"/>
        <v/>
      </c>
      <c r="S989" s="27" t="str">
        <f>IF(I989="","",_xlfn.XLOOKUP(I989,Lists!$C:$C,Lists!$I:$I))</f>
        <v/>
      </c>
    </row>
    <row r="990" spans="3:19" x14ac:dyDescent="0.2">
      <c r="C990" s="26">
        <f>_xlfn.XLOOKUP(B990,Lists!B:B,Lists!A:A,"")</f>
        <v>0</v>
      </c>
      <c r="G990" s="26" t="str">
        <f t="shared" si="71"/>
        <v/>
      </c>
      <c r="H990" s="31" t="str">
        <f t="shared" si="72"/>
        <v/>
      </c>
      <c r="J990" s="27" t="str">
        <f>IF(I990="","",_xlfn.XLOOKUP(I990,Lists!$C:$C,Lists!$D:$D))</f>
        <v/>
      </c>
      <c r="N990" s="26" t="str">
        <f t="shared" si="73"/>
        <v/>
      </c>
      <c r="O990" s="27" t="str">
        <f>IF(I990="","",_xlfn.XLOOKUP(I990,Lists!$C:$C,Lists!$J:$J))</f>
        <v/>
      </c>
      <c r="P990" s="27" t="str">
        <f>IF(I990="","",_xlfn.XLOOKUP(I990,Lists!$C:$C,Lists!$E:$E))</f>
        <v/>
      </c>
      <c r="Q990" s="28" t="str">
        <f t="shared" si="74"/>
        <v/>
      </c>
      <c r="R990" s="26" t="str">
        <f t="shared" ca="1" si="75"/>
        <v/>
      </c>
      <c r="S990" s="27" t="str">
        <f>IF(I990="","",_xlfn.XLOOKUP(I990,Lists!$C:$C,Lists!$I:$I))</f>
        <v/>
      </c>
    </row>
    <row r="991" spans="3:19" x14ac:dyDescent="0.2">
      <c r="C991" s="26">
        <f>_xlfn.XLOOKUP(B991,Lists!B:B,Lists!A:A,"")</f>
        <v>0</v>
      </c>
      <c r="G991" s="26" t="str">
        <f t="shared" si="71"/>
        <v/>
      </c>
      <c r="H991" s="31" t="str">
        <f t="shared" si="72"/>
        <v/>
      </c>
      <c r="J991" s="27" t="str">
        <f>IF(I991="","",_xlfn.XLOOKUP(I991,Lists!$C:$C,Lists!$D:$D))</f>
        <v/>
      </c>
      <c r="N991" s="26" t="str">
        <f t="shared" si="73"/>
        <v/>
      </c>
      <c r="O991" s="27" t="str">
        <f>IF(I991="","",_xlfn.XLOOKUP(I991,Lists!$C:$C,Lists!$J:$J))</f>
        <v/>
      </c>
      <c r="P991" s="27" t="str">
        <f>IF(I991="","",_xlfn.XLOOKUP(I991,Lists!$C:$C,Lists!$E:$E))</f>
        <v/>
      </c>
      <c r="Q991" s="28" t="str">
        <f t="shared" si="74"/>
        <v/>
      </c>
      <c r="R991" s="26" t="str">
        <f t="shared" ca="1" si="75"/>
        <v/>
      </c>
      <c r="S991" s="27" t="str">
        <f>IF(I991="","",_xlfn.XLOOKUP(I991,Lists!$C:$C,Lists!$I:$I))</f>
        <v/>
      </c>
    </row>
    <row r="992" spans="3:19" x14ac:dyDescent="0.2">
      <c r="C992" s="26">
        <f>_xlfn.XLOOKUP(B992,Lists!B:B,Lists!A:A,"")</f>
        <v>0</v>
      </c>
      <c r="G992" s="26" t="str">
        <f t="shared" si="71"/>
        <v/>
      </c>
      <c r="H992" s="31" t="str">
        <f t="shared" si="72"/>
        <v/>
      </c>
      <c r="J992" s="27" t="str">
        <f>IF(I992="","",_xlfn.XLOOKUP(I992,Lists!$C:$C,Lists!$D:$D))</f>
        <v/>
      </c>
      <c r="N992" s="26" t="str">
        <f t="shared" si="73"/>
        <v/>
      </c>
      <c r="O992" s="27" t="str">
        <f>IF(I992="","",_xlfn.XLOOKUP(I992,Lists!$C:$C,Lists!$J:$J))</f>
        <v/>
      </c>
      <c r="P992" s="27" t="str">
        <f>IF(I992="","",_xlfn.XLOOKUP(I992,Lists!$C:$C,Lists!$E:$E))</f>
        <v/>
      </c>
      <c r="Q992" s="28" t="str">
        <f t="shared" si="74"/>
        <v/>
      </c>
      <c r="R992" s="26" t="str">
        <f t="shared" ca="1" si="75"/>
        <v/>
      </c>
      <c r="S992" s="27" t="str">
        <f>IF(I992="","",_xlfn.XLOOKUP(I992,Lists!$C:$C,Lists!$I:$I))</f>
        <v/>
      </c>
    </row>
    <row r="993" spans="3:19" x14ac:dyDescent="0.2">
      <c r="C993" s="26">
        <f>_xlfn.XLOOKUP(B993,Lists!B:B,Lists!A:A,"")</f>
        <v>0</v>
      </c>
      <c r="G993" s="26" t="str">
        <f t="shared" si="71"/>
        <v/>
      </c>
      <c r="H993" s="31" t="str">
        <f t="shared" si="72"/>
        <v/>
      </c>
      <c r="J993" s="27" t="str">
        <f>IF(I993="","",_xlfn.XLOOKUP(I993,Lists!$C:$C,Lists!$D:$D))</f>
        <v/>
      </c>
      <c r="N993" s="26" t="str">
        <f t="shared" si="73"/>
        <v/>
      </c>
      <c r="O993" s="27" t="str">
        <f>IF(I993="","",_xlfn.XLOOKUP(I993,Lists!$C:$C,Lists!$J:$J))</f>
        <v/>
      </c>
      <c r="P993" s="27" t="str">
        <f>IF(I993="","",_xlfn.XLOOKUP(I993,Lists!$C:$C,Lists!$E:$E))</f>
        <v/>
      </c>
      <c r="Q993" s="28" t="str">
        <f t="shared" si="74"/>
        <v/>
      </c>
      <c r="R993" s="26" t="str">
        <f t="shared" ca="1" si="75"/>
        <v/>
      </c>
      <c r="S993" s="27" t="str">
        <f>IF(I993="","",_xlfn.XLOOKUP(I993,Lists!$C:$C,Lists!$I:$I))</f>
        <v/>
      </c>
    </row>
    <row r="994" spans="3:19" x14ac:dyDescent="0.2">
      <c r="C994" s="26">
        <f>_xlfn.XLOOKUP(B994,Lists!B:B,Lists!A:A,"")</f>
        <v>0</v>
      </c>
      <c r="G994" s="26" t="str">
        <f t="shared" si="71"/>
        <v/>
      </c>
      <c r="H994" s="31" t="str">
        <f t="shared" si="72"/>
        <v/>
      </c>
      <c r="J994" s="27" t="str">
        <f>IF(I994="","",_xlfn.XLOOKUP(I994,Lists!$C:$C,Lists!$D:$D))</f>
        <v/>
      </c>
      <c r="N994" s="26" t="str">
        <f t="shared" si="73"/>
        <v/>
      </c>
      <c r="O994" s="27" t="str">
        <f>IF(I994="","",_xlfn.XLOOKUP(I994,Lists!$C:$C,Lists!$J:$J))</f>
        <v/>
      </c>
      <c r="P994" s="27" t="str">
        <f>IF(I994="","",_xlfn.XLOOKUP(I994,Lists!$C:$C,Lists!$E:$E))</f>
        <v/>
      </c>
      <c r="Q994" s="28" t="str">
        <f t="shared" si="74"/>
        <v/>
      </c>
      <c r="R994" s="26" t="str">
        <f t="shared" ca="1" si="75"/>
        <v/>
      </c>
      <c r="S994" s="27" t="str">
        <f>IF(I994="","",_xlfn.XLOOKUP(I994,Lists!$C:$C,Lists!$I:$I))</f>
        <v/>
      </c>
    </row>
    <row r="995" spans="3:19" x14ac:dyDescent="0.2">
      <c r="C995" s="26">
        <f>_xlfn.XLOOKUP(B995,Lists!B:B,Lists!A:A,"")</f>
        <v>0</v>
      </c>
      <c r="G995" s="26" t="str">
        <f t="shared" si="71"/>
        <v/>
      </c>
      <c r="H995" s="31" t="str">
        <f t="shared" si="72"/>
        <v/>
      </c>
      <c r="J995" s="27" t="str">
        <f>IF(I995="","",_xlfn.XLOOKUP(I995,Lists!$C:$C,Lists!$D:$D))</f>
        <v/>
      </c>
      <c r="N995" s="26" t="str">
        <f t="shared" si="73"/>
        <v/>
      </c>
      <c r="O995" s="27" t="str">
        <f>IF(I995="","",_xlfn.XLOOKUP(I995,Lists!$C:$C,Lists!$J:$J))</f>
        <v/>
      </c>
      <c r="P995" s="27" t="str">
        <f>IF(I995="","",_xlfn.XLOOKUP(I995,Lists!$C:$C,Lists!$E:$E))</f>
        <v/>
      </c>
      <c r="Q995" s="28" t="str">
        <f t="shared" si="74"/>
        <v/>
      </c>
      <c r="R995" s="26" t="str">
        <f t="shared" ca="1" si="75"/>
        <v/>
      </c>
      <c r="S995" s="27" t="str">
        <f>IF(I995="","",_xlfn.XLOOKUP(I995,Lists!$C:$C,Lists!$I:$I))</f>
        <v/>
      </c>
    </row>
    <row r="996" spans="3:19" x14ac:dyDescent="0.2">
      <c r="C996" s="26">
        <f>_xlfn.XLOOKUP(B996,Lists!B:B,Lists!A:A,"")</f>
        <v>0</v>
      </c>
      <c r="G996" s="26" t="str">
        <f t="shared" si="71"/>
        <v/>
      </c>
      <c r="H996" s="31" t="str">
        <f t="shared" si="72"/>
        <v/>
      </c>
      <c r="J996" s="27" t="str">
        <f>IF(I996="","",_xlfn.XLOOKUP(I996,Lists!$C:$C,Lists!$D:$D))</f>
        <v/>
      </c>
      <c r="N996" s="26" t="str">
        <f t="shared" si="73"/>
        <v/>
      </c>
      <c r="O996" s="27" t="str">
        <f>IF(I996="","",_xlfn.XLOOKUP(I996,Lists!$C:$C,Lists!$J:$J))</f>
        <v/>
      </c>
      <c r="P996" s="27" t="str">
        <f>IF(I996="","",_xlfn.XLOOKUP(I996,Lists!$C:$C,Lists!$E:$E))</f>
        <v/>
      </c>
      <c r="Q996" s="28" t="str">
        <f t="shared" si="74"/>
        <v/>
      </c>
      <c r="R996" s="26" t="str">
        <f t="shared" ca="1" si="75"/>
        <v/>
      </c>
      <c r="S996" s="27" t="str">
        <f>IF(I996="","",_xlfn.XLOOKUP(I996,Lists!$C:$C,Lists!$I:$I))</f>
        <v/>
      </c>
    </row>
    <row r="997" spans="3:19" x14ac:dyDescent="0.2">
      <c r="C997" s="26">
        <f>_xlfn.XLOOKUP(B997,Lists!B:B,Lists!A:A,"")</f>
        <v>0</v>
      </c>
      <c r="G997" s="26" t="str">
        <f t="shared" si="71"/>
        <v/>
      </c>
      <c r="H997" s="31" t="str">
        <f t="shared" si="72"/>
        <v/>
      </c>
      <c r="J997" s="27" t="str">
        <f>IF(I997="","",_xlfn.XLOOKUP(I997,Lists!$C:$C,Lists!$D:$D))</f>
        <v/>
      </c>
      <c r="N997" s="26" t="str">
        <f t="shared" si="73"/>
        <v/>
      </c>
      <c r="O997" s="27" t="str">
        <f>IF(I997="","",_xlfn.XLOOKUP(I997,Lists!$C:$C,Lists!$J:$J))</f>
        <v/>
      </c>
      <c r="P997" s="27" t="str">
        <f>IF(I997="","",_xlfn.XLOOKUP(I997,Lists!$C:$C,Lists!$E:$E))</f>
        <v/>
      </c>
      <c r="Q997" s="28" t="str">
        <f t="shared" si="74"/>
        <v/>
      </c>
      <c r="R997" s="26" t="str">
        <f t="shared" ca="1" si="75"/>
        <v/>
      </c>
      <c r="S997" s="27" t="str">
        <f>IF(I997="","",_xlfn.XLOOKUP(I997,Lists!$C:$C,Lists!$I:$I))</f>
        <v/>
      </c>
    </row>
    <row r="998" spans="3:19" x14ac:dyDescent="0.2">
      <c r="C998" s="26">
        <f>_xlfn.XLOOKUP(B998,Lists!B:B,Lists!A:A,"")</f>
        <v>0</v>
      </c>
      <c r="G998" s="26" t="str">
        <f t="shared" si="71"/>
        <v/>
      </c>
      <c r="H998" s="31" t="str">
        <f t="shared" si="72"/>
        <v/>
      </c>
      <c r="J998" s="27" t="str">
        <f>IF(I998="","",_xlfn.XLOOKUP(I998,Lists!$C:$C,Lists!$D:$D))</f>
        <v/>
      </c>
      <c r="N998" s="26" t="str">
        <f t="shared" si="73"/>
        <v/>
      </c>
      <c r="O998" s="27" t="str">
        <f>IF(I998="","",_xlfn.XLOOKUP(I998,Lists!$C:$C,Lists!$J:$J))</f>
        <v/>
      </c>
      <c r="P998" s="27" t="str">
        <f>IF(I998="","",_xlfn.XLOOKUP(I998,Lists!$C:$C,Lists!$E:$E))</f>
        <v/>
      </c>
      <c r="Q998" s="28" t="str">
        <f t="shared" si="74"/>
        <v/>
      </c>
      <c r="R998" s="26" t="str">
        <f t="shared" ca="1" si="75"/>
        <v/>
      </c>
      <c r="S998" s="27" t="str">
        <f>IF(I998="","",_xlfn.XLOOKUP(I998,Lists!$C:$C,Lists!$I:$I))</f>
        <v/>
      </c>
    </row>
    <row r="999" spans="3:19" x14ac:dyDescent="0.2">
      <c r="C999" s="26">
        <f>_xlfn.XLOOKUP(B999,Lists!B:B,Lists!A:A,"")</f>
        <v>0</v>
      </c>
      <c r="G999" s="26" t="str">
        <f t="shared" si="71"/>
        <v/>
      </c>
      <c r="H999" s="31" t="str">
        <f t="shared" si="72"/>
        <v/>
      </c>
      <c r="J999" s="27" t="str">
        <f>IF(I999="","",_xlfn.XLOOKUP(I999,Lists!$C:$C,Lists!$D:$D))</f>
        <v/>
      </c>
      <c r="N999" s="26" t="str">
        <f t="shared" si="73"/>
        <v/>
      </c>
      <c r="O999" s="27" t="str">
        <f>IF(I999="","",_xlfn.XLOOKUP(I999,Lists!$C:$C,Lists!$J:$J))</f>
        <v/>
      </c>
      <c r="P999" s="27" t="str">
        <f>IF(I999="","",_xlfn.XLOOKUP(I999,Lists!$C:$C,Lists!$E:$E))</f>
        <v/>
      </c>
      <c r="Q999" s="28" t="str">
        <f t="shared" si="74"/>
        <v/>
      </c>
      <c r="R999" s="26" t="str">
        <f t="shared" ca="1" si="75"/>
        <v/>
      </c>
      <c r="S999" s="27" t="str">
        <f>IF(I999="","",_xlfn.XLOOKUP(I999,Lists!$C:$C,Lists!$I:$I))</f>
        <v/>
      </c>
    </row>
    <row r="1000" spans="3:19" x14ac:dyDescent="0.2">
      <c r="C1000" s="26">
        <f>_xlfn.XLOOKUP(B1000,Lists!B:B,Lists!A:A,"")</f>
        <v>0</v>
      </c>
      <c r="G1000" s="26" t="str">
        <f t="shared" si="71"/>
        <v/>
      </c>
      <c r="H1000" s="31" t="str">
        <f t="shared" si="72"/>
        <v/>
      </c>
      <c r="J1000" s="27" t="str">
        <f>IF(I1000="","",_xlfn.XLOOKUP(I1000,Lists!$C:$C,Lists!$D:$D))</f>
        <v/>
      </c>
      <c r="N1000" s="26" t="str">
        <f t="shared" si="73"/>
        <v/>
      </c>
      <c r="O1000" s="27" t="str">
        <f>IF(I1000="","",_xlfn.XLOOKUP(I1000,Lists!$C:$C,Lists!$J:$J))</f>
        <v/>
      </c>
      <c r="P1000" s="27" t="str">
        <f>IF(I1000="","",_xlfn.XLOOKUP(I1000,Lists!$C:$C,Lists!$E:$E))</f>
        <v/>
      </c>
      <c r="Q1000" s="28" t="str">
        <f t="shared" si="74"/>
        <v/>
      </c>
      <c r="R1000" s="26" t="str">
        <f t="shared" ca="1" si="75"/>
        <v/>
      </c>
      <c r="S1000" s="27" t="str">
        <f>IF(I1000="","",_xlfn.XLOOKUP(I1000,Lists!$C:$C,Lists!$I:$I))</f>
        <v/>
      </c>
    </row>
    <row r="1001" spans="3:19" x14ac:dyDescent="0.2">
      <c r="C1001" s="26">
        <f>_xlfn.XLOOKUP(B1001,Lists!B:B,Lists!A:A,"")</f>
        <v>0</v>
      </c>
      <c r="G1001" s="26" t="str">
        <f t="shared" si="71"/>
        <v/>
      </c>
      <c r="H1001" s="31" t="str">
        <f t="shared" si="72"/>
        <v/>
      </c>
      <c r="J1001" s="27" t="str">
        <f>IF(I1001="","",_xlfn.XLOOKUP(I1001,Lists!$C:$C,Lists!$D:$D))</f>
        <v/>
      </c>
      <c r="N1001" s="26" t="str">
        <f t="shared" si="73"/>
        <v/>
      </c>
      <c r="O1001" s="27" t="str">
        <f>IF(I1001="","",_xlfn.XLOOKUP(I1001,Lists!$C:$C,Lists!$J:$J))</f>
        <v/>
      </c>
      <c r="P1001" s="27" t="str">
        <f>IF(I1001="","",_xlfn.XLOOKUP(I1001,Lists!$C:$C,Lists!$E:$E))</f>
        <v/>
      </c>
      <c r="Q1001" s="28" t="str">
        <f t="shared" si="74"/>
        <v/>
      </c>
      <c r="R1001" s="26" t="str">
        <f t="shared" ca="1" si="75"/>
        <v/>
      </c>
      <c r="S1001" s="27" t="str">
        <f>IF(I1001="","",_xlfn.XLOOKUP(I1001,Lists!$C:$C,Lists!$I:$I))</f>
        <v/>
      </c>
    </row>
    <row r="1002" spans="3:19" x14ac:dyDescent="0.2">
      <c r="C1002" s="26">
        <f>_xlfn.XLOOKUP(B1002,Lists!B:B,Lists!A:A,"")</f>
        <v>0</v>
      </c>
      <c r="G1002" s="26" t="str">
        <f t="shared" si="71"/>
        <v/>
      </c>
      <c r="H1002" s="31" t="str">
        <f t="shared" si="72"/>
        <v/>
      </c>
      <c r="J1002" s="27" t="str">
        <f>IF(I1002="","",_xlfn.XLOOKUP(I1002,Lists!$C:$C,Lists!$D:$D))</f>
        <v/>
      </c>
      <c r="N1002" s="26" t="str">
        <f t="shared" si="73"/>
        <v/>
      </c>
      <c r="O1002" s="27" t="str">
        <f>IF(I1002="","",_xlfn.XLOOKUP(I1002,Lists!$C:$C,Lists!$J:$J))</f>
        <v/>
      </c>
      <c r="P1002" s="27" t="str">
        <f>IF(I1002="","",_xlfn.XLOOKUP(I1002,Lists!$C:$C,Lists!$E:$E))</f>
        <v/>
      </c>
      <c r="Q1002" s="28" t="str">
        <f t="shared" si="74"/>
        <v/>
      </c>
      <c r="R1002" s="26" t="str">
        <f t="shared" ca="1" si="75"/>
        <v/>
      </c>
      <c r="S1002" s="27" t="str">
        <f>IF(I1002="","",_xlfn.XLOOKUP(I1002,Lists!$C:$C,Lists!$I:$I))</f>
        <v/>
      </c>
    </row>
    <row r="1003" spans="3:19" x14ac:dyDescent="0.2">
      <c r="C1003" s="26">
        <f>_xlfn.XLOOKUP(B1003,Lists!B:B,Lists!A:A,"")</f>
        <v>0</v>
      </c>
      <c r="G1003" s="26" t="str">
        <f t="shared" si="71"/>
        <v/>
      </c>
      <c r="H1003" s="31" t="str">
        <f t="shared" si="72"/>
        <v/>
      </c>
      <c r="J1003" s="27" t="str">
        <f>IF(I1003="","",_xlfn.XLOOKUP(I1003,Lists!$C:$C,Lists!$D:$D))</f>
        <v/>
      </c>
      <c r="N1003" s="26" t="str">
        <f t="shared" si="73"/>
        <v/>
      </c>
      <c r="O1003" s="27" t="str">
        <f>IF(I1003="","",_xlfn.XLOOKUP(I1003,Lists!$C:$C,Lists!$J:$J))</f>
        <v/>
      </c>
      <c r="P1003" s="27" t="str">
        <f>IF(I1003="","",_xlfn.XLOOKUP(I1003,Lists!$C:$C,Lists!$E:$E))</f>
        <v/>
      </c>
      <c r="Q1003" s="28" t="str">
        <f t="shared" si="74"/>
        <v/>
      </c>
      <c r="R1003" s="26" t="str">
        <f t="shared" ca="1" si="75"/>
        <v/>
      </c>
      <c r="S1003" s="27" t="str">
        <f>IF(I1003="","",_xlfn.XLOOKUP(I1003,Lists!$C:$C,Lists!$I:$I))</f>
        <v/>
      </c>
    </row>
    <row r="1004" spans="3:19" x14ac:dyDescent="0.2">
      <c r="C1004" s="26">
        <f>_xlfn.XLOOKUP(B1004,Lists!B:B,Lists!A:A,"")</f>
        <v>0</v>
      </c>
      <c r="G1004" s="26" t="str">
        <f t="shared" si="71"/>
        <v/>
      </c>
      <c r="H1004" s="31" t="str">
        <f t="shared" si="72"/>
        <v/>
      </c>
      <c r="J1004" s="27" t="str">
        <f>IF(I1004="","",_xlfn.XLOOKUP(I1004,Lists!$C:$C,Lists!$D:$D))</f>
        <v/>
      </c>
      <c r="N1004" s="26" t="str">
        <f t="shared" si="73"/>
        <v/>
      </c>
      <c r="O1004" s="27" t="str">
        <f>IF(I1004="","",_xlfn.XLOOKUP(I1004,Lists!$C:$C,Lists!$J:$J))</f>
        <v/>
      </c>
      <c r="P1004" s="27" t="str">
        <f>IF(I1004="","",_xlfn.XLOOKUP(I1004,Lists!$C:$C,Lists!$E:$E))</f>
        <v/>
      </c>
      <c r="Q1004" s="28" t="str">
        <f t="shared" si="74"/>
        <v/>
      </c>
      <c r="R1004" s="26" t="str">
        <f t="shared" ca="1" si="75"/>
        <v/>
      </c>
      <c r="S1004" s="27" t="str">
        <f>IF(I1004="","",_xlfn.XLOOKUP(I1004,Lists!$C:$C,Lists!$I:$I))</f>
        <v/>
      </c>
    </row>
    <row r="1005" spans="3:19" x14ac:dyDescent="0.2">
      <c r="C1005" s="26">
        <f>_xlfn.XLOOKUP(B1005,Lists!B:B,Lists!A:A,"")</f>
        <v>0</v>
      </c>
      <c r="G1005" s="26" t="str">
        <f t="shared" si="71"/>
        <v/>
      </c>
      <c r="H1005" s="31" t="str">
        <f t="shared" si="72"/>
        <v/>
      </c>
      <c r="J1005" s="27" t="str">
        <f>IF(I1005="","",_xlfn.XLOOKUP(I1005,Lists!$C:$C,Lists!$D:$D))</f>
        <v/>
      </c>
      <c r="N1005" s="26" t="str">
        <f t="shared" si="73"/>
        <v/>
      </c>
      <c r="O1005" s="27" t="str">
        <f>IF(I1005="","",_xlfn.XLOOKUP(I1005,Lists!$C:$C,Lists!$J:$J))</f>
        <v/>
      </c>
      <c r="P1005" s="27" t="str">
        <f>IF(I1005="","",_xlfn.XLOOKUP(I1005,Lists!$C:$C,Lists!$E:$E))</f>
        <v/>
      </c>
      <c r="Q1005" s="28" t="str">
        <f t="shared" si="74"/>
        <v/>
      </c>
      <c r="R1005" s="26" t="str">
        <f t="shared" ca="1" si="75"/>
        <v/>
      </c>
      <c r="S1005" s="27" t="str">
        <f>IF(I1005="","",_xlfn.XLOOKUP(I1005,Lists!$C:$C,Lists!$I:$I))</f>
        <v/>
      </c>
    </row>
    <row r="1006" spans="3:19" x14ac:dyDescent="0.2">
      <c r="C1006" s="26">
        <f>_xlfn.XLOOKUP(B1006,Lists!B:B,Lists!A:A,"")</f>
        <v>0</v>
      </c>
      <c r="G1006" s="26" t="str">
        <f t="shared" si="71"/>
        <v/>
      </c>
      <c r="H1006" s="31" t="str">
        <f t="shared" si="72"/>
        <v/>
      </c>
      <c r="J1006" s="27" t="str">
        <f>IF(I1006="","",_xlfn.XLOOKUP(I1006,Lists!$C:$C,Lists!$D:$D))</f>
        <v/>
      </c>
      <c r="N1006" s="26" t="str">
        <f t="shared" si="73"/>
        <v/>
      </c>
      <c r="O1006" s="27" t="str">
        <f>IF(I1006="","",_xlfn.XLOOKUP(I1006,Lists!$C:$C,Lists!$J:$J))</f>
        <v/>
      </c>
      <c r="P1006" s="27" t="str">
        <f>IF(I1006="","",_xlfn.XLOOKUP(I1006,Lists!$C:$C,Lists!$E:$E))</f>
        <v/>
      </c>
      <c r="Q1006" s="28" t="str">
        <f t="shared" si="74"/>
        <v/>
      </c>
      <c r="R1006" s="26" t="str">
        <f t="shared" ca="1" si="75"/>
        <v/>
      </c>
      <c r="S1006" s="27" t="str">
        <f>IF(I1006="","",_xlfn.XLOOKUP(I1006,Lists!$C:$C,Lists!$I:$I))</f>
        <v/>
      </c>
    </row>
    <row r="1007" spans="3:19" x14ac:dyDescent="0.2">
      <c r="C1007" s="26">
        <f>_xlfn.XLOOKUP(B1007,Lists!B:B,Lists!A:A,"")</f>
        <v>0</v>
      </c>
      <c r="G1007" s="26" t="str">
        <f t="shared" si="71"/>
        <v/>
      </c>
      <c r="H1007" s="31" t="str">
        <f t="shared" si="72"/>
        <v/>
      </c>
      <c r="J1007" s="27" t="str">
        <f>IF(I1007="","",_xlfn.XLOOKUP(I1007,Lists!$C:$C,Lists!$D:$D))</f>
        <v/>
      </c>
      <c r="N1007" s="26" t="str">
        <f t="shared" si="73"/>
        <v/>
      </c>
      <c r="O1007" s="27" t="str">
        <f>IF(I1007="","",_xlfn.XLOOKUP(I1007,Lists!$C:$C,Lists!$J:$J))</f>
        <v/>
      </c>
      <c r="P1007" s="27" t="str">
        <f>IF(I1007="","",_xlfn.XLOOKUP(I1007,Lists!$C:$C,Lists!$E:$E))</f>
        <v/>
      </c>
      <c r="Q1007" s="28" t="str">
        <f t="shared" si="74"/>
        <v/>
      </c>
      <c r="R1007" s="26" t="str">
        <f t="shared" ca="1" si="75"/>
        <v/>
      </c>
      <c r="S1007" s="27" t="str">
        <f>IF(I1007="","",_xlfn.XLOOKUP(I1007,Lists!$C:$C,Lists!$I:$I))</f>
        <v/>
      </c>
    </row>
    <row r="1008" spans="3:19" x14ac:dyDescent="0.2">
      <c r="C1008" s="26">
        <f>_xlfn.XLOOKUP(B1008,Lists!B:B,Lists!A:A,"")</f>
        <v>0</v>
      </c>
      <c r="G1008" s="26" t="str">
        <f t="shared" si="71"/>
        <v/>
      </c>
      <c r="H1008" s="31" t="str">
        <f t="shared" si="72"/>
        <v/>
      </c>
      <c r="J1008" s="27" t="str">
        <f>IF(I1008="","",_xlfn.XLOOKUP(I1008,Lists!$C:$C,Lists!$D:$D))</f>
        <v/>
      </c>
      <c r="N1008" s="26" t="str">
        <f t="shared" si="73"/>
        <v/>
      </c>
      <c r="O1008" s="27" t="str">
        <f>IF(I1008="","",_xlfn.XLOOKUP(I1008,Lists!$C:$C,Lists!$J:$J))</f>
        <v/>
      </c>
      <c r="P1008" s="27" t="str">
        <f>IF(I1008="","",_xlfn.XLOOKUP(I1008,Lists!$C:$C,Lists!$E:$E))</f>
        <v/>
      </c>
      <c r="Q1008" s="28" t="str">
        <f t="shared" si="74"/>
        <v/>
      </c>
      <c r="R1008" s="26" t="str">
        <f t="shared" ca="1" si="75"/>
        <v/>
      </c>
      <c r="S1008" s="27" t="str">
        <f>IF(I1008="","",_xlfn.XLOOKUP(I1008,Lists!$C:$C,Lists!$I:$I))</f>
        <v/>
      </c>
    </row>
    <row r="1009" spans="3:19" x14ac:dyDescent="0.2">
      <c r="C1009" s="26">
        <f>_xlfn.XLOOKUP(B1009,Lists!B:B,Lists!A:A,"")</f>
        <v>0</v>
      </c>
      <c r="G1009" s="26" t="str">
        <f t="shared" si="71"/>
        <v/>
      </c>
      <c r="H1009" s="31" t="str">
        <f t="shared" si="72"/>
        <v/>
      </c>
      <c r="J1009" s="27" t="str">
        <f>IF(I1009="","",_xlfn.XLOOKUP(I1009,Lists!$C:$C,Lists!$D:$D))</f>
        <v/>
      </c>
      <c r="N1009" s="26" t="str">
        <f t="shared" si="73"/>
        <v/>
      </c>
      <c r="O1009" s="27" t="str">
        <f>IF(I1009="","",_xlfn.XLOOKUP(I1009,Lists!$C:$C,Lists!$J:$J))</f>
        <v/>
      </c>
      <c r="P1009" s="27" t="str">
        <f>IF(I1009="","",_xlfn.XLOOKUP(I1009,Lists!$C:$C,Lists!$E:$E))</f>
        <v/>
      </c>
      <c r="Q1009" s="28" t="str">
        <f t="shared" si="74"/>
        <v/>
      </c>
      <c r="R1009" s="26" t="str">
        <f t="shared" ca="1" si="75"/>
        <v/>
      </c>
      <c r="S1009" s="27" t="str">
        <f>IF(I1009="","",_xlfn.XLOOKUP(I1009,Lists!$C:$C,Lists!$I:$I))</f>
        <v/>
      </c>
    </row>
    <row r="1010" spans="3:19" x14ac:dyDescent="0.2">
      <c r="C1010" s="26">
        <f>_xlfn.XLOOKUP(B1010,Lists!B:B,Lists!A:A,"")</f>
        <v>0</v>
      </c>
      <c r="G1010" s="26" t="str">
        <f t="shared" si="71"/>
        <v/>
      </c>
      <c r="H1010" s="31" t="str">
        <f t="shared" si="72"/>
        <v/>
      </c>
      <c r="J1010" s="27" t="str">
        <f>IF(I1010="","",_xlfn.XLOOKUP(I1010,Lists!$C:$C,Lists!$D:$D))</f>
        <v/>
      </c>
      <c r="N1010" s="26" t="str">
        <f t="shared" si="73"/>
        <v/>
      </c>
      <c r="O1010" s="27" t="str">
        <f>IF(I1010="","",_xlfn.XLOOKUP(I1010,Lists!$C:$C,Lists!$J:$J))</f>
        <v/>
      </c>
      <c r="P1010" s="27" t="str">
        <f>IF(I1010="","",_xlfn.XLOOKUP(I1010,Lists!$C:$C,Lists!$E:$E))</f>
        <v/>
      </c>
      <c r="Q1010" s="28" t="str">
        <f t="shared" si="74"/>
        <v/>
      </c>
      <c r="R1010" s="26" t="str">
        <f t="shared" ca="1" si="75"/>
        <v/>
      </c>
      <c r="S1010" s="27" t="str">
        <f>IF(I1010="","",_xlfn.XLOOKUP(I1010,Lists!$C:$C,Lists!$I:$I))</f>
        <v/>
      </c>
    </row>
    <row r="1011" spans="3:19" x14ac:dyDescent="0.2">
      <c r="C1011" s="26">
        <f>_xlfn.XLOOKUP(B1011,Lists!B:B,Lists!A:A,"")</f>
        <v>0</v>
      </c>
      <c r="G1011" s="26" t="str">
        <f t="shared" si="71"/>
        <v/>
      </c>
      <c r="H1011" s="31" t="str">
        <f t="shared" si="72"/>
        <v/>
      </c>
      <c r="J1011" s="27" t="str">
        <f>IF(I1011="","",_xlfn.XLOOKUP(I1011,Lists!$C:$C,Lists!$D:$D))</f>
        <v/>
      </c>
      <c r="N1011" s="26" t="str">
        <f t="shared" si="73"/>
        <v/>
      </c>
      <c r="O1011" s="27" t="str">
        <f>IF(I1011="","",_xlfn.XLOOKUP(I1011,Lists!$C:$C,Lists!$J:$J))</f>
        <v/>
      </c>
      <c r="P1011" s="27" t="str">
        <f>IF(I1011="","",_xlfn.XLOOKUP(I1011,Lists!$C:$C,Lists!$E:$E))</f>
        <v/>
      </c>
      <c r="Q1011" s="28" t="str">
        <f t="shared" si="74"/>
        <v/>
      </c>
      <c r="R1011" s="26" t="str">
        <f t="shared" ca="1" si="75"/>
        <v/>
      </c>
      <c r="S1011" s="27" t="str">
        <f>IF(I1011="","",_xlfn.XLOOKUP(I1011,Lists!$C:$C,Lists!$I:$I))</f>
        <v/>
      </c>
    </row>
    <row r="1012" spans="3:19" x14ac:dyDescent="0.2">
      <c r="C1012" s="26">
        <f>_xlfn.XLOOKUP(B1012,Lists!B:B,Lists!A:A,"")</f>
        <v>0</v>
      </c>
      <c r="G1012" s="26" t="str">
        <f t="shared" si="71"/>
        <v/>
      </c>
      <c r="H1012" s="31" t="str">
        <f t="shared" si="72"/>
        <v/>
      </c>
      <c r="J1012" s="27" t="str">
        <f>IF(I1012="","",_xlfn.XLOOKUP(I1012,Lists!$C:$C,Lists!$D:$D))</f>
        <v/>
      </c>
      <c r="N1012" s="26" t="str">
        <f t="shared" si="73"/>
        <v/>
      </c>
      <c r="O1012" s="27" t="str">
        <f>IF(I1012="","",_xlfn.XLOOKUP(I1012,Lists!$C:$C,Lists!$J:$J))</f>
        <v/>
      </c>
      <c r="P1012" s="27" t="str">
        <f>IF(I1012="","",_xlfn.XLOOKUP(I1012,Lists!$C:$C,Lists!$E:$E))</f>
        <v/>
      </c>
      <c r="Q1012" s="28" t="str">
        <f t="shared" si="74"/>
        <v/>
      </c>
      <c r="R1012" s="26" t="str">
        <f t="shared" ca="1" si="75"/>
        <v/>
      </c>
      <c r="S1012" s="27" t="str">
        <f>IF(I1012="","",_xlfn.XLOOKUP(I1012,Lists!$C:$C,Lists!$I:$I))</f>
        <v/>
      </c>
    </row>
    <row r="1013" spans="3:19" x14ac:dyDescent="0.2">
      <c r="C1013" s="26">
        <f>_xlfn.XLOOKUP(B1013,Lists!B:B,Lists!A:A,"")</f>
        <v>0</v>
      </c>
      <c r="G1013" s="26" t="str">
        <f t="shared" si="71"/>
        <v/>
      </c>
      <c r="H1013" s="31" t="str">
        <f t="shared" si="72"/>
        <v/>
      </c>
      <c r="J1013" s="27" t="str">
        <f>IF(I1013="","",_xlfn.XLOOKUP(I1013,Lists!$C:$C,Lists!$D:$D))</f>
        <v/>
      </c>
      <c r="N1013" s="26" t="str">
        <f t="shared" si="73"/>
        <v/>
      </c>
      <c r="O1013" s="27" t="str">
        <f>IF(I1013="","",_xlfn.XLOOKUP(I1013,Lists!$C:$C,Lists!$J:$J))</f>
        <v/>
      </c>
      <c r="P1013" s="27" t="str">
        <f>IF(I1013="","",_xlfn.XLOOKUP(I1013,Lists!$C:$C,Lists!$E:$E))</f>
        <v/>
      </c>
      <c r="Q1013" s="28" t="str">
        <f t="shared" si="74"/>
        <v/>
      </c>
      <c r="R1013" s="26" t="str">
        <f t="shared" ca="1" si="75"/>
        <v/>
      </c>
      <c r="S1013" s="27" t="str">
        <f>IF(I1013="","",_xlfn.XLOOKUP(I1013,Lists!$C:$C,Lists!$I:$I))</f>
        <v/>
      </c>
    </row>
    <row r="1014" spans="3:19" x14ac:dyDescent="0.2">
      <c r="C1014" s="26">
        <f>_xlfn.XLOOKUP(B1014,Lists!B:B,Lists!A:A,"")</f>
        <v>0</v>
      </c>
      <c r="G1014" s="26" t="str">
        <f t="shared" si="71"/>
        <v/>
      </c>
      <c r="H1014" s="31" t="str">
        <f t="shared" si="72"/>
        <v/>
      </c>
      <c r="J1014" s="27" t="str">
        <f>IF(I1014="","",_xlfn.XLOOKUP(I1014,Lists!$C:$C,Lists!$D:$D))</f>
        <v/>
      </c>
      <c r="N1014" s="26" t="str">
        <f t="shared" si="73"/>
        <v/>
      </c>
      <c r="O1014" s="27" t="str">
        <f>IF(I1014="","",_xlfn.XLOOKUP(I1014,Lists!$C:$C,Lists!$J:$J))</f>
        <v/>
      </c>
      <c r="P1014" s="27" t="str">
        <f>IF(I1014="","",_xlfn.XLOOKUP(I1014,Lists!$C:$C,Lists!$E:$E))</f>
        <v/>
      </c>
      <c r="Q1014" s="28" t="str">
        <f t="shared" si="74"/>
        <v/>
      </c>
      <c r="R1014" s="26" t="str">
        <f t="shared" ca="1" si="75"/>
        <v/>
      </c>
      <c r="S1014" s="27" t="str">
        <f>IF(I1014="","",_xlfn.XLOOKUP(I1014,Lists!$C:$C,Lists!$I:$I))</f>
        <v/>
      </c>
    </row>
    <row r="1015" spans="3:19" x14ac:dyDescent="0.2">
      <c r="C1015" s="26">
        <f>_xlfn.XLOOKUP(B1015,Lists!B:B,Lists!A:A,"")</f>
        <v>0</v>
      </c>
      <c r="G1015" s="26" t="str">
        <f t="shared" si="71"/>
        <v/>
      </c>
      <c r="H1015" s="31" t="str">
        <f t="shared" si="72"/>
        <v/>
      </c>
      <c r="J1015" s="27" t="str">
        <f>IF(I1015="","",_xlfn.XLOOKUP(I1015,Lists!$C:$C,Lists!$D:$D))</f>
        <v/>
      </c>
      <c r="N1015" s="26" t="str">
        <f t="shared" si="73"/>
        <v/>
      </c>
      <c r="O1015" s="27" t="str">
        <f>IF(I1015="","",_xlfn.XLOOKUP(I1015,Lists!$C:$C,Lists!$J:$J))</f>
        <v/>
      </c>
      <c r="P1015" s="27" t="str">
        <f>IF(I1015="","",_xlfn.XLOOKUP(I1015,Lists!$C:$C,Lists!$E:$E))</f>
        <v/>
      </c>
      <c r="Q1015" s="28" t="str">
        <f t="shared" si="74"/>
        <v/>
      </c>
      <c r="R1015" s="26" t="str">
        <f t="shared" ca="1" si="75"/>
        <v/>
      </c>
      <c r="S1015" s="27" t="str">
        <f>IF(I1015="","",_xlfn.XLOOKUP(I1015,Lists!$C:$C,Lists!$I:$I))</f>
        <v/>
      </c>
    </row>
    <row r="1016" spans="3:19" x14ac:dyDescent="0.2">
      <c r="C1016" s="26">
        <f>_xlfn.XLOOKUP(B1016,Lists!B:B,Lists!A:A,"")</f>
        <v>0</v>
      </c>
      <c r="G1016" s="26" t="str">
        <f t="shared" si="71"/>
        <v/>
      </c>
      <c r="H1016" s="31" t="str">
        <f t="shared" si="72"/>
        <v/>
      </c>
      <c r="J1016" s="27" t="str">
        <f>IF(I1016="","",_xlfn.XLOOKUP(I1016,Lists!$C:$C,Lists!$D:$D))</f>
        <v/>
      </c>
      <c r="N1016" s="26" t="str">
        <f t="shared" si="73"/>
        <v/>
      </c>
      <c r="O1016" s="27" t="str">
        <f>IF(I1016="","",_xlfn.XLOOKUP(I1016,Lists!$C:$C,Lists!$J:$J))</f>
        <v/>
      </c>
      <c r="P1016" s="27" t="str">
        <f>IF(I1016="","",_xlfn.XLOOKUP(I1016,Lists!$C:$C,Lists!$E:$E))</f>
        <v/>
      </c>
      <c r="Q1016" s="28" t="str">
        <f t="shared" si="74"/>
        <v/>
      </c>
      <c r="R1016" s="26" t="str">
        <f t="shared" ca="1" si="75"/>
        <v/>
      </c>
      <c r="S1016" s="27" t="str">
        <f>IF(I1016="","",_xlfn.XLOOKUP(I1016,Lists!$C:$C,Lists!$I:$I))</f>
        <v/>
      </c>
    </row>
    <row r="1017" spans="3:19" x14ac:dyDescent="0.2">
      <c r="C1017" s="26">
        <f>_xlfn.XLOOKUP(B1017,Lists!B:B,Lists!A:A,"")</f>
        <v>0</v>
      </c>
      <c r="G1017" s="26" t="str">
        <f t="shared" si="71"/>
        <v/>
      </c>
      <c r="H1017" s="31" t="str">
        <f t="shared" si="72"/>
        <v/>
      </c>
      <c r="J1017" s="27" t="str">
        <f>IF(I1017="","",_xlfn.XLOOKUP(I1017,Lists!$C:$C,Lists!$D:$D))</f>
        <v/>
      </c>
      <c r="N1017" s="26" t="str">
        <f t="shared" si="73"/>
        <v/>
      </c>
      <c r="O1017" s="27" t="str">
        <f>IF(I1017="","",_xlfn.XLOOKUP(I1017,Lists!$C:$C,Lists!$J:$J))</f>
        <v/>
      </c>
      <c r="P1017" s="27" t="str">
        <f>IF(I1017="","",_xlfn.XLOOKUP(I1017,Lists!$C:$C,Lists!$E:$E))</f>
        <v/>
      </c>
      <c r="Q1017" s="28" t="str">
        <f t="shared" si="74"/>
        <v/>
      </c>
      <c r="R1017" s="26" t="str">
        <f t="shared" ca="1" si="75"/>
        <v/>
      </c>
      <c r="S1017" s="27" t="str">
        <f>IF(I1017="","",_xlfn.XLOOKUP(I1017,Lists!$C:$C,Lists!$I:$I))</f>
        <v/>
      </c>
    </row>
    <row r="1018" spans="3:19" x14ac:dyDescent="0.2">
      <c r="C1018" s="26">
        <f>_xlfn.XLOOKUP(B1018,Lists!B:B,Lists!A:A,"")</f>
        <v>0</v>
      </c>
      <c r="G1018" s="26" t="str">
        <f t="shared" si="71"/>
        <v/>
      </c>
      <c r="H1018" s="31" t="str">
        <f t="shared" si="72"/>
        <v/>
      </c>
      <c r="J1018" s="27" t="str">
        <f>IF(I1018="","",_xlfn.XLOOKUP(I1018,Lists!$C:$C,Lists!$D:$D))</f>
        <v/>
      </c>
      <c r="N1018" s="26" t="str">
        <f t="shared" si="73"/>
        <v/>
      </c>
      <c r="O1018" s="27" t="str">
        <f>IF(I1018="","",_xlfn.XLOOKUP(I1018,Lists!$C:$C,Lists!$J:$J))</f>
        <v/>
      </c>
      <c r="P1018" s="27" t="str">
        <f>IF(I1018="","",_xlfn.XLOOKUP(I1018,Lists!$C:$C,Lists!$E:$E))</f>
        <v/>
      </c>
      <c r="Q1018" s="28" t="str">
        <f t="shared" si="74"/>
        <v/>
      </c>
      <c r="R1018" s="26" t="str">
        <f t="shared" ca="1" si="75"/>
        <v/>
      </c>
      <c r="S1018" s="27" t="str">
        <f>IF(I1018="","",_xlfn.XLOOKUP(I1018,Lists!$C:$C,Lists!$I:$I))</f>
        <v/>
      </c>
    </row>
    <row r="1019" spans="3:19" x14ac:dyDescent="0.2">
      <c r="C1019" s="26">
        <f>_xlfn.XLOOKUP(B1019,Lists!B:B,Lists!A:A,"")</f>
        <v>0</v>
      </c>
      <c r="G1019" s="26" t="str">
        <f t="shared" si="71"/>
        <v/>
      </c>
      <c r="H1019" s="31" t="str">
        <f t="shared" si="72"/>
        <v/>
      </c>
      <c r="J1019" s="27" t="str">
        <f>IF(I1019="","",_xlfn.XLOOKUP(I1019,Lists!$C:$C,Lists!$D:$D))</f>
        <v/>
      </c>
      <c r="N1019" s="26" t="str">
        <f t="shared" si="73"/>
        <v/>
      </c>
      <c r="O1019" s="27" t="str">
        <f>IF(I1019="","",_xlfn.XLOOKUP(I1019,Lists!$C:$C,Lists!$J:$J))</f>
        <v/>
      </c>
      <c r="P1019" s="27" t="str">
        <f>IF(I1019="","",_xlfn.XLOOKUP(I1019,Lists!$C:$C,Lists!$E:$E))</f>
        <v/>
      </c>
      <c r="Q1019" s="28" t="str">
        <f t="shared" si="74"/>
        <v/>
      </c>
      <c r="R1019" s="26" t="str">
        <f t="shared" ca="1" si="75"/>
        <v/>
      </c>
      <c r="S1019" s="27" t="str">
        <f>IF(I1019="","",_xlfn.XLOOKUP(I1019,Lists!$C:$C,Lists!$I:$I))</f>
        <v/>
      </c>
    </row>
    <row r="1020" spans="3:19" x14ac:dyDescent="0.2">
      <c r="C1020" s="26">
        <f>_xlfn.XLOOKUP(B1020,Lists!B:B,Lists!A:A,"")</f>
        <v>0</v>
      </c>
      <c r="G1020" s="26" t="str">
        <f t="shared" si="71"/>
        <v/>
      </c>
      <c r="H1020" s="31" t="str">
        <f t="shared" si="72"/>
        <v/>
      </c>
      <c r="J1020" s="27" t="str">
        <f>IF(I1020="","",_xlfn.XLOOKUP(I1020,Lists!$C:$C,Lists!$D:$D))</f>
        <v/>
      </c>
      <c r="N1020" s="26" t="str">
        <f t="shared" si="73"/>
        <v/>
      </c>
      <c r="O1020" s="27" t="str">
        <f>IF(I1020="","",_xlfn.XLOOKUP(I1020,Lists!$C:$C,Lists!$J:$J))</f>
        <v/>
      </c>
      <c r="P1020" s="27" t="str">
        <f>IF(I1020="","",_xlfn.XLOOKUP(I1020,Lists!$C:$C,Lists!$E:$E))</f>
        <v/>
      </c>
      <c r="Q1020" s="28" t="str">
        <f t="shared" si="74"/>
        <v/>
      </c>
      <c r="R1020" s="26" t="str">
        <f t="shared" ca="1" si="75"/>
        <v/>
      </c>
      <c r="S1020" s="27" t="str">
        <f>IF(I1020="","",_xlfn.XLOOKUP(I1020,Lists!$C:$C,Lists!$I:$I))</f>
        <v/>
      </c>
    </row>
    <row r="1021" spans="3:19" x14ac:dyDescent="0.2">
      <c r="C1021" s="26">
        <f>_xlfn.XLOOKUP(B1021,Lists!B:B,Lists!A:A,"")</f>
        <v>0</v>
      </c>
      <c r="G1021" s="26" t="str">
        <f t="shared" si="71"/>
        <v/>
      </c>
      <c r="H1021" s="31" t="str">
        <f t="shared" si="72"/>
        <v/>
      </c>
      <c r="J1021" s="27" t="str">
        <f>IF(I1021="","",_xlfn.XLOOKUP(I1021,Lists!$C:$C,Lists!$D:$D))</f>
        <v/>
      </c>
      <c r="N1021" s="26" t="str">
        <f t="shared" si="73"/>
        <v/>
      </c>
      <c r="O1021" s="27" t="str">
        <f>IF(I1021="","",_xlfn.XLOOKUP(I1021,Lists!$C:$C,Lists!$J:$J))</f>
        <v/>
      </c>
      <c r="P1021" s="27" t="str">
        <f>IF(I1021="","",_xlfn.XLOOKUP(I1021,Lists!$C:$C,Lists!$E:$E))</f>
        <v/>
      </c>
      <c r="Q1021" s="28" t="str">
        <f t="shared" si="74"/>
        <v/>
      </c>
      <c r="R1021" s="26" t="str">
        <f t="shared" ca="1" si="75"/>
        <v/>
      </c>
      <c r="S1021" s="27" t="str">
        <f>IF(I1021="","",_xlfn.XLOOKUP(I1021,Lists!$C:$C,Lists!$I:$I))</f>
        <v/>
      </c>
    </row>
    <row r="1022" spans="3:19" x14ac:dyDescent="0.2">
      <c r="C1022" s="26">
        <f>_xlfn.XLOOKUP(B1022,Lists!B:B,Lists!A:A,"")</f>
        <v>0</v>
      </c>
      <c r="G1022" s="26" t="str">
        <f t="shared" si="71"/>
        <v/>
      </c>
      <c r="H1022" s="31" t="str">
        <f t="shared" si="72"/>
        <v/>
      </c>
      <c r="J1022" s="27" t="str">
        <f>IF(I1022="","",_xlfn.XLOOKUP(I1022,Lists!$C:$C,Lists!$D:$D))</f>
        <v/>
      </c>
      <c r="N1022" s="26" t="str">
        <f t="shared" si="73"/>
        <v/>
      </c>
      <c r="O1022" s="27" t="str">
        <f>IF(I1022="","",_xlfn.XLOOKUP(I1022,Lists!$C:$C,Lists!$J:$J))</f>
        <v/>
      </c>
      <c r="P1022" s="27" t="str">
        <f>IF(I1022="","",_xlfn.XLOOKUP(I1022,Lists!$C:$C,Lists!$E:$E))</f>
        <v/>
      </c>
      <c r="Q1022" s="28" t="str">
        <f t="shared" si="74"/>
        <v/>
      </c>
      <c r="R1022" s="26" t="str">
        <f t="shared" ca="1" si="75"/>
        <v/>
      </c>
      <c r="S1022" s="27" t="str">
        <f>IF(I1022="","",_xlfn.XLOOKUP(I1022,Lists!$C:$C,Lists!$I:$I))</f>
        <v/>
      </c>
    </row>
    <row r="1023" spans="3:19" x14ac:dyDescent="0.2">
      <c r="C1023" s="26">
        <f>_xlfn.XLOOKUP(B1023,Lists!B:B,Lists!A:A,"")</f>
        <v>0</v>
      </c>
      <c r="G1023" s="26" t="str">
        <f t="shared" si="71"/>
        <v/>
      </c>
      <c r="H1023" s="31" t="str">
        <f t="shared" si="72"/>
        <v/>
      </c>
      <c r="J1023" s="27" t="str">
        <f>IF(I1023="","",_xlfn.XLOOKUP(I1023,Lists!$C:$C,Lists!$D:$D))</f>
        <v/>
      </c>
      <c r="N1023" s="26" t="str">
        <f t="shared" si="73"/>
        <v/>
      </c>
      <c r="O1023" s="27" t="str">
        <f>IF(I1023="","",_xlfn.XLOOKUP(I1023,Lists!$C:$C,Lists!$J:$J))</f>
        <v/>
      </c>
      <c r="P1023" s="27" t="str">
        <f>IF(I1023="","",_xlfn.XLOOKUP(I1023,Lists!$C:$C,Lists!$E:$E))</f>
        <v/>
      </c>
      <c r="Q1023" s="28" t="str">
        <f t="shared" si="74"/>
        <v/>
      </c>
      <c r="R1023" s="26" t="str">
        <f t="shared" ca="1" si="75"/>
        <v/>
      </c>
      <c r="S1023" s="27" t="str">
        <f>IF(I1023="","",_xlfn.XLOOKUP(I1023,Lists!$C:$C,Lists!$I:$I))</f>
        <v/>
      </c>
    </row>
    <row r="1024" spans="3:19" x14ac:dyDescent="0.2">
      <c r="C1024" s="26">
        <f>_xlfn.XLOOKUP(B1024,Lists!B:B,Lists!A:A,"")</f>
        <v>0</v>
      </c>
      <c r="G1024" s="26" t="str">
        <f t="shared" si="71"/>
        <v/>
      </c>
      <c r="H1024" s="31" t="str">
        <f t="shared" si="72"/>
        <v/>
      </c>
      <c r="J1024" s="27" t="str">
        <f>IF(I1024="","",_xlfn.XLOOKUP(I1024,Lists!$C:$C,Lists!$D:$D))</f>
        <v/>
      </c>
      <c r="N1024" s="26" t="str">
        <f t="shared" si="73"/>
        <v/>
      </c>
      <c r="O1024" s="27" t="str">
        <f>IF(I1024="","",_xlfn.XLOOKUP(I1024,Lists!$C:$C,Lists!$J:$J))</f>
        <v/>
      </c>
      <c r="P1024" s="27" t="str">
        <f>IF(I1024="","",_xlfn.XLOOKUP(I1024,Lists!$C:$C,Lists!$E:$E))</f>
        <v/>
      </c>
      <c r="Q1024" s="28" t="str">
        <f t="shared" si="74"/>
        <v/>
      </c>
      <c r="R1024" s="26" t="str">
        <f t="shared" ca="1" si="75"/>
        <v/>
      </c>
      <c r="S1024" s="27" t="str">
        <f>IF(I1024="","",_xlfn.XLOOKUP(I1024,Lists!$C:$C,Lists!$I:$I))</f>
        <v/>
      </c>
    </row>
    <row r="1025" spans="3:19" x14ac:dyDescent="0.2">
      <c r="C1025" s="26">
        <f>_xlfn.XLOOKUP(B1025,Lists!B:B,Lists!A:A,"")</f>
        <v>0</v>
      </c>
      <c r="G1025" s="26" t="str">
        <f t="shared" si="71"/>
        <v/>
      </c>
      <c r="H1025" s="31" t="str">
        <f t="shared" si="72"/>
        <v/>
      </c>
      <c r="J1025" s="27" t="str">
        <f>IF(I1025="","",_xlfn.XLOOKUP(I1025,Lists!$C:$C,Lists!$D:$D))</f>
        <v/>
      </c>
      <c r="N1025" s="26" t="str">
        <f t="shared" si="73"/>
        <v/>
      </c>
      <c r="O1025" s="27" t="str">
        <f>IF(I1025="","",_xlfn.XLOOKUP(I1025,Lists!$C:$C,Lists!$J:$J))</f>
        <v/>
      </c>
      <c r="P1025" s="27" t="str">
        <f>IF(I1025="","",_xlfn.XLOOKUP(I1025,Lists!$C:$C,Lists!$E:$E))</f>
        <v/>
      </c>
      <c r="Q1025" s="28" t="str">
        <f t="shared" si="74"/>
        <v/>
      </c>
      <c r="R1025" s="26" t="str">
        <f t="shared" ca="1" si="75"/>
        <v/>
      </c>
      <c r="S1025" s="27" t="str">
        <f>IF(I1025="","",_xlfn.XLOOKUP(I1025,Lists!$C:$C,Lists!$I:$I))</f>
        <v/>
      </c>
    </row>
    <row r="1026" spans="3:19" x14ac:dyDescent="0.2">
      <c r="C1026" s="26">
        <f>_xlfn.XLOOKUP(B1026,Lists!B:B,Lists!A:A,"")</f>
        <v>0</v>
      </c>
      <c r="G1026" s="26" t="str">
        <f t="shared" si="71"/>
        <v/>
      </c>
      <c r="H1026" s="31" t="str">
        <f t="shared" si="72"/>
        <v/>
      </c>
      <c r="J1026" s="27" t="str">
        <f>IF(I1026="","",_xlfn.XLOOKUP(I1026,Lists!$C:$C,Lists!$D:$D))</f>
        <v/>
      </c>
      <c r="N1026" s="26" t="str">
        <f t="shared" si="73"/>
        <v/>
      </c>
      <c r="O1026" s="27" t="str">
        <f>IF(I1026="","",_xlfn.XLOOKUP(I1026,Lists!$C:$C,Lists!$J:$J))</f>
        <v/>
      </c>
      <c r="P1026" s="27" t="str">
        <f>IF(I1026="","",_xlfn.XLOOKUP(I1026,Lists!$C:$C,Lists!$E:$E))</f>
        <v/>
      </c>
      <c r="Q1026" s="28" t="str">
        <f t="shared" si="74"/>
        <v/>
      </c>
      <c r="R1026" s="26" t="str">
        <f t="shared" ca="1" si="75"/>
        <v/>
      </c>
      <c r="S1026" s="27" t="str">
        <f>IF(I1026="","",_xlfn.XLOOKUP(I1026,Lists!$C:$C,Lists!$I:$I))</f>
        <v/>
      </c>
    </row>
    <row r="1027" spans="3:19" x14ac:dyDescent="0.2">
      <c r="C1027" s="26">
        <f>_xlfn.XLOOKUP(B1027,Lists!B:B,Lists!A:A,"")</f>
        <v>0</v>
      </c>
      <c r="G1027" s="26" t="str">
        <f t="shared" ref="G1027:G1058" si="76">IF(OR(E1027="",F1027=""),"",F1027-E1027+1)</f>
        <v/>
      </c>
      <c r="H1027" s="31" t="str">
        <f t="shared" ref="H1027:H1058" si="77">IF(D1027="","",IF(OR(D1027="A",D1027="B"),G1027/80,IF(D1027="A&amp;B",G1027/160,"")))</f>
        <v/>
      </c>
      <c r="J1027" s="27" t="str">
        <f>IF(I1027="","",_xlfn.XLOOKUP(I1027,Lists!$C:$C,Lists!$D:$D))</f>
        <v/>
      </c>
      <c r="N1027" s="26" t="str">
        <f t="shared" ref="N1027:N1058" si="78">IF(OR(M1027="",L1027=""),"",(M1027*L1027)/100000)</f>
        <v/>
      </c>
      <c r="O1027" s="27" t="str">
        <f>IF(I1027="","",_xlfn.XLOOKUP(I1027,Lists!$C:$C,Lists!$J:$J))</f>
        <v/>
      </c>
      <c r="P1027" s="27" t="str">
        <f>IF(I1027="","",_xlfn.XLOOKUP(I1027,Lists!$C:$C,Lists!$E:$E))</f>
        <v/>
      </c>
      <c r="Q1027" s="28" t="str">
        <f t="shared" ref="Q1027:Q1058" si="79">IF(OR(A1027="",P1027=""),"",A1027+P1027+1)</f>
        <v/>
      </c>
      <c r="R1027" s="26" t="str">
        <f t="shared" ref="R1027:R1058" ca="1" si="80">IF(Q1027="","",IF(Q1027&lt;=TODAY(),"Allow","Not Allow"))</f>
        <v/>
      </c>
      <c r="S1027" s="27" t="str">
        <f>IF(I1027="","",_xlfn.XLOOKUP(I1027,Lists!$C:$C,Lists!$I:$I))</f>
        <v/>
      </c>
    </row>
    <row r="1028" spans="3:19" x14ac:dyDescent="0.2">
      <c r="C1028" s="26">
        <f>_xlfn.XLOOKUP(B1028,Lists!B:B,Lists!A:A,"")</f>
        <v>0</v>
      </c>
      <c r="G1028" s="26" t="str">
        <f t="shared" si="76"/>
        <v/>
      </c>
      <c r="H1028" s="31" t="str">
        <f t="shared" si="77"/>
        <v/>
      </c>
      <c r="J1028" s="27" t="str">
        <f>IF(I1028="","",_xlfn.XLOOKUP(I1028,Lists!$C:$C,Lists!$D:$D))</f>
        <v/>
      </c>
      <c r="N1028" s="26" t="str">
        <f t="shared" si="78"/>
        <v/>
      </c>
      <c r="O1028" s="27" t="str">
        <f>IF(I1028="","",_xlfn.XLOOKUP(I1028,Lists!$C:$C,Lists!$J:$J))</f>
        <v/>
      </c>
      <c r="P1028" s="27" t="str">
        <f>IF(I1028="","",_xlfn.XLOOKUP(I1028,Lists!$C:$C,Lists!$E:$E))</f>
        <v/>
      </c>
      <c r="Q1028" s="28" t="str">
        <f t="shared" si="79"/>
        <v/>
      </c>
      <c r="R1028" s="26" t="str">
        <f t="shared" ca="1" si="80"/>
        <v/>
      </c>
      <c r="S1028" s="27" t="str">
        <f>IF(I1028="","",_xlfn.XLOOKUP(I1028,Lists!$C:$C,Lists!$I:$I))</f>
        <v/>
      </c>
    </row>
    <row r="1029" spans="3:19" x14ac:dyDescent="0.2">
      <c r="C1029" s="26">
        <f>_xlfn.XLOOKUP(B1029,Lists!B:B,Lists!A:A,"")</f>
        <v>0</v>
      </c>
      <c r="G1029" s="26" t="str">
        <f t="shared" si="76"/>
        <v/>
      </c>
      <c r="H1029" s="31" t="str">
        <f t="shared" si="77"/>
        <v/>
      </c>
      <c r="J1029" s="27" t="str">
        <f>IF(I1029="","",_xlfn.XLOOKUP(I1029,Lists!$C:$C,Lists!$D:$D))</f>
        <v/>
      </c>
      <c r="N1029" s="26" t="str">
        <f t="shared" si="78"/>
        <v/>
      </c>
      <c r="O1029" s="27" t="str">
        <f>IF(I1029="","",_xlfn.XLOOKUP(I1029,Lists!$C:$C,Lists!$J:$J))</f>
        <v/>
      </c>
      <c r="P1029" s="27" t="str">
        <f>IF(I1029="","",_xlfn.XLOOKUP(I1029,Lists!$C:$C,Lists!$E:$E))</f>
        <v/>
      </c>
      <c r="Q1029" s="28" t="str">
        <f t="shared" si="79"/>
        <v/>
      </c>
      <c r="R1029" s="26" t="str">
        <f t="shared" ca="1" si="80"/>
        <v/>
      </c>
      <c r="S1029" s="27" t="str">
        <f>IF(I1029="","",_xlfn.XLOOKUP(I1029,Lists!$C:$C,Lists!$I:$I))</f>
        <v/>
      </c>
    </row>
    <row r="1030" spans="3:19" x14ac:dyDescent="0.2">
      <c r="C1030" s="26">
        <f>_xlfn.XLOOKUP(B1030,Lists!B:B,Lists!A:A,"")</f>
        <v>0</v>
      </c>
      <c r="G1030" s="26" t="str">
        <f t="shared" si="76"/>
        <v/>
      </c>
      <c r="H1030" s="31" t="str">
        <f t="shared" si="77"/>
        <v/>
      </c>
      <c r="J1030" s="27" t="str">
        <f>IF(I1030="","",_xlfn.XLOOKUP(I1030,Lists!$C:$C,Lists!$D:$D))</f>
        <v/>
      </c>
      <c r="N1030" s="26" t="str">
        <f t="shared" si="78"/>
        <v/>
      </c>
      <c r="O1030" s="27" t="str">
        <f>IF(I1030="","",_xlfn.XLOOKUP(I1030,Lists!$C:$C,Lists!$J:$J))</f>
        <v/>
      </c>
      <c r="P1030" s="27" t="str">
        <f>IF(I1030="","",_xlfn.XLOOKUP(I1030,Lists!$C:$C,Lists!$E:$E))</f>
        <v/>
      </c>
      <c r="Q1030" s="28" t="str">
        <f t="shared" si="79"/>
        <v/>
      </c>
      <c r="R1030" s="26" t="str">
        <f t="shared" ca="1" si="80"/>
        <v/>
      </c>
      <c r="S1030" s="27" t="str">
        <f>IF(I1030="","",_xlfn.XLOOKUP(I1030,Lists!$C:$C,Lists!$I:$I))</f>
        <v/>
      </c>
    </row>
    <row r="1031" spans="3:19" x14ac:dyDescent="0.2">
      <c r="C1031" s="26">
        <f>_xlfn.XLOOKUP(B1031,Lists!B:B,Lists!A:A,"")</f>
        <v>0</v>
      </c>
      <c r="G1031" s="26" t="str">
        <f t="shared" si="76"/>
        <v/>
      </c>
      <c r="H1031" s="31" t="str">
        <f t="shared" si="77"/>
        <v/>
      </c>
      <c r="J1031" s="27" t="str">
        <f>IF(I1031="","",_xlfn.XLOOKUP(I1031,Lists!$C:$C,Lists!$D:$D))</f>
        <v/>
      </c>
      <c r="N1031" s="26" t="str">
        <f t="shared" si="78"/>
        <v/>
      </c>
      <c r="O1031" s="27" t="str">
        <f>IF(I1031="","",_xlfn.XLOOKUP(I1031,Lists!$C:$C,Lists!$J:$J))</f>
        <v/>
      </c>
      <c r="P1031" s="27" t="str">
        <f>IF(I1031="","",_xlfn.XLOOKUP(I1031,Lists!$C:$C,Lists!$E:$E))</f>
        <v/>
      </c>
      <c r="Q1031" s="28" t="str">
        <f t="shared" si="79"/>
        <v/>
      </c>
      <c r="R1031" s="26" t="str">
        <f t="shared" ca="1" si="80"/>
        <v/>
      </c>
      <c r="S1031" s="27" t="str">
        <f>IF(I1031="","",_xlfn.XLOOKUP(I1031,Lists!$C:$C,Lists!$I:$I))</f>
        <v/>
      </c>
    </row>
    <row r="1032" spans="3:19" x14ac:dyDescent="0.2">
      <c r="C1032" s="26">
        <f>_xlfn.XLOOKUP(B1032,Lists!B:B,Lists!A:A,"")</f>
        <v>0</v>
      </c>
      <c r="G1032" s="26" t="str">
        <f t="shared" si="76"/>
        <v/>
      </c>
      <c r="H1032" s="31" t="str">
        <f t="shared" si="77"/>
        <v/>
      </c>
      <c r="J1032" s="27" t="str">
        <f>IF(I1032="","",_xlfn.XLOOKUP(I1032,Lists!$C:$C,Lists!$D:$D))</f>
        <v/>
      </c>
      <c r="N1032" s="26" t="str">
        <f t="shared" si="78"/>
        <v/>
      </c>
      <c r="O1032" s="27" t="str">
        <f>IF(I1032="","",_xlfn.XLOOKUP(I1032,Lists!$C:$C,Lists!$J:$J))</f>
        <v/>
      </c>
      <c r="P1032" s="27" t="str">
        <f>IF(I1032="","",_xlfn.XLOOKUP(I1032,Lists!$C:$C,Lists!$E:$E))</f>
        <v/>
      </c>
      <c r="Q1032" s="28" t="str">
        <f t="shared" si="79"/>
        <v/>
      </c>
      <c r="R1032" s="26" t="str">
        <f t="shared" ca="1" si="80"/>
        <v/>
      </c>
      <c r="S1032" s="27" t="str">
        <f>IF(I1032="","",_xlfn.XLOOKUP(I1032,Lists!$C:$C,Lists!$I:$I))</f>
        <v/>
      </c>
    </row>
    <row r="1033" spans="3:19" x14ac:dyDescent="0.2">
      <c r="C1033" s="26">
        <f>_xlfn.XLOOKUP(B1033,Lists!B:B,Lists!A:A,"")</f>
        <v>0</v>
      </c>
      <c r="G1033" s="26" t="str">
        <f t="shared" si="76"/>
        <v/>
      </c>
      <c r="H1033" s="31" t="str">
        <f t="shared" si="77"/>
        <v/>
      </c>
      <c r="J1033" s="27" t="str">
        <f>IF(I1033="","",_xlfn.XLOOKUP(I1033,Lists!$C:$C,Lists!$D:$D))</f>
        <v/>
      </c>
      <c r="N1033" s="26" t="str">
        <f t="shared" si="78"/>
        <v/>
      </c>
      <c r="O1033" s="27" t="str">
        <f>IF(I1033="","",_xlfn.XLOOKUP(I1033,Lists!$C:$C,Lists!$J:$J))</f>
        <v/>
      </c>
      <c r="P1033" s="27" t="str">
        <f>IF(I1033="","",_xlfn.XLOOKUP(I1033,Lists!$C:$C,Lists!$E:$E))</f>
        <v/>
      </c>
      <c r="Q1033" s="28" t="str">
        <f t="shared" si="79"/>
        <v/>
      </c>
      <c r="R1033" s="26" t="str">
        <f t="shared" ca="1" si="80"/>
        <v/>
      </c>
      <c r="S1033" s="27" t="str">
        <f>IF(I1033="","",_xlfn.XLOOKUP(I1033,Lists!$C:$C,Lists!$I:$I))</f>
        <v/>
      </c>
    </row>
    <row r="1034" spans="3:19" x14ac:dyDescent="0.2">
      <c r="C1034" s="26">
        <f>_xlfn.XLOOKUP(B1034,Lists!B:B,Lists!A:A,"")</f>
        <v>0</v>
      </c>
      <c r="G1034" s="26" t="str">
        <f t="shared" si="76"/>
        <v/>
      </c>
      <c r="H1034" s="31" t="str">
        <f t="shared" si="77"/>
        <v/>
      </c>
      <c r="J1034" s="27" t="str">
        <f>IF(I1034="","",_xlfn.XLOOKUP(I1034,Lists!$C:$C,Lists!$D:$D))</f>
        <v/>
      </c>
      <c r="N1034" s="26" t="str">
        <f t="shared" si="78"/>
        <v/>
      </c>
      <c r="O1034" s="27" t="str">
        <f>IF(I1034="","",_xlfn.XLOOKUP(I1034,Lists!$C:$C,Lists!$J:$J))</f>
        <v/>
      </c>
      <c r="P1034" s="27" t="str">
        <f>IF(I1034="","",_xlfn.XLOOKUP(I1034,Lists!$C:$C,Lists!$E:$E))</f>
        <v/>
      </c>
      <c r="Q1034" s="28" t="str">
        <f t="shared" si="79"/>
        <v/>
      </c>
      <c r="R1034" s="26" t="str">
        <f t="shared" ca="1" si="80"/>
        <v/>
      </c>
      <c r="S1034" s="27" t="str">
        <f>IF(I1034="","",_xlfn.XLOOKUP(I1034,Lists!$C:$C,Lists!$I:$I))</f>
        <v/>
      </c>
    </row>
    <row r="1035" spans="3:19" x14ac:dyDescent="0.2">
      <c r="C1035" s="26">
        <f>_xlfn.XLOOKUP(B1035,Lists!B:B,Lists!A:A,"")</f>
        <v>0</v>
      </c>
      <c r="G1035" s="26" t="str">
        <f t="shared" si="76"/>
        <v/>
      </c>
      <c r="H1035" s="31" t="str">
        <f t="shared" si="77"/>
        <v/>
      </c>
      <c r="J1035" s="27" t="str">
        <f>IF(I1035="","",_xlfn.XLOOKUP(I1035,Lists!$C:$C,Lists!$D:$D))</f>
        <v/>
      </c>
      <c r="N1035" s="26" t="str">
        <f t="shared" si="78"/>
        <v/>
      </c>
      <c r="O1035" s="27" t="str">
        <f>IF(I1035="","",_xlfn.XLOOKUP(I1035,Lists!$C:$C,Lists!$J:$J))</f>
        <v/>
      </c>
      <c r="P1035" s="27" t="str">
        <f>IF(I1035="","",_xlfn.XLOOKUP(I1035,Lists!$C:$C,Lists!$E:$E))</f>
        <v/>
      </c>
      <c r="Q1035" s="28" t="str">
        <f t="shared" si="79"/>
        <v/>
      </c>
      <c r="R1035" s="26" t="str">
        <f t="shared" ca="1" si="80"/>
        <v/>
      </c>
      <c r="S1035" s="27" t="str">
        <f>IF(I1035="","",_xlfn.XLOOKUP(I1035,Lists!$C:$C,Lists!$I:$I))</f>
        <v/>
      </c>
    </row>
    <row r="1036" spans="3:19" x14ac:dyDescent="0.2">
      <c r="C1036" s="26">
        <f>_xlfn.XLOOKUP(B1036,Lists!B:B,Lists!A:A,"")</f>
        <v>0</v>
      </c>
      <c r="G1036" s="26" t="str">
        <f t="shared" si="76"/>
        <v/>
      </c>
      <c r="H1036" s="31" t="str">
        <f t="shared" si="77"/>
        <v/>
      </c>
      <c r="J1036" s="27" t="str">
        <f>IF(I1036="","",_xlfn.XLOOKUP(I1036,Lists!$C:$C,Lists!$D:$D))</f>
        <v/>
      </c>
      <c r="N1036" s="26" t="str">
        <f t="shared" si="78"/>
        <v/>
      </c>
      <c r="O1036" s="27" t="str">
        <f>IF(I1036="","",_xlfn.XLOOKUP(I1036,Lists!$C:$C,Lists!$J:$J))</f>
        <v/>
      </c>
      <c r="P1036" s="27" t="str">
        <f>IF(I1036="","",_xlfn.XLOOKUP(I1036,Lists!$C:$C,Lists!$E:$E))</f>
        <v/>
      </c>
      <c r="Q1036" s="28" t="str">
        <f t="shared" si="79"/>
        <v/>
      </c>
      <c r="R1036" s="26" t="str">
        <f t="shared" ca="1" si="80"/>
        <v/>
      </c>
      <c r="S1036" s="27" t="str">
        <f>IF(I1036="","",_xlfn.XLOOKUP(I1036,Lists!$C:$C,Lists!$I:$I))</f>
        <v/>
      </c>
    </row>
    <row r="1037" spans="3:19" x14ac:dyDescent="0.2">
      <c r="C1037" s="26">
        <f>_xlfn.XLOOKUP(B1037,Lists!B:B,Lists!A:A,"")</f>
        <v>0</v>
      </c>
      <c r="G1037" s="26" t="str">
        <f t="shared" si="76"/>
        <v/>
      </c>
      <c r="H1037" s="31" t="str">
        <f t="shared" si="77"/>
        <v/>
      </c>
      <c r="J1037" s="27" t="str">
        <f>IF(I1037="","",_xlfn.XLOOKUP(I1037,Lists!$C:$C,Lists!$D:$D))</f>
        <v/>
      </c>
      <c r="N1037" s="26" t="str">
        <f t="shared" si="78"/>
        <v/>
      </c>
      <c r="O1037" s="27" t="str">
        <f>IF(I1037="","",_xlfn.XLOOKUP(I1037,Lists!$C:$C,Lists!$J:$J))</f>
        <v/>
      </c>
      <c r="P1037" s="27" t="str">
        <f>IF(I1037="","",_xlfn.XLOOKUP(I1037,Lists!$C:$C,Lists!$E:$E))</f>
        <v/>
      </c>
      <c r="Q1037" s="28" t="str">
        <f t="shared" si="79"/>
        <v/>
      </c>
      <c r="R1037" s="26" t="str">
        <f t="shared" ca="1" si="80"/>
        <v/>
      </c>
      <c r="S1037" s="27" t="str">
        <f>IF(I1037="","",_xlfn.XLOOKUP(I1037,Lists!$C:$C,Lists!$I:$I))</f>
        <v/>
      </c>
    </row>
    <row r="1038" spans="3:19" x14ac:dyDescent="0.2">
      <c r="C1038" s="26">
        <f>_xlfn.XLOOKUP(B1038,Lists!B:B,Lists!A:A,"")</f>
        <v>0</v>
      </c>
      <c r="G1038" s="26" t="str">
        <f t="shared" si="76"/>
        <v/>
      </c>
      <c r="H1038" s="31" t="str">
        <f t="shared" si="77"/>
        <v/>
      </c>
      <c r="J1038" s="27" t="str">
        <f>IF(I1038="","",_xlfn.XLOOKUP(I1038,Lists!$C:$C,Lists!$D:$D))</f>
        <v/>
      </c>
      <c r="N1038" s="26" t="str">
        <f t="shared" si="78"/>
        <v/>
      </c>
      <c r="O1038" s="27" t="str">
        <f>IF(I1038="","",_xlfn.XLOOKUP(I1038,Lists!$C:$C,Lists!$J:$J))</f>
        <v/>
      </c>
      <c r="P1038" s="27" t="str">
        <f>IF(I1038="","",_xlfn.XLOOKUP(I1038,Lists!$C:$C,Lists!$E:$E))</f>
        <v/>
      </c>
      <c r="Q1038" s="28" t="str">
        <f t="shared" si="79"/>
        <v/>
      </c>
      <c r="R1038" s="26" t="str">
        <f t="shared" ca="1" si="80"/>
        <v/>
      </c>
      <c r="S1038" s="27" t="str">
        <f>IF(I1038="","",_xlfn.XLOOKUP(I1038,Lists!$C:$C,Lists!$I:$I))</f>
        <v/>
      </c>
    </row>
    <row r="1039" spans="3:19" x14ac:dyDescent="0.2">
      <c r="C1039" s="26">
        <f>_xlfn.XLOOKUP(B1039,Lists!B:B,Lists!A:A,"")</f>
        <v>0</v>
      </c>
      <c r="G1039" s="26" t="str">
        <f t="shared" si="76"/>
        <v/>
      </c>
      <c r="H1039" s="31" t="str">
        <f t="shared" si="77"/>
        <v/>
      </c>
      <c r="J1039" s="27" t="str">
        <f>IF(I1039="","",_xlfn.XLOOKUP(I1039,Lists!$C:$C,Lists!$D:$D))</f>
        <v/>
      </c>
      <c r="N1039" s="26" t="str">
        <f t="shared" si="78"/>
        <v/>
      </c>
      <c r="O1039" s="27" t="str">
        <f>IF(I1039="","",_xlfn.XLOOKUP(I1039,Lists!$C:$C,Lists!$J:$J))</f>
        <v/>
      </c>
      <c r="P1039" s="27" t="str">
        <f>IF(I1039="","",_xlfn.XLOOKUP(I1039,Lists!$C:$C,Lists!$E:$E))</f>
        <v/>
      </c>
      <c r="Q1039" s="28" t="str">
        <f t="shared" si="79"/>
        <v/>
      </c>
      <c r="R1039" s="26" t="str">
        <f t="shared" ca="1" si="80"/>
        <v/>
      </c>
      <c r="S1039" s="27" t="str">
        <f>IF(I1039="","",_xlfn.XLOOKUP(I1039,Lists!$C:$C,Lists!$I:$I))</f>
        <v/>
      </c>
    </row>
    <row r="1040" spans="3:19" x14ac:dyDescent="0.2">
      <c r="C1040" s="26">
        <f>_xlfn.XLOOKUP(B1040,Lists!B:B,Lists!A:A,"")</f>
        <v>0</v>
      </c>
      <c r="G1040" s="26" t="str">
        <f t="shared" si="76"/>
        <v/>
      </c>
      <c r="H1040" s="31" t="str">
        <f t="shared" si="77"/>
        <v/>
      </c>
      <c r="J1040" s="27" t="str">
        <f>IF(I1040="","",_xlfn.XLOOKUP(I1040,Lists!$C:$C,Lists!$D:$D))</f>
        <v/>
      </c>
      <c r="N1040" s="26" t="str">
        <f t="shared" si="78"/>
        <v/>
      </c>
      <c r="O1040" s="27" t="str">
        <f>IF(I1040="","",_xlfn.XLOOKUP(I1040,Lists!$C:$C,Lists!$J:$J))</f>
        <v/>
      </c>
      <c r="P1040" s="27" t="str">
        <f>IF(I1040="","",_xlfn.XLOOKUP(I1040,Lists!$C:$C,Lists!$E:$E))</f>
        <v/>
      </c>
      <c r="Q1040" s="28" t="str">
        <f t="shared" si="79"/>
        <v/>
      </c>
      <c r="R1040" s="26" t="str">
        <f t="shared" ca="1" si="80"/>
        <v/>
      </c>
      <c r="S1040" s="27" t="str">
        <f>IF(I1040="","",_xlfn.XLOOKUP(I1040,Lists!$C:$C,Lists!$I:$I))</f>
        <v/>
      </c>
    </row>
    <row r="1041" spans="3:19" x14ac:dyDescent="0.2">
      <c r="C1041" s="26">
        <f>_xlfn.XLOOKUP(B1041,Lists!B:B,Lists!A:A,"")</f>
        <v>0</v>
      </c>
      <c r="G1041" s="26" t="str">
        <f t="shared" si="76"/>
        <v/>
      </c>
      <c r="H1041" s="31" t="str">
        <f t="shared" si="77"/>
        <v/>
      </c>
      <c r="J1041" s="27" t="str">
        <f>IF(I1041="","",_xlfn.XLOOKUP(I1041,Lists!$C:$C,Lists!$D:$D))</f>
        <v/>
      </c>
      <c r="N1041" s="26" t="str">
        <f t="shared" si="78"/>
        <v/>
      </c>
      <c r="O1041" s="27" t="str">
        <f>IF(I1041="","",_xlfn.XLOOKUP(I1041,Lists!$C:$C,Lists!$J:$J))</f>
        <v/>
      </c>
      <c r="P1041" s="27" t="str">
        <f>IF(I1041="","",_xlfn.XLOOKUP(I1041,Lists!$C:$C,Lists!$E:$E))</f>
        <v/>
      </c>
      <c r="Q1041" s="28" t="str">
        <f t="shared" si="79"/>
        <v/>
      </c>
      <c r="R1041" s="26" t="str">
        <f t="shared" ca="1" si="80"/>
        <v/>
      </c>
      <c r="S1041" s="27" t="str">
        <f>IF(I1041="","",_xlfn.XLOOKUP(I1041,Lists!$C:$C,Lists!$I:$I))</f>
        <v/>
      </c>
    </row>
    <row r="1042" spans="3:19" x14ac:dyDescent="0.2">
      <c r="C1042" s="26">
        <f>_xlfn.XLOOKUP(B1042,Lists!B:B,Lists!A:A,"")</f>
        <v>0</v>
      </c>
      <c r="G1042" s="26" t="str">
        <f t="shared" si="76"/>
        <v/>
      </c>
      <c r="H1042" s="31" t="str">
        <f t="shared" si="77"/>
        <v/>
      </c>
      <c r="J1042" s="27" t="str">
        <f>IF(I1042="","",_xlfn.XLOOKUP(I1042,Lists!$C:$C,Lists!$D:$D))</f>
        <v/>
      </c>
      <c r="N1042" s="26" t="str">
        <f t="shared" si="78"/>
        <v/>
      </c>
      <c r="O1042" s="27" t="str">
        <f>IF(I1042="","",_xlfn.XLOOKUP(I1042,Lists!$C:$C,Lists!$J:$J))</f>
        <v/>
      </c>
      <c r="P1042" s="27" t="str">
        <f>IF(I1042="","",_xlfn.XLOOKUP(I1042,Lists!$C:$C,Lists!$E:$E))</f>
        <v/>
      </c>
      <c r="Q1042" s="28" t="str">
        <f t="shared" si="79"/>
        <v/>
      </c>
      <c r="R1042" s="26" t="str">
        <f t="shared" ca="1" si="80"/>
        <v/>
      </c>
      <c r="S1042" s="27" t="str">
        <f>IF(I1042="","",_xlfn.XLOOKUP(I1042,Lists!$C:$C,Lists!$I:$I))</f>
        <v/>
      </c>
    </row>
    <row r="1043" spans="3:19" x14ac:dyDescent="0.2">
      <c r="C1043" s="26">
        <f>_xlfn.XLOOKUP(B1043,Lists!B:B,Lists!A:A,"")</f>
        <v>0</v>
      </c>
      <c r="G1043" s="26" t="str">
        <f t="shared" si="76"/>
        <v/>
      </c>
      <c r="H1043" s="31" t="str">
        <f t="shared" si="77"/>
        <v/>
      </c>
      <c r="J1043" s="27" t="str">
        <f>IF(I1043="","",_xlfn.XLOOKUP(I1043,Lists!$C:$C,Lists!$D:$D))</f>
        <v/>
      </c>
      <c r="N1043" s="26" t="str">
        <f t="shared" si="78"/>
        <v/>
      </c>
      <c r="O1043" s="27" t="str">
        <f>IF(I1043="","",_xlfn.XLOOKUP(I1043,Lists!$C:$C,Lists!$J:$J))</f>
        <v/>
      </c>
      <c r="P1043" s="27" t="str">
        <f>IF(I1043="","",_xlfn.XLOOKUP(I1043,Lists!$C:$C,Lists!$E:$E))</f>
        <v/>
      </c>
      <c r="Q1043" s="28" t="str">
        <f t="shared" si="79"/>
        <v/>
      </c>
      <c r="R1043" s="26" t="str">
        <f t="shared" ca="1" si="80"/>
        <v/>
      </c>
      <c r="S1043" s="27" t="str">
        <f>IF(I1043="","",_xlfn.XLOOKUP(I1043,Lists!$C:$C,Lists!$I:$I))</f>
        <v/>
      </c>
    </row>
    <row r="1044" spans="3:19" x14ac:dyDescent="0.2">
      <c r="C1044" s="26">
        <f>_xlfn.XLOOKUP(B1044,Lists!B:B,Lists!A:A,"")</f>
        <v>0</v>
      </c>
      <c r="G1044" s="26" t="str">
        <f t="shared" si="76"/>
        <v/>
      </c>
      <c r="H1044" s="31" t="str">
        <f t="shared" si="77"/>
        <v/>
      </c>
      <c r="J1044" s="27" t="str">
        <f>IF(I1044="","",_xlfn.XLOOKUP(I1044,Lists!$C:$C,Lists!$D:$D))</f>
        <v/>
      </c>
      <c r="N1044" s="26" t="str">
        <f t="shared" si="78"/>
        <v/>
      </c>
      <c r="O1044" s="27" t="str">
        <f>IF(I1044="","",_xlfn.XLOOKUP(I1044,Lists!$C:$C,Lists!$J:$J))</f>
        <v/>
      </c>
      <c r="P1044" s="27" t="str">
        <f>IF(I1044="","",_xlfn.XLOOKUP(I1044,Lists!$C:$C,Lists!$E:$E))</f>
        <v/>
      </c>
      <c r="Q1044" s="28" t="str">
        <f t="shared" si="79"/>
        <v/>
      </c>
      <c r="R1044" s="26" t="str">
        <f t="shared" ca="1" si="80"/>
        <v/>
      </c>
      <c r="S1044" s="27" t="str">
        <f>IF(I1044="","",_xlfn.XLOOKUP(I1044,Lists!$C:$C,Lists!$I:$I))</f>
        <v/>
      </c>
    </row>
    <row r="1045" spans="3:19" x14ac:dyDescent="0.2">
      <c r="C1045" s="26">
        <f>_xlfn.XLOOKUP(B1045,Lists!B:B,Lists!A:A,"")</f>
        <v>0</v>
      </c>
      <c r="G1045" s="26" t="str">
        <f t="shared" si="76"/>
        <v/>
      </c>
      <c r="H1045" s="31" t="str">
        <f t="shared" si="77"/>
        <v/>
      </c>
      <c r="J1045" s="27" t="str">
        <f>IF(I1045="","",_xlfn.XLOOKUP(I1045,Lists!$C:$C,Lists!$D:$D))</f>
        <v/>
      </c>
      <c r="N1045" s="26" t="str">
        <f t="shared" si="78"/>
        <v/>
      </c>
      <c r="O1045" s="27" t="str">
        <f>IF(I1045="","",_xlfn.XLOOKUP(I1045,Lists!$C:$C,Lists!$J:$J))</f>
        <v/>
      </c>
      <c r="P1045" s="27" t="str">
        <f>IF(I1045="","",_xlfn.XLOOKUP(I1045,Lists!$C:$C,Lists!$E:$E))</f>
        <v/>
      </c>
      <c r="Q1045" s="28" t="str">
        <f t="shared" si="79"/>
        <v/>
      </c>
      <c r="R1045" s="26" t="str">
        <f t="shared" ca="1" si="80"/>
        <v/>
      </c>
      <c r="S1045" s="27" t="str">
        <f>IF(I1045="","",_xlfn.XLOOKUP(I1045,Lists!$C:$C,Lists!$I:$I))</f>
        <v/>
      </c>
    </row>
    <row r="1046" spans="3:19" x14ac:dyDescent="0.2">
      <c r="C1046" s="26">
        <f>_xlfn.XLOOKUP(B1046,Lists!B:B,Lists!A:A,"")</f>
        <v>0</v>
      </c>
      <c r="G1046" s="26" t="str">
        <f t="shared" si="76"/>
        <v/>
      </c>
      <c r="H1046" s="31" t="str">
        <f t="shared" si="77"/>
        <v/>
      </c>
      <c r="J1046" s="27" t="str">
        <f>IF(I1046="","",_xlfn.XLOOKUP(I1046,Lists!$C:$C,Lists!$D:$D))</f>
        <v/>
      </c>
      <c r="N1046" s="26" t="str">
        <f t="shared" si="78"/>
        <v/>
      </c>
      <c r="O1046" s="27" t="str">
        <f>IF(I1046="","",_xlfn.XLOOKUP(I1046,Lists!$C:$C,Lists!$J:$J))</f>
        <v/>
      </c>
      <c r="P1046" s="27" t="str">
        <f>IF(I1046="","",_xlfn.XLOOKUP(I1046,Lists!$C:$C,Lists!$E:$E))</f>
        <v/>
      </c>
      <c r="Q1046" s="28" t="str">
        <f t="shared" si="79"/>
        <v/>
      </c>
      <c r="R1046" s="26" t="str">
        <f t="shared" ca="1" si="80"/>
        <v/>
      </c>
      <c r="S1046" s="27" t="str">
        <f>IF(I1046="","",_xlfn.XLOOKUP(I1046,Lists!$C:$C,Lists!$I:$I))</f>
        <v/>
      </c>
    </row>
    <row r="1047" spans="3:19" x14ac:dyDescent="0.2">
      <c r="C1047" s="26">
        <f>_xlfn.XLOOKUP(B1047,Lists!B:B,Lists!A:A,"")</f>
        <v>0</v>
      </c>
      <c r="G1047" s="26" t="str">
        <f t="shared" si="76"/>
        <v/>
      </c>
      <c r="H1047" s="31" t="str">
        <f t="shared" si="77"/>
        <v/>
      </c>
      <c r="J1047" s="27" t="str">
        <f>IF(I1047="","",_xlfn.XLOOKUP(I1047,Lists!$C:$C,Lists!$D:$D))</f>
        <v/>
      </c>
      <c r="N1047" s="26" t="str">
        <f t="shared" si="78"/>
        <v/>
      </c>
      <c r="O1047" s="27" t="str">
        <f>IF(I1047="","",_xlfn.XLOOKUP(I1047,Lists!$C:$C,Lists!$J:$J))</f>
        <v/>
      </c>
      <c r="P1047" s="27" t="str">
        <f>IF(I1047="","",_xlfn.XLOOKUP(I1047,Lists!$C:$C,Lists!$E:$E))</f>
        <v/>
      </c>
      <c r="Q1047" s="28" t="str">
        <f t="shared" si="79"/>
        <v/>
      </c>
      <c r="R1047" s="26" t="str">
        <f t="shared" ca="1" si="80"/>
        <v/>
      </c>
      <c r="S1047" s="27" t="str">
        <f>IF(I1047="","",_xlfn.XLOOKUP(I1047,Lists!$C:$C,Lists!$I:$I))</f>
        <v/>
      </c>
    </row>
    <row r="1048" spans="3:19" x14ac:dyDescent="0.2">
      <c r="C1048" s="26">
        <f>_xlfn.XLOOKUP(B1048,Lists!B:B,Lists!A:A,"")</f>
        <v>0</v>
      </c>
      <c r="G1048" s="26" t="str">
        <f t="shared" si="76"/>
        <v/>
      </c>
      <c r="H1048" s="31" t="str">
        <f t="shared" si="77"/>
        <v/>
      </c>
      <c r="J1048" s="27" t="str">
        <f>IF(I1048="","",_xlfn.XLOOKUP(I1048,Lists!$C:$C,Lists!$D:$D))</f>
        <v/>
      </c>
      <c r="N1048" s="26" t="str">
        <f t="shared" si="78"/>
        <v/>
      </c>
      <c r="O1048" s="27" t="str">
        <f>IF(I1048="","",_xlfn.XLOOKUP(I1048,Lists!$C:$C,Lists!$J:$J))</f>
        <v/>
      </c>
      <c r="P1048" s="27" t="str">
        <f>IF(I1048="","",_xlfn.XLOOKUP(I1048,Lists!$C:$C,Lists!$E:$E))</f>
        <v/>
      </c>
      <c r="Q1048" s="28" t="str">
        <f t="shared" si="79"/>
        <v/>
      </c>
      <c r="R1048" s="26" t="str">
        <f t="shared" ca="1" si="80"/>
        <v/>
      </c>
      <c r="S1048" s="27" t="str">
        <f>IF(I1048="","",_xlfn.XLOOKUP(I1048,Lists!$C:$C,Lists!$I:$I))</f>
        <v/>
      </c>
    </row>
    <row r="1049" spans="3:19" x14ac:dyDescent="0.2">
      <c r="C1049" s="26">
        <f>_xlfn.XLOOKUP(B1049,Lists!B:B,Lists!A:A,"")</f>
        <v>0</v>
      </c>
      <c r="G1049" s="26" t="str">
        <f t="shared" si="76"/>
        <v/>
      </c>
      <c r="H1049" s="31" t="str">
        <f t="shared" si="77"/>
        <v/>
      </c>
      <c r="J1049" s="27" t="str">
        <f>IF(I1049="","",_xlfn.XLOOKUP(I1049,Lists!$C:$C,Lists!$D:$D))</f>
        <v/>
      </c>
      <c r="N1049" s="26" t="str">
        <f t="shared" si="78"/>
        <v/>
      </c>
      <c r="O1049" s="27" t="str">
        <f>IF(I1049="","",_xlfn.XLOOKUP(I1049,Lists!$C:$C,Lists!$J:$J))</f>
        <v/>
      </c>
      <c r="P1049" s="27" t="str">
        <f>IF(I1049="","",_xlfn.XLOOKUP(I1049,Lists!$C:$C,Lists!$E:$E))</f>
        <v/>
      </c>
      <c r="Q1049" s="28" t="str">
        <f t="shared" si="79"/>
        <v/>
      </c>
      <c r="R1049" s="26" t="str">
        <f t="shared" ca="1" si="80"/>
        <v/>
      </c>
      <c r="S1049" s="27" t="str">
        <f>IF(I1049="","",_xlfn.XLOOKUP(I1049,Lists!$C:$C,Lists!$I:$I))</f>
        <v/>
      </c>
    </row>
    <row r="1050" spans="3:19" x14ac:dyDescent="0.2">
      <c r="C1050" s="26">
        <f>_xlfn.XLOOKUP(B1050,Lists!B:B,Lists!A:A,"")</f>
        <v>0</v>
      </c>
      <c r="G1050" s="26" t="str">
        <f t="shared" si="76"/>
        <v/>
      </c>
      <c r="H1050" s="31" t="str">
        <f t="shared" si="77"/>
        <v/>
      </c>
      <c r="J1050" s="27" t="str">
        <f>IF(I1050="","",_xlfn.XLOOKUP(I1050,Lists!$C:$C,Lists!$D:$D))</f>
        <v/>
      </c>
      <c r="N1050" s="26" t="str">
        <f t="shared" si="78"/>
        <v/>
      </c>
      <c r="O1050" s="27" t="str">
        <f>IF(I1050="","",_xlfn.XLOOKUP(I1050,Lists!$C:$C,Lists!$J:$J))</f>
        <v/>
      </c>
      <c r="P1050" s="27" t="str">
        <f>IF(I1050="","",_xlfn.XLOOKUP(I1050,Lists!$C:$C,Lists!$E:$E))</f>
        <v/>
      </c>
      <c r="Q1050" s="28" t="str">
        <f t="shared" si="79"/>
        <v/>
      </c>
      <c r="R1050" s="26" t="str">
        <f t="shared" ca="1" si="80"/>
        <v/>
      </c>
      <c r="S1050" s="27" t="str">
        <f>IF(I1050="","",_xlfn.XLOOKUP(I1050,Lists!$C:$C,Lists!$I:$I))</f>
        <v/>
      </c>
    </row>
    <row r="1051" spans="3:19" x14ac:dyDescent="0.2">
      <c r="C1051" s="26">
        <f>_xlfn.XLOOKUP(B1051,Lists!B:B,Lists!A:A,"")</f>
        <v>0</v>
      </c>
      <c r="G1051" s="26" t="str">
        <f t="shared" si="76"/>
        <v/>
      </c>
      <c r="H1051" s="31" t="str">
        <f t="shared" si="77"/>
        <v/>
      </c>
      <c r="J1051" s="27" t="str">
        <f>IF(I1051="","",_xlfn.XLOOKUP(I1051,Lists!$C:$C,Lists!$D:$D))</f>
        <v/>
      </c>
      <c r="N1051" s="26" t="str">
        <f t="shared" si="78"/>
        <v/>
      </c>
      <c r="O1051" s="27" t="str">
        <f>IF(I1051="","",_xlfn.XLOOKUP(I1051,Lists!$C:$C,Lists!$J:$J))</f>
        <v/>
      </c>
      <c r="P1051" s="27" t="str">
        <f>IF(I1051="","",_xlfn.XLOOKUP(I1051,Lists!$C:$C,Lists!$E:$E))</f>
        <v/>
      </c>
      <c r="Q1051" s="28" t="str">
        <f t="shared" si="79"/>
        <v/>
      </c>
      <c r="R1051" s="26" t="str">
        <f t="shared" ca="1" si="80"/>
        <v/>
      </c>
      <c r="S1051" s="27" t="str">
        <f>IF(I1051="","",_xlfn.XLOOKUP(I1051,Lists!$C:$C,Lists!$I:$I))</f>
        <v/>
      </c>
    </row>
    <row r="1052" spans="3:19" x14ac:dyDescent="0.2">
      <c r="C1052" s="26">
        <f>_xlfn.XLOOKUP(B1052,Lists!B:B,Lists!A:A,"")</f>
        <v>0</v>
      </c>
      <c r="G1052" s="26" t="str">
        <f t="shared" si="76"/>
        <v/>
      </c>
      <c r="H1052" s="31" t="str">
        <f t="shared" si="77"/>
        <v/>
      </c>
      <c r="J1052" s="27" t="str">
        <f>IF(I1052="","",_xlfn.XLOOKUP(I1052,Lists!$C:$C,Lists!$D:$D))</f>
        <v/>
      </c>
      <c r="N1052" s="26" t="str">
        <f t="shared" si="78"/>
        <v/>
      </c>
      <c r="O1052" s="27" t="str">
        <f>IF(I1052="","",_xlfn.XLOOKUP(I1052,Lists!$C:$C,Lists!$J:$J))</f>
        <v/>
      </c>
      <c r="P1052" s="27" t="str">
        <f>IF(I1052="","",_xlfn.XLOOKUP(I1052,Lists!$C:$C,Lists!$E:$E))</f>
        <v/>
      </c>
      <c r="Q1052" s="28" t="str">
        <f t="shared" si="79"/>
        <v/>
      </c>
      <c r="R1052" s="26" t="str">
        <f t="shared" ca="1" si="80"/>
        <v/>
      </c>
      <c r="S1052" s="27" t="str">
        <f>IF(I1052="","",_xlfn.XLOOKUP(I1052,Lists!$C:$C,Lists!$I:$I))</f>
        <v/>
      </c>
    </row>
    <row r="1053" spans="3:19" x14ac:dyDescent="0.2">
      <c r="C1053" s="26">
        <f>_xlfn.XLOOKUP(B1053,Lists!B:B,Lists!A:A,"")</f>
        <v>0</v>
      </c>
      <c r="G1053" s="26" t="str">
        <f t="shared" si="76"/>
        <v/>
      </c>
      <c r="H1053" s="31" t="str">
        <f t="shared" si="77"/>
        <v/>
      </c>
      <c r="J1053" s="27" t="str">
        <f>IF(I1053="","",_xlfn.XLOOKUP(I1053,Lists!$C:$C,Lists!$D:$D))</f>
        <v/>
      </c>
      <c r="N1053" s="26" t="str">
        <f t="shared" si="78"/>
        <v/>
      </c>
      <c r="O1053" s="27" t="str">
        <f>IF(I1053="","",_xlfn.XLOOKUP(I1053,Lists!$C:$C,Lists!$J:$J))</f>
        <v/>
      </c>
      <c r="P1053" s="27" t="str">
        <f>IF(I1053="","",_xlfn.XLOOKUP(I1053,Lists!$C:$C,Lists!$E:$E))</f>
        <v/>
      </c>
      <c r="Q1053" s="28" t="str">
        <f t="shared" si="79"/>
        <v/>
      </c>
      <c r="R1053" s="26" t="str">
        <f t="shared" ca="1" si="80"/>
        <v/>
      </c>
      <c r="S1053" s="27" t="str">
        <f>IF(I1053="","",_xlfn.XLOOKUP(I1053,Lists!$C:$C,Lists!$I:$I))</f>
        <v/>
      </c>
    </row>
    <row r="1054" spans="3:19" x14ac:dyDescent="0.2">
      <c r="C1054" s="26">
        <f>_xlfn.XLOOKUP(B1054,Lists!B:B,Lists!A:A,"")</f>
        <v>0</v>
      </c>
      <c r="G1054" s="26" t="str">
        <f t="shared" si="76"/>
        <v/>
      </c>
      <c r="H1054" s="31" t="str">
        <f t="shared" si="77"/>
        <v/>
      </c>
      <c r="J1054" s="27" t="str">
        <f>IF(I1054="","",_xlfn.XLOOKUP(I1054,Lists!$C:$C,Lists!$D:$D))</f>
        <v/>
      </c>
      <c r="N1054" s="26" t="str">
        <f t="shared" si="78"/>
        <v/>
      </c>
      <c r="O1054" s="27" t="str">
        <f>IF(I1054="","",_xlfn.XLOOKUP(I1054,Lists!$C:$C,Lists!$J:$J))</f>
        <v/>
      </c>
      <c r="P1054" s="27" t="str">
        <f>IF(I1054="","",_xlfn.XLOOKUP(I1054,Lists!$C:$C,Lists!$E:$E))</f>
        <v/>
      </c>
      <c r="Q1054" s="28" t="str">
        <f t="shared" si="79"/>
        <v/>
      </c>
      <c r="R1054" s="26" t="str">
        <f t="shared" ca="1" si="80"/>
        <v/>
      </c>
      <c r="S1054" s="27" t="str">
        <f>IF(I1054="","",_xlfn.XLOOKUP(I1054,Lists!$C:$C,Lists!$I:$I))</f>
        <v/>
      </c>
    </row>
    <row r="1055" spans="3:19" x14ac:dyDescent="0.2">
      <c r="C1055" s="26">
        <f>_xlfn.XLOOKUP(B1055,Lists!B:B,Lists!A:A,"")</f>
        <v>0</v>
      </c>
      <c r="G1055" s="26" t="str">
        <f t="shared" si="76"/>
        <v/>
      </c>
      <c r="H1055" s="31" t="str">
        <f t="shared" si="77"/>
        <v/>
      </c>
      <c r="J1055" s="27" t="str">
        <f>IF(I1055="","",_xlfn.XLOOKUP(I1055,Lists!$C:$C,Lists!$D:$D))</f>
        <v/>
      </c>
      <c r="N1055" s="26" t="str">
        <f t="shared" si="78"/>
        <v/>
      </c>
      <c r="O1055" s="27" t="str">
        <f>IF(I1055="","",_xlfn.XLOOKUP(I1055,Lists!$C:$C,Lists!$J:$J))</f>
        <v/>
      </c>
      <c r="P1055" s="27" t="str">
        <f>IF(I1055="","",_xlfn.XLOOKUP(I1055,Lists!$C:$C,Lists!$E:$E))</f>
        <v/>
      </c>
      <c r="Q1055" s="28" t="str">
        <f t="shared" si="79"/>
        <v/>
      </c>
      <c r="R1055" s="26" t="str">
        <f t="shared" ca="1" si="80"/>
        <v/>
      </c>
      <c r="S1055" s="27" t="str">
        <f>IF(I1055="","",_xlfn.XLOOKUP(I1055,Lists!$C:$C,Lists!$I:$I))</f>
        <v/>
      </c>
    </row>
    <row r="1056" spans="3:19" x14ac:dyDescent="0.2">
      <c r="C1056" s="26">
        <f>_xlfn.XLOOKUP(B1056,Lists!B:B,Lists!A:A,"")</f>
        <v>0</v>
      </c>
      <c r="G1056" s="26" t="str">
        <f t="shared" si="76"/>
        <v/>
      </c>
      <c r="H1056" s="31" t="str">
        <f t="shared" si="77"/>
        <v/>
      </c>
      <c r="J1056" s="27" t="str">
        <f>IF(I1056="","",_xlfn.XLOOKUP(I1056,Lists!$C:$C,Lists!$D:$D))</f>
        <v/>
      </c>
      <c r="N1056" s="26" t="str">
        <f t="shared" si="78"/>
        <v/>
      </c>
      <c r="O1056" s="27" t="str">
        <f>IF(I1056="","",_xlfn.XLOOKUP(I1056,Lists!$C:$C,Lists!$J:$J))</f>
        <v/>
      </c>
      <c r="P1056" s="27" t="str">
        <f>IF(I1056="","",_xlfn.XLOOKUP(I1056,Lists!$C:$C,Lists!$E:$E))</f>
        <v/>
      </c>
      <c r="Q1056" s="28" t="str">
        <f t="shared" si="79"/>
        <v/>
      </c>
      <c r="R1056" s="26" t="str">
        <f t="shared" ca="1" si="80"/>
        <v/>
      </c>
      <c r="S1056" s="27" t="str">
        <f>IF(I1056="","",_xlfn.XLOOKUP(I1056,Lists!$C:$C,Lists!$I:$I))</f>
        <v/>
      </c>
    </row>
    <row r="1057" spans="3:19" x14ac:dyDescent="0.2">
      <c r="C1057" s="26">
        <f>_xlfn.XLOOKUP(B1057,Lists!B:B,Lists!A:A,"")</f>
        <v>0</v>
      </c>
      <c r="G1057" s="26" t="str">
        <f t="shared" si="76"/>
        <v/>
      </c>
      <c r="H1057" s="31" t="str">
        <f t="shared" si="77"/>
        <v/>
      </c>
      <c r="J1057" s="27" t="str">
        <f>IF(I1057="","",_xlfn.XLOOKUP(I1057,Lists!$C:$C,Lists!$D:$D))</f>
        <v/>
      </c>
      <c r="N1057" s="26" t="str">
        <f t="shared" si="78"/>
        <v/>
      </c>
      <c r="O1057" s="27" t="str">
        <f>IF(I1057="","",_xlfn.XLOOKUP(I1057,Lists!$C:$C,Lists!$J:$J))</f>
        <v/>
      </c>
      <c r="P1057" s="27" t="str">
        <f>IF(I1057="","",_xlfn.XLOOKUP(I1057,Lists!$C:$C,Lists!$E:$E))</f>
        <v/>
      </c>
      <c r="Q1057" s="28" t="str">
        <f t="shared" si="79"/>
        <v/>
      </c>
      <c r="R1057" s="26" t="str">
        <f t="shared" ca="1" si="80"/>
        <v/>
      </c>
      <c r="S1057" s="27" t="str">
        <f>IF(I1057="","",_xlfn.XLOOKUP(I1057,Lists!$C:$C,Lists!$I:$I))</f>
        <v/>
      </c>
    </row>
    <row r="1058" spans="3:19" x14ac:dyDescent="0.2">
      <c r="C1058" s="26">
        <f>_xlfn.XLOOKUP(B1058,Lists!B:B,Lists!A:A,"")</f>
        <v>0</v>
      </c>
      <c r="G1058" s="26" t="str">
        <f t="shared" si="76"/>
        <v/>
      </c>
      <c r="H1058" s="31" t="str">
        <f t="shared" si="77"/>
        <v/>
      </c>
      <c r="J1058" s="27" t="str">
        <f>IF(I1058="","",_xlfn.XLOOKUP(I1058,Lists!$C:$C,Lists!$D:$D))</f>
        <v/>
      </c>
      <c r="N1058" s="26" t="str">
        <f t="shared" si="78"/>
        <v/>
      </c>
      <c r="O1058" s="27" t="str">
        <f>IF(I1058="","",_xlfn.XLOOKUP(I1058,Lists!$C:$C,Lists!$J:$J))</f>
        <v/>
      </c>
      <c r="P1058" s="27" t="str">
        <f>IF(I1058="","",_xlfn.XLOOKUP(I1058,Lists!$C:$C,Lists!$E:$E))</f>
        <v/>
      </c>
      <c r="Q1058" s="28" t="str">
        <f t="shared" si="79"/>
        <v/>
      </c>
      <c r="R1058" s="26" t="str">
        <f t="shared" ca="1" si="80"/>
        <v/>
      </c>
      <c r="S1058" s="27" t="str">
        <f>IF(I1058="","",_xlfn.XLOOKUP(I1058,Lists!$C:$C,Lists!$I:$I))</f>
        <v/>
      </c>
    </row>
    <row r="1059" spans="3:19" x14ac:dyDescent="0.2">
      <c r="C1059" s="26">
        <f>_xlfn.XLOOKUP(B1059,Lists!B:B,Lists!A:A,"")</f>
        <v>0</v>
      </c>
      <c r="G1059" s="26" t="str">
        <f t="shared" ref="G1059:G1090" si="81">IF(OR(E1059="",F1059=""),"",F1059-E1059+1)</f>
        <v/>
      </c>
      <c r="H1059" s="31" t="str">
        <f t="shared" ref="H1059:H1090" si="82">IF(D1059="","",IF(OR(D1059="A",D1059="B"),G1059/80,IF(D1059="A&amp;B",G1059/160,"")))</f>
        <v/>
      </c>
      <c r="J1059" s="27" t="str">
        <f>IF(I1059="","",_xlfn.XLOOKUP(I1059,Lists!$C:$C,Lists!$D:$D))</f>
        <v/>
      </c>
      <c r="N1059" s="26" t="str">
        <f t="shared" ref="N1059:N1090" si="83">IF(OR(M1059="",L1059=""),"",(M1059*L1059)/100000)</f>
        <v/>
      </c>
      <c r="O1059" s="27" t="str">
        <f>IF(I1059="","",_xlfn.XLOOKUP(I1059,Lists!$C:$C,Lists!$J:$J))</f>
        <v/>
      </c>
      <c r="P1059" s="27" t="str">
        <f>IF(I1059="","",_xlfn.XLOOKUP(I1059,Lists!$C:$C,Lists!$E:$E))</f>
        <v/>
      </c>
      <c r="Q1059" s="28" t="str">
        <f t="shared" ref="Q1059:Q1090" si="84">IF(OR(A1059="",P1059=""),"",A1059+P1059+1)</f>
        <v/>
      </c>
      <c r="R1059" s="26" t="str">
        <f t="shared" ref="R1059:R1090" ca="1" si="85">IF(Q1059="","",IF(Q1059&lt;=TODAY(),"Allow","Not Allow"))</f>
        <v/>
      </c>
      <c r="S1059" s="27" t="str">
        <f>IF(I1059="","",_xlfn.XLOOKUP(I1059,Lists!$C:$C,Lists!$I:$I))</f>
        <v/>
      </c>
    </row>
    <row r="1060" spans="3:19" x14ac:dyDescent="0.2">
      <c r="C1060" s="26">
        <f>_xlfn.XLOOKUP(B1060,Lists!B:B,Lists!A:A,"")</f>
        <v>0</v>
      </c>
      <c r="G1060" s="26" t="str">
        <f t="shared" si="81"/>
        <v/>
      </c>
      <c r="H1060" s="31" t="str">
        <f t="shared" si="82"/>
        <v/>
      </c>
      <c r="J1060" s="27" t="str">
        <f>IF(I1060="","",_xlfn.XLOOKUP(I1060,Lists!$C:$C,Lists!$D:$D))</f>
        <v/>
      </c>
      <c r="N1060" s="26" t="str">
        <f t="shared" si="83"/>
        <v/>
      </c>
      <c r="O1060" s="27" t="str">
        <f>IF(I1060="","",_xlfn.XLOOKUP(I1060,Lists!$C:$C,Lists!$J:$J))</f>
        <v/>
      </c>
      <c r="P1060" s="27" t="str">
        <f>IF(I1060="","",_xlfn.XLOOKUP(I1060,Lists!$C:$C,Lists!$E:$E))</f>
        <v/>
      </c>
      <c r="Q1060" s="28" t="str">
        <f t="shared" si="84"/>
        <v/>
      </c>
      <c r="R1060" s="26" t="str">
        <f t="shared" ca="1" si="85"/>
        <v/>
      </c>
      <c r="S1060" s="27" t="str">
        <f>IF(I1060="","",_xlfn.XLOOKUP(I1060,Lists!$C:$C,Lists!$I:$I))</f>
        <v/>
      </c>
    </row>
    <row r="1061" spans="3:19" x14ac:dyDescent="0.2">
      <c r="C1061" s="26">
        <f>_xlfn.XLOOKUP(B1061,Lists!B:B,Lists!A:A,"")</f>
        <v>0</v>
      </c>
      <c r="G1061" s="26" t="str">
        <f t="shared" si="81"/>
        <v/>
      </c>
      <c r="H1061" s="31" t="str">
        <f t="shared" si="82"/>
        <v/>
      </c>
      <c r="J1061" s="27" t="str">
        <f>IF(I1061="","",_xlfn.XLOOKUP(I1061,Lists!$C:$C,Lists!$D:$D))</f>
        <v/>
      </c>
      <c r="N1061" s="26" t="str">
        <f t="shared" si="83"/>
        <v/>
      </c>
      <c r="O1061" s="27" t="str">
        <f>IF(I1061="","",_xlfn.XLOOKUP(I1061,Lists!$C:$C,Lists!$J:$J))</f>
        <v/>
      </c>
      <c r="P1061" s="27" t="str">
        <f>IF(I1061="","",_xlfn.XLOOKUP(I1061,Lists!$C:$C,Lists!$E:$E))</f>
        <v/>
      </c>
      <c r="Q1061" s="28" t="str">
        <f t="shared" si="84"/>
        <v/>
      </c>
      <c r="R1061" s="26" t="str">
        <f t="shared" ca="1" si="85"/>
        <v/>
      </c>
      <c r="S1061" s="27" t="str">
        <f>IF(I1061="","",_xlfn.XLOOKUP(I1061,Lists!$C:$C,Lists!$I:$I))</f>
        <v/>
      </c>
    </row>
    <row r="1062" spans="3:19" x14ac:dyDescent="0.2">
      <c r="C1062" s="26">
        <f>_xlfn.XLOOKUP(B1062,Lists!B:B,Lists!A:A,"")</f>
        <v>0</v>
      </c>
      <c r="G1062" s="26" t="str">
        <f t="shared" si="81"/>
        <v/>
      </c>
      <c r="H1062" s="31" t="str">
        <f t="shared" si="82"/>
        <v/>
      </c>
      <c r="J1062" s="27" t="str">
        <f>IF(I1062="","",_xlfn.XLOOKUP(I1062,Lists!$C:$C,Lists!$D:$D))</f>
        <v/>
      </c>
      <c r="N1062" s="26" t="str">
        <f t="shared" si="83"/>
        <v/>
      </c>
      <c r="O1062" s="27" t="str">
        <f>IF(I1062="","",_xlfn.XLOOKUP(I1062,Lists!$C:$C,Lists!$J:$J))</f>
        <v/>
      </c>
      <c r="P1062" s="27" t="str">
        <f>IF(I1062="","",_xlfn.XLOOKUP(I1062,Lists!$C:$C,Lists!$E:$E))</f>
        <v/>
      </c>
      <c r="Q1062" s="28" t="str">
        <f t="shared" si="84"/>
        <v/>
      </c>
      <c r="R1062" s="26" t="str">
        <f t="shared" ca="1" si="85"/>
        <v/>
      </c>
      <c r="S1062" s="27" t="str">
        <f>IF(I1062="","",_xlfn.XLOOKUP(I1062,Lists!$C:$C,Lists!$I:$I))</f>
        <v/>
      </c>
    </row>
    <row r="1063" spans="3:19" x14ac:dyDescent="0.2">
      <c r="C1063" s="26">
        <f>_xlfn.XLOOKUP(B1063,Lists!B:B,Lists!A:A,"")</f>
        <v>0</v>
      </c>
      <c r="G1063" s="26" t="str">
        <f t="shared" si="81"/>
        <v/>
      </c>
      <c r="H1063" s="31" t="str">
        <f t="shared" si="82"/>
        <v/>
      </c>
      <c r="J1063" s="27" t="str">
        <f>IF(I1063="","",_xlfn.XLOOKUP(I1063,Lists!$C:$C,Lists!$D:$D))</f>
        <v/>
      </c>
      <c r="N1063" s="26" t="str">
        <f t="shared" si="83"/>
        <v/>
      </c>
      <c r="O1063" s="27" t="str">
        <f>IF(I1063="","",_xlfn.XLOOKUP(I1063,Lists!$C:$C,Lists!$J:$J))</f>
        <v/>
      </c>
      <c r="P1063" s="27" t="str">
        <f>IF(I1063="","",_xlfn.XLOOKUP(I1063,Lists!$C:$C,Lists!$E:$E))</f>
        <v/>
      </c>
      <c r="Q1063" s="28" t="str">
        <f t="shared" si="84"/>
        <v/>
      </c>
      <c r="R1063" s="26" t="str">
        <f t="shared" ca="1" si="85"/>
        <v/>
      </c>
      <c r="S1063" s="27" t="str">
        <f>IF(I1063="","",_xlfn.XLOOKUP(I1063,Lists!$C:$C,Lists!$I:$I))</f>
        <v/>
      </c>
    </row>
    <row r="1064" spans="3:19" x14ac:dyDescent="0.2">
      <c r="C1064" s="26">
        <f>_xlfn.XLOOKUP(B1064,Lists!B:B,Lists!A:A,"")</f>
        <v>0</v>
      </c>
      <c r="G1064" s="26" t="str">
        <f t="shared" si="81"/>
        <v/>
      </c>
      <c r="H1064" s="31" t="str">
        <f t="shared" si="82"/>
        <v/>
      </c>
      <c r="J1064" s="27" t="str">
        <f>IF(I1064="","",_xlfn.XLOOKUP(I1064,Lists!$C:$C,Lists!$D:$D))</f>
        <v/>
      </c>
      <c r="N1064" s="26" t="str">
        <f t="shared" si="83"/>
        <v/>
      </c>
      <c r="O1064" s="27" t="str">
        <f>IF(I1064="","",_xlfn.XLOOKUP(I1064,Lists!$C:$C,Lists!$J:$J))</f>
        <v/>
      </c>
      <c r="P1064" s="27" t="str">
        <f>IF(I1064="","",_xlfn.XLOOKUP(I1064,Lists!$C:$C,Lists!$E:$E))</f>
        <v/>
      </c>
      <c r="Q1064" s="28" t="str">
        <f t="shared" si="84"/>
        <v/>
      </c>
      <c r="R1064" s="26" t="str">
        <f t="shared" ca="1" si="85"/>
        <v/>
      </c>
      <c r="S1064" s="27" t="str">
        <f>IF(I1064="","",_xlfn.XLOOKUP(I1064,Lists!$C:$C,Lists!$I:$I))</f>
        <v/>
      </c>
    </row>
    <row r="1065" spans="3:19" x14ac:dyDescent="0.2">
      <c r="C1065" s="26">
        <f>_xlfn.XLOOKUP(B1065,Lists!B:B,Lists!A:A,"")</f>
        <v>0</v>
      </c>
      <c r="G1065" s="26" t="str">
        <f t="shared" si="81"/>
        <v/>
      </c>
      <c r="H1065" s="31" t="str">
        <f t="shared" si="82"/>
        <v/>
      </c>
      <c r="J1065" s="27" t="str">
        <f>IF(I1065="","",_xlfn.XLOOKUP(I1065,Lists!$C:$C,Lists!$D:$D))</f>
        <v/>
      </c>
      <c r="N1065" s="26" t="str">
        <f t="shared" si="83"/>
        <v/>
      </c>
      <c r="O1065" s="27" t="str">
        <f>IF(I1065="","",_xlfn.XLOOKUP(I1065,Lists!$C:$C,Lists!$J:$J))</f>
        <v/>
      </c>
      <c r="P1065" s="27" t="str">
        <f>IF(I1065="","",_xlfn.XLOOKUP(I1065,Lists!$C:$C,Lists!$E:$E))</f>
        <v/>
      </c>
      <c r="Q1065" s="28" t="str">
        <f t="shared" si="84"/>
        <v/>
      </c>
      <c r="R1065" s="26" t="str">
        <f t="shared" ca="1" si="85"/>
        <v/>
      </c>
      <c r="S1065" s="27" t="str">
        <f>IF(I1065="","",_xlfn.XLOOKUP(I1065,Lists!$C:$C,Lists!$I:$I))</f>
        <v/>
      </c>
    </row>
    <row r="1066" spans="3:19" x14ac:dyDescent="0.2">
      <c r="C1066" s="26">
        <f>_xlfn.XLOOKUP(B1066,Lists!B:B,Lists!A:A,"")</f>
        <v>0</v>
      </c>
      <c r="G1066" s="26" t="str">
        <f t="shared" si="81"/>
        <v/>
      </c>
      <c r="H1066" s="31" t="str">
        <f t="shared" si="82"/>
        <v/>
      </c>
      <c r="J1066" s="27" t="str">
        <f>IF(I1066="","",_xlfn.XLOOKUP(I1066,Lists!$C:$C,Lists!$D:$D))</f>
        <v/>
      </c>
      <c r="N1066" s="26" t="str">
        <f t="shared" si="83"/>
        <v/>
      </c>
      <c r="O1066" s="27" t="str">
        <f>IF(I1066="","",_xlfn.XLOOKUP(I1066,Lists!$C:$C,Lists!$J:$J))</f>
        <v/>
      </c>
      <c r="P1066" s="27" t="str">
        <f>IF(I1066="","",_xlfn.XLOOKUP(I1066,Lists!$C:$C,Lists!$E:$E))</f>
        <v/>
      </c>
      <c r="Q1066" s="28" t="str">
        <f t="shared" si="84"/>
        <v/>
      </c>
      <c r="R1066" s="26" t="str">
        <f t="shared" ca="1" si="85"/>
        <v/>
      </c>
      <c r="S1066" s="27" t="str">
        <f>IF(I1066="","",_xlfn.XLOOKUP(I1066,Lists!$C:$C,Lists!$I:$I))</f>
        <v/>
      </c>
    </row>
    <row r="1067" spans="3:19" x14ac:dyDescent="0.2">
      <c r="C1067" s="26">
        <f>_xlfn.XLOOKUP(B1067,Lists!B:B,Lists!A:A,"")</f>
        <v>0</v>
      </c>
      <c r="G1067" s="26" t="str">
        <f t="shared" si="81"/>
        <v/>
      </c>
      <c r="H1067" s="31" t="str">
        <f t="shared" si="82"/>
        <v/>
      </c>
      <c r="J1067" s="27" t="str">
        <f>IF(I1067="","",_xlfn.XLOOKUP(I1067,Lists!$C:$C,Lists!$D:$D))</f>
        <v/>
      </c>
      <c r="N1067" s="26" t="str">
        <f t="shared" si="83"/>
        <v/>
      </c>
      <c r="O1067" s="27" t="str">
        <f>IF(I1067="","",_xlfn.XLOOKUP(I1067,Lists!$C:$C,Lists!$J:$J))</f>
        <v/>
      </c>
      <c r="P1067" s="27" t="str">
        <f>IF(I1067="","",_xlfn.XLOOKUP(I1067,Lists!$C:$C,Lists!$E:$E))</f>
        <v/>
      </c>
      <c r="Q1067" s="28" t="str">
        <f t="shared" si="84"/>
        <v/>
      </c>
      <c r="R1067" s="26" t="str">
        <f t="shared" ca="1" si="85"/>
        <v/>
      </c>
      <c r="S1067" s="27" t="str">
        <f>IF(I1067="","",_xlfn.XLOOKUP(I1067,Lists!$C:$C,Lists!$I:$I))</f>
        <v/>
      </c>
    </row>
    <row r="1068" spans="3:19" x14ac:dyDescent="0.2">
      <c r="C1068" s="26">
        <f>_xlfn.XLOOKUP(B1068,Lists!B:B,Lists!A:A,"")</f>
        <v>0</v>
      </c>
      <c r="G1068" s="26" t="str">
        <f t="shared" si="81"/>
        <v/>
      </c>
      <c r="H1068" s="31" t="str">
        <f t="shared" si="82"/>
        <v/>
      </c>
      <c r="J1068" s="27" t="str">
        <f>IF(I1068="","",_xlfn.XLOOKUP(I1068,Lists!$C:$C,Lists!$D:$D))</f>
        <v/>
      </c>
      <c r="N1068" s="26" t="str">
        <f t="shared" si="83"/>
        <v/>
      </c>
      <c r="O1068" s="27" t="str">
        <f>IF(I1068="","",_xlfn.XLOOKUP(I1068,Lists!$C:$C,Lists!$J:$J))</f>
        <v/>
      </c>
      <c r="P1068" s="27" t="str">
        <f>IF(I1068="","",_xlfn.XLOOKUP(I1068,Lists!$C:$C,Lists!$E:$E))</f>
        <v/>
      </c>
      <c r="Q1068" s="28" t="str">
        <f t="shared" si="84"/>
        <v/>
      </c>
      <c r="R1068" s="26" t="str">
        <f t="shared" ca="1" si="85"/>
        <v/>
      </c>
      <c r="S1068" s="27" t="str">
        <f>IF(I1068="","",_xlfn.XLOOKUP(I1068,Lists!$C:$C,Lists!$I:$I))</f>
        <v/>
      </c>
    </row>
    <row r="1069" spans="3:19" x14ac:dyDescent="0.2">
      <c r="C1069" s="26">
        <f>_xlfn.XLOOKUP(B1069,Lists!B:B,Lists!A:A,"")</f>
        <v>0</v>
      </c>
      <c r="G1069" s="26" t="str">
        <f t="shared" si="81"/>
        <v/>
      </c>
      <c r="H1069" s="31" t="str">
        <f t="shared" si="82"/>
        <v/>
      </c>
      <c r="J1069" s="27" t="str">
        <f>IF(I1069="","",_xlfn.XLOOKUP(I1069,Lists!$C:$C,Lists!$D:$D))</f>
        <v/>
      </c>
      <c r="N1069" s="26" t="str">
        <f t="shared" si="83"/>
        <v/>
      </c>
      <c r="O1069" s="27" t="str">
        <f>IF(I1069="","",_xlfn.XLOOKUP(I1069,Lists!$C:$C,Lists!$J:$J))</f>
        <v/>
      </c>
      <c r="P1069" s="27" t="str">
        <f>IF(I1069="","",_xlfn.XLOOKUP(I1069,Lists!$C:$C,Lists!$E:$E))</f>
        <v/>
      </c>
      <c r="Q1069" s="28" t="str">
        <f t="shared" si="84"/>
        <v/>
      </c>
      <c r="R1069" s="26" t="str">
        <f t="shared" ca="1" si="85"/>
        <v/>
      </c>
      <c r="S1069" s="27" t="str">
        <f>IF(I1069="","",_xlfn.XLOOKUP(I1069,Lists!$C:$C,Lists!$I:$I))</f>
        <v/>
      </c>
    </row>
    <row r="1070" spans="3:19" x14ac:dyDescent="0.2">
      <c r="C1070" s="26">
        <f>_xlfn.XLOOKUP(B1070,Lists!B:B,Lists!A:A,"")</f>
        <v>0</v>
      </c>
      <c r="G1070" s="26" t="str">
        <f t="shared" si="81"/>
        <v/>
      </c>
      <c r="H1070" s="31" t="str">
        <f t="shared" si="82"/>
        <v/>
      </c>
      <c r="J1070" s="27" t="str">
        <f>IF(I1070="","",_xlfn.XLOOKUP(I1070,Lists!$C:$C,Lists!$D:$D))</f>
        <v/>
      </c>
      <c r="N1070" s="26" t="str">
        <f t="shared" si="83"/>
        <v/>
      </c>
      <c r="O1070" s="27" t="str">
        <f>IF(I1070="","",_xlfn.XLOOKUP(I1070,Lists!$C:$C,Lists!$J:$J))</f>
        <v/>
      </c>
      <c r="P1070" s="27" t="str">
        <f>IF(I1070="","",_xlfn.XLOOKUP(I1070,Lists!$C:$C,Lists!$E:$E))</f>
        <v/>
      </c>
      <c r="Q1070" s="28" t="str">
        <f t="shared" si="84"/>
        <v/>
      </c>
      <c r="R1070" s="26" t="str">
        <f t="shared" ca="1" si="85"/>
        <v/>
      </c>
      <c r="S1070" s="27" t="str">
        <f>IF(I1070="","",_xlfn.XLOOKUP(I1070,Lists!$C:$C,Lists!$I:$I))</f>
        <v/>
      </c>
    </row>
    <row r="1071" spans="3:19" x14ac:dyDescent="0.2">
      <c r="C1071" s="26">
        <f>_xlfn.XLOOKUP(B1071,Lists!B:B,Lists!A:A,"")</f>
        <v>0</v>
      </c>
      <c r="G1071" s="26" t="str">
        <f t="shared" si="81"/>
        <v/>
      </c>
      <c r="H1071" s="31" t="str">
        <f t="shared" si="82"/>
        <v/>
      </c>
      <c r="J1071" s="27" t="str">
        <f>IF(I1071="","",_xlfn.XLOOKUP(I1071,Lists!$C:$C,Lists!$D:$D))</f>
        <v/>
      </c>
      <c r="N1071" s="26" t="str">
        <f t="shared" si="83"/>
        <v/>
      </c>
      <c r="O1071" s="27" t="str">
        <f>IF(I1071="","",_xlfn.XLOOKUP(I1071,Lists!$C:$C,Lists!$J:$J))</f>
        <v/>
      </c>
      <c r="P1071" s="27" t="str">
        <f>IF(I1071="","",_xlfn.XLOOKUP(I1071,Lists!$C:$C,Lists!$E:$E))</f>
        <v/>
      </c>
      <c r="Q1071" s="28" t="str">
        <f t="shared" si="84"/>
        <v/>
      </c>
      <c r="R1071" s="26" t="str">
        <f t="shared" ca="1" si="85"/>
        <v/>
      </c>
      <c r="S1071" s="27" t="str">
        <f>IF(I1071="","",_xlfn.XLOOKUP(I1071,Lists!$C:$C,Lists!$I:$I))</f>
        <v/>
      </c>
    </row>
    <row r="1072" spans="3:19" x14ac:dyDescent="0.2">
      <c r="C1072" s="26">
        <f>_xlfn.XLOOKUP(B1072,Lists!B:B,Lists!A:A,"")</f>
        <v>0</v>
      </c>
      <c r="G1072" s="26" t="str">
        <f t="shared" si="81"/>
        <v/>
      </c>
      <c r="H1072" s="31" t="str">
        <f t="shared" si="82"/>
        <v/>
      </c>
      <c r="J1072" s="27" t="str">
        <f>IF(I1072="","",_xlfn.XLOOKUP(I1072,Lists!$C:$C,Lists!$D:$D))</f>
        <v/>
      </c>
      <c r="N1072" s="26" t="str">
        <f t="shared" si="83"/>
        <v/>
      </c>
      <c r="O1072" s="27" t="str">
        <f>IF(I1072="","",_xlfn.XLOOKUP(I1072,Lists!$C:$C,Lists!$J:$J))</f>
        <v/>
      </c>
      <c r="P1072" s="27" t="str">
        <f>IF(I1072="","",_xlfn.XLOOKUP(I1072,Lists!$C:$C,Lists!$E:$E))</f>
        <v/>
      </c>
      <c r="Q1072" s="28" t="str">
        <f t="shared" si="84"/>
        <v/>
      </c>
      <c r="R1072" s="26" t="str">
        <f t="shared" ca="1" si="85"/>
        <v/>
      </c>
      <c r="S1072" s="27" t="str">
        <f>IF(I1072="","",_xlfn.XLOOKUP(I1072,Lists!$C:$C,Lists!$I:$I))</f>
        <v/>
      </c>
    </row>
    <row r="1073" spans="3:19" x14ac:dyDescent="0.2">
      <c r="C1073" s="26">
        <f>_xlfn.XLOOKUP(B1073,Lists!B:B,Lists!A:A,"")</f>
        <v>0</v>
      </c>
      <c r="G1073" s="26" t="str">
        <f t="shared" si="81"/>
        <v/>
      </c>
      <c r="H1073" s="31" t="str">
        <f t="shared" si="82"/>
        <v/>
      </c>
      <c r="J1073" s="27" t="str">
        <f>IF(I1073="","",_xlfn.XLOOKUP(I1073,Lists!$C:$C,Lists!$D:$D))</f>
        <v/>
      </c>
      <c r="N1073" s="26" t="str">
        <f t="shared" si="83"/>
        <v/>
      </c>
      <c r="O1073" s="27" t="str">
        <f>IF(I1073="","",_xlfn.XLOOKUP(I1073,Lists!$C:$C,Lists!$J:$J))</f>
        <v/>
      </c>
      <c r="P1073" s="27" t="str">
        <f>IF(I1073="","",_xlfn.XLOOKUP(I1073,Lists!$C:$C,Lists!$E:$E))</f>
        <v/>
      </c>
      <c r="Q1073" s="28" t="str">
        <f t="shared" si="84"/>
        <v/>
      </c>
      <c r="R1073" s="26" t="str">
        <f t="shared" ca="1" si="85"/>
        <v/>
      </c>
      <c r="S1073" s="27" t="str">
        <f>IF(I1073="","",_xlfn.XLOOKUP(I1073,Lists!$C:$C,Lists!$I:$I))</f>
        <v/>
      </c>
    </row>
    <row r="1074" spans="3:19" x14ac:dyDescent="0.2">
      <c r="C1074" s="26">
        <f>_xlfn.XLOOKUP(B1074,Lists!B:B,Lists!A:A,"")</f>
        <v>0</v>
      </c>
      <c r="G1074" s="26" t="str">
        <f t="shared" si="81"/>
        <v/>
      </c>
      <c r="H1074" s="31" t="str">
        <f t="shared" si="82"/>
        <v/>
      </c>
      <c r="J1074" s="27" t="str">
        <f>IF(I1074="","",_xlfn.XLOOKUP(I1074,Lists!$C:$C,Lists!$D:$D))</f>
        <v/>
      </c>
      <c r="N1074" s="26" t="str">
        <f t="shared" si="83"/>
        <v/>
      </c>
      <c r="O1074" s="27" t="str">
        <f>IF(I1074="","",_xlfn.XLOOKUP(I1074,Lists!$C:$C,Lists!$J:$J))</f>
        <v/>
      </c>
      <c r="P1074" s="27" t="str">
        <f>IF(I1074="","",_xlfn.XLOOKUP(I1074,Lists!$C:$C,Lists!$E:$E))</f>
        <v/>
      </c>
      <c r="Q1074" s="28" t="str">
        <f t="shared" si="84"/>
        <v/>
      </c>
      <c r="R1074" s="26" t="str">
        <f t="shared" ca="1" si="85"/>
        <v/>
      </c>
      <c r="S1074" s="27" t="str">
        <f>IF(I1074="","",_xlfn.XLOOKUP(I1074,Lists!$C:$C,Lists!$I:$I))</f>
        <v/>
      </c>
    </row>
    <row r="1075" spans="3:19" x14ac:dyDescent="0.2">
      <c r="C1075" s="26">
        <f>_xlfn.XLOOKUP(B1075,Lists!B:B,Lists!A:A,"")</f>
        <v>0</v>
      </c>
      <c r="G1075" s="26" t="str">
        <f t="shared" si="81"/>
        <v/>
      </c>
      <c r="H1075" s="31" t="str">
        <f t="shared" si="82"/>
        <v/>
      </c>
      <c r="J1075" s="27" t="str">
        <f>IF(I1075="","",_xlfn.XLOOKUP(I1075,Lists!$C:$C,Lists!$D:$D))</f>
        <v/>
      </c>
      <c r="N1075" s="26" t="str">
        <f t="shared" si="83"/>
        <v/>
      </c>
      <c r="O1075" s="27" t="str">
        <f>IF(I1075="","",_xlfn.XLOOKUP(I1075,Lists!$C:$C,Lists!$J:$J))</f>
        <v/>
      </c>
      <c r="P1075" s="27" t="str">
        <f>IF(I1075="","",_xlfn.XLOOKUP(I1075,Lists!$C:$C,Lists!$E:$E))</f>
        <v/>
      </c>
      <c r="Q1075" s="28" t="str">
        <f t="shared" si="84"/>
        <v/>
      </c>
      <c r="R1075" s="26" t="str">
        <f t="shared" ca="1" si="85"/>
        <v/>
      </c>
      <c r="S1075" s="27" t="str">
        <f>IF(I1075="","",_xlfn.XLOOKUP(I1075,Lists!$C:$C,Lists!$I:$I))</f>
        <v/>
      </c>
    </row>
    <row r="1076" spans="3:19" x14ac:dyDescent="0.2">
      <c r="C1076" s="26">
        <f>_xlfn.XLOOKUP(B1076,Lists!B:B,Lists!A:A,"")</f>
        <v>0</v>
      </c>
      <c r="G1076" s="26" t="str">
        <f t="shared" si="81"/>
        <v/>
      </c>
      <c r="H1076" s="31" t="str">
        <f t="shared" si="82"/>
        <v/>
      </c>
      <c r="J1076" s="27" t="str">
        <f>IF(I1076="","",_xlfn.XLOOKUP(I1076,Lists!$C:$C,Lists!$D:$D))</f>
        <v/>
      </c>
      <c r="N1076" s="26" t="str">
        <f t="shared" si="83"/>
        <v/>
      </c>
      <c r="O1076" s="27" t="str">
        <f>IF(I1076="","",_xlfn.XLOOKUP(I1076,Lists!$C:$C,Lists!$J:$J))</f>
        <v/>
      </c>
      <c r="P1076" s="27" t="str">
        <f>IF(I1076="","",_xlfn.XLOOKUP(I1076,Lists!$C:$C,Lists!$E:$E))</f>
        <v/>
      </c>
      <c r="Q1076" s="28" t="str">
        <f t="shared" si="84"/>
        <v/>
      </c>
      <c r="R1076" s="26" t="str">
        <f t="shared" ca="1" si="85"/>
        <v/>
      </c>
      <c r="S1076" s="27" t="str">
        <f>IF(I1076="","",_xlfn.XLOOKUP(I1076,Lists!$C:$C,Lists!$I:$I))</f>
        <v/>
      </c>
    </row>
    <row r="1077" spans="3:19" x14ac:dyDescent="0.2">
      <c r="C1077" s="26">
        <f>_xlfn.XLOOKUP(B1077,Lists!B:B,Lists!A:A,"")</f>
        <v>0</v>
      </c>
      <c r="G1077" s="26" t="str">
        <f t="shared" si="81"/>
        <v/>
      </c>
      <c r="H1077" s="31" t="str">
        <f t="shared" si="82"/>
        <v/>
      </c>
      <c r="J1077" s="27" t="str">
        <f>IF(I1077="","",_xlfn.XLOOKUP(I1077,Lists!$C:$C,Lists!$D:$D))</f>
        <v/>
      </c>
      <c r="N1077" s="26" t="str">
        <f t="shared" si="83"/>
        <v/>
      </c>
      <c r="O1077" s="27" t="str">
        <f>IF(I1077="","",_xlfn.XLOOKUP(I1077,Lists!$C:$C,Lists!$J:$J))</f>
        <v/>
      </c>
      <c r="P1077" s="27" t="str">
        <f>IF(I1077="","",_xlfn.XLOOKUP(I1077,Lists!$C:$C,Lists!$E:$E))</f>
        <v/>
      </c>
      <c r="Q1077" s="28" t="str">
        <f t="shared" si="84"/>
        <v/>
      </c>
      <c r="R1077" s="26" t="str">
        <f t="shared" ca="1" si="85"/>
        <v/>
      </c>
      <c r="S1077" s="27" t="str">
        <f>IF(I1077="","",_xlfn.XLOOKUP(I1077,Lists!$C:$C,Lists!$I:$I))</f>
        <v/>
      </c>
    </row>
    <row r="1078" spans="3:19" x14ac:dyDescent="0.2">
      <c r="C1078" s="26">
        <f>_xlfn.XLOOKUP(B1078,Lists!B:B,Lists!A:A,"")</f>
        <v>0</v>
      </c>
      <c r="G1078" s="26" t="str">
        <f t="shared" si="81"/>
        <v/>
      </c>
      <c r="H1078" s="31" t="str">
        <f t="shared" si="82"/>
        <v/>
      </c>
      <c r="J1078" s="27" t="str">
        <f>IF(I1078="","",_xlfn.XLOOKUP(I1078,Lists!$C:$C,Lists!$D:$D))</f>
        <v/>
      </c>
      <c r="N1078" s="26" t="str">
        <f t="shared" si="83"/>
        <v/>
      </c>
      <c r="O1078" s="27" t="str">
        <f>IF(I1078="","",_xlfn.XLOOKUP(I1078,Lists!$C:$C,Lists!$J:$J))</f>
        <v/>
      </c>
      <c r="P1078" s="27" t="str">
        <f>IF(I1078="","",_xlfn.XLOOKUP(I1078,Lists!$C:$C,Lists!$E:$E))</f>
        <v/>
      </c>
      <c r="Q1078" s="28" t="str">
        <f t="shared" si="84"/>
        <v/>
      </c>
      <c r="R1078" s="26" t="str">
        <f t="shared" ca="1" si="85"/>
        <v/>
      </c>
      <c r="S1078" s="27" t="str">
        <f>IF(I1078="","",_xlfn.XLOOKUP(I1078,Lists!$C:$C,Lists!$I:$I))</f>
        <v/>
      </c>
    </row>
    <row r="1079" spans="3:19" x14ac:dyDescent="0.2">
      <c r="C1079" s="26">
        <f>_xlfn.XLOOKUP(B1079,Lists!B:B,Lists!A:A,"")</f>
        <v>0</v>
      </c>
      <c r="G1079" s="26" t="str">
        <f t="shared" si="81"/>
        <v/>
      </c>
      <c r="H1079" s="31" t="str">
        <f t="shared" si="82"/>
        <v/>
      </c>
      <c r="J1079" s="27" t="str">
        <f>IF(I1079="","",_xlfn.XLOOKUP(I1079,Lists!$C:$C,Lists!$D:$D))</f>
        <v/>
      </c>
      <c r="N1079" s="26" t="str">
        <f t="shared" si="83"/>
        <v/>
      </c>
      <c r="O1079" s="27" t="str">
        <f>IF(I1079="","",_xlfn.XLOOKUP(I1079,Lists!$C:$C,Lists!$J:$J))</f>
        <v/>
      </c>
      <c r="P1079" s="27" t="str">
        <f>IF(I1079="","",_xlfn.XLOOKUP(I1079,Lists!$C:$C,Lists!$E:$E))</f>
        <v/>
      </c>
      <c r="Q1079" s="28" t="str">
        <f t="shared" si="84"/>
        <v/>
      </c>
      <c r="R1079" s="26" t="str">
        <f t="shared" ca="1" si="85"/>
        <v/>
      </c>
      <c r="S1079" s="27" t="str">
        <f>IF(I1079="","",_xlfn.XLOOKUP(I1079,Lists!$C:$C,Lists!$I:$I))</f>
        <v/>
      </c>
    </row>
    <row r="1080" spans="3:19" x14ac:dyDescent="0.2">
      <c r="C1080" s="26">
        <f>_xlfn.XLOOKUP(B1080,Lists!B:B,Lists!A:A,"")</f>
        <v>0</v>
      </c>
      <c r="G1080" s="26" t="str">
        <f t="shared" si="81"/>
        <v/>
      </c>
      <c r="H1080" s="31" t="str">
        <f t="shared" si="82"/>
        <v/>
      </c>
      <c r="J1080" s="27" t="str">
        <f>IF(I1080="","",_xlfn.XLOOKUP(I1080,Lists!$C:$C,Lists!$D:$D))</f>
        <v/>
      </c>
      <c r="N1080" s="26" t="str">
        <f t="shared" si="83"/>
        <v/>
      </c>
      <c r="O1080" s="27" t="str">
        <f>IF(I1080="","",_xlfn.XLOOKUP(I1080,Lists!$C:$C,Lists!$J:$J))</f>
        <v/>
      </c>
      <c r="P1080" s="27" t="str">
        <f>IF(I1080="","",_xlfn.XLOOKUP(I1080,Lists!$C:$C,Lists!$E:$E))</f>
        <v/>
      </c>
      <c r="Q1080" s="28" t="str">
        <f t="shared" si="84"/>
        <v/>
      </c>
      <c r="R1080" s="26" t="str">
        <f t="shared" ca="1" si="85"/>
        <v/>
      </c>
      <c r="S1080" s="27" t="str">
        <f>IF(I1080="","",_xlfn.XLOOKUP(I1080,Lists!$C:$C,Lists!$I:$I))</f>
        <v/>
      </c>
    </row>
    <row r="1081" spans="3:19" x14ac:dyDescent="0.2">
      <c r="C1081" s="26">
        <f>_xlfn.XLOOKUP(B1081,Lists!B:B,Lists!A:A,"")</f>
        <v>0</v>
      </c>
      <c r="G1081" s="26" t="str">
        <f t="shared" si="81"/>
        <v/>
      </c>
      <c r="H1081" s="31" t="str">
        <f t="shared" si="82"/>
        <v/>
      </c>
      <c r="J1081" s="27" t="str">
        <f>IF(I1081="","",_xlfn.XLOOKUP(I1081,Lists!$C:$C,Lists!$D:$D))</f>
        <v/>
      </c>
      <c r="N1081" s="26" t="str">
        <f t="shared" si="83"/>
        <v/>
      </c>
      <c r="O1081" s="27" t="str">
        <f>IF(I1081="","",_xlfn.XLOOKUP(I1081,Lists!$C:$C,Lists!$J:$J))</f>
        <v/>
      </c>
      <c r="P1081" s="27" t="str">
        <f>IF(I1081="","",_xlfn.XLOOKUP(I1081,Lists!$C:$C,Lists!$E:$E))</f>
        <v/>
      </c>
      <c r="Q1081" s="28" t="str">
        <f t="shared" si="84"/>
        <v/>
      </c>
      <c r="R1081" s="26" t="str">
        <f t="shared" ca="1" si="85"/>
        <v/>
      </c>
      <c r="S1081" s="27" t="str">
        <f>IF(I1081="","",_xlfn.XLOOKUP(I1081,Lists!$C:$C,Lists!$I:$I))</f>
        <v/>
      </c>
    </row>
    <row r="1082" spans="3:19" x14ac:dyDescent="0.2">
      <c r="C1082" s="26">
        <f>_xlfn.XLOOKUP(B1082,Lists!B:B,Lists!A:A,"")</f>
        <v>0</v>
      </c>
      <c r="G1082" s="26" t="str">
        <f t="shared" si="81"/>
        <v/>
      </c>
      <c r="H1082" s="31" t="str">
        <f t="shared" si="82"/>
        <v/>
      </c>
      <c r="J1082" s="27" t="str">
        <f>IF(I1082="","",_xlfn.XLOOKUP(I1082,Lists!$C:$C,Lists!$D:$D))</f>
        <v/>
      </c>
      <c r="N1082" s="26" t="str">
        <f t="shared" si="83"/>
        <v/>
      </c>
      <c r="O1082" s="27" t="str">
        <f>IF(I1082="","",_xlfn.XLOOKUP(I1082,Lists!$C:$C,Lists!$J:$J))</f>
        <v/>
      </c>
      <c r="P1082" s="27" t="str">
        <f>IF(I1082="","",_xlfn.XLOOKUP(I1082,Lists!$C:$C,Lists!$E:$E))</f>
        <v/>
      </c>
      <c r="Q1082" s="28" t="str">
        <f t="shared" si="84"/>
        <v/>
      </c>
      <c r="R1082" s="26" t="str">
        <f t="shared" ca="1" si="85"/>
        <v/>
      </c>
      <c r="S1082" s="27" t="str">
        <f>IF(I1082="","",_xlfn.XLOOKUP(I1082,Lists!$C:$C,Lists!$I:$I))</f>
        <v/>
      </c>
    </row>
    <row r="1083" spans="3:19" x14ac:dyDescent="0.2">
      <c r="C1083" s="26">
        <f>_xlfn.XLOOKUP(B1083,Lists!B:B,Lists!A:A,"")</f>
        <v>0</v>
      </c>
      <c r="G1083" s="26" t="str">
        <f t="shared" si="81"/>
        <v/>
      </c>
      <c r="H1083" s="31" t="str">
        <f t="shared" si="82"/>
        <v/>
      </c>
      <c r="J1083" s="27" t="str">
        <f>IF(I1083="","",_xlfn.XLOOKUP(I1083,Lists!$C:$C,Lists!$D:$D))</f>
        <v/>
      </c>
      <c r="N1083" s="26" t="str">
        <f t="shared" si="83"/>
        <v/>
      </c>
      <c r="O1083" s="27" t="str">
        <f>IF(I1083="","",_xlfn.XLOOKUP(I1083,Lists!$C:$C,Lists!$J:$J))</f>
        <v/>
      </c>
      <c r="P1083" s="27" t="str">
        <f>IF(I1083="","",_xlfn.XLOOKUP(I1083,Lists!$C:$C,Lists!$E:$E))</f>
        <v/>
      </c>
      <c r="Q1083" s="28" t="str">
        <f t="shared" si="84"/>
        <v/>
      </c>
      <c r="R1083" s="26" t="str">
        <f t="shared" ca="1" si="85"/>
        <v/>
      </c>
      <c r="S1083" s="27" t="str">
        <f>IF(I1083="","",_xlfn.XLOOKUP(I1083,Lists!$C:$C,Lists!$I:$I))</f>
        <v/>
      </c>
    </row>
    <row r="1084" spans="3:19" x14ac:dyDescent="0.2">
      <c r="C1084" s="26">
        <f>_xlfn.XLOOKUP(B1084,Lists!B:B,Lists!A:A,"")</f>
        <v>0</v>
      </c>
      <c r="G1084" s="26" t="str">
        <f t="shared" si="81"/>
        <v/>
      </c>
      <c r="H1084" s="31" t="str">
        <f t="shared" si="82"/>
        <v/>
      </c>
      <c r="J1084" s="27" t="str">
        <f>IF(I1084="","",_xlfn.XLOOKUP(I1084,Lists!$C:$C,Lists!$D:$D))</f>
        <v/>
      </c>
      <c r="N1084" s="26" t="str">
        <f t="shared" si="83"/>
        <v/>
      </c>
      <c r="O1084" s="27" t="str">
        <f>IF(I1084="","",_xlfn.XLOOKUP(I1084,Lists!$C:$C,Lists!$J:$J))</f>
        <v/>
      </c>
      <c r="P1084" s="27" t="str">
        <f>IF(I1084="","",_xlfn.XLOOKUP(I1084,Lists!$C:$C,Lists!$E:$E))</f>
        <v/>
      </c>
      <c r="Q1084" s="28" t="str">
        <f t="shared" si="84"/>
        <v/>
      </c>
      <c r="R1084" s="26" t="str">
        <f t="shared" ca="1" si="85"/>
        <v/>
      </c>
      <c r="S1084" s="27" t="str">
        <f>IF(I1084="","",_xlfn.XLOOKUP(I1084,Lists!$C:$C,Lists!$I:$I))</f>
        <v/>
      </c>
    </row>
    <row r="1085" spans="3:19" x14ac:dyDescent="0.2">
      <c r="C1085" s="26">
        <f>_xlfn.XLOOKUP(B1085,Lists!B:B,Lists!A:A,"")</f>
        <v>0</v>
      </c>
      <c r="G1085" s="26" t="str">
        <f t="shared" si="81"/>
        <v/>
      </c>
      <c r="H1085" s="31" t="str">
        <f t="shared" si="82"/>
        <v/>
      </c>
      <c r="J1085" s="27" t="str">
        <f>IF(I1085="","",_xlfn.XLOOKUP(I1085,Lists!$C:$C,Lists!$D:$D))</f>
        <v/>
      </c>
      <c r="N1085" s="26" t="str">
        <f t="shared" si="83"/>
        <v/>
      </c>
      <c r="O1085" s="27" t="str">
        <f>IF(I1085="","",_xlfn.XLOOKUP(I1085,Lists!$C:$C,Lists!$J:$J))</f>
        <v/>
      </c>
      <c r="P1085" s="27" t="str">
        <f>IF(I1085="","",_xlfn.XLOOKUP(I1085,Lists!$C:$C,Lists!$E:$E))</f>
        <v/>
      </c>
      <c r="Q1085" s="28" t="str">
        <f t="shared" si="84"/>
        <v/>
      </c>
      <c r="R1085" s="26" t="str">
        <f t="shared" ca="1" si="85"/>
        <v/>
      </c>
      <c r="S1085" s="27" t="str">
        <f>IF(I1085="","",_xlfn.XLOOKUP(I1085,Lists!$C:$C,Lists!$I:$I))</f>
        <v/>
      </c>
    </row>
    <row r="1086" spans="3:19" x14ac:dyDescent="0.2">
      <c r="C1086" s="26">
        <f>_xlfn.XLOOKUP(B1086,Lists!B:B,Lists!A:A,"")</f>
        <v>0</v>
      </c>
      <c r="G1086" s="26" t="str">
        <f t="shared" si="81"/>
        <v/>
      </c>
      <c r="H1086" s="31" t="str">
        <f t="shared" si="82"/>
        <v/>
      </c>
      <c r="J1086" s="27" t="str">
        <f>IF(I1086="","",_xlfn.XLOOKUP(I1086,Lists!$C:$C,Lists!$D:$D))</f>
        <v/>
      </c>
      <c r="N1086" s="26" t="str">
        <f t="shared" si="83"/>
        <v/>
      </c>
      <c r="O1086" s="27" t="str">
        <f>IF(I1086="","",_xlfn.XLOOKUP(I1086,Lists!$C:$C,Lists!$J:$J))</f>
        <v/>
      </c>
      <c r="P1086" s="27" t="str">
        <f>IF(I1086="","",_xlfn.XLOOKUP(I1086,Lists!$C:$C,Lists!$E:$E))</f>
        <v/>
      </c>
      <c r="Q1086" s="28" t="str">
        <f t="shared" si="84"/>
        <v/>
      </c>
      <c r="R1086" s="26" t="str">
        <f t="shared" ca="1" si="85"/>
        <v/>
      </c>
      <c r="S1086" s="27" t="str">
        <f>IF(I1086="","",_xlfn.XLOOKUP(I1086,Lists!$C:$C,Lists!$I:$I))</f>
        <v/>
      </c>
    </row>
    <row r="1087" spans="3:19" x14ac:dyDescent="0.2">
      <c r="C1087" s="26">
        <f>_xlfn.XLOOKUP(B1087,Lists!B:B,Lists!A:A,"")</f>
        <v>0</v>
      </c>
      <c r="G1087" s="26" t="str">
        <f t="shared" si="81"/>
        <v/>
      </c>
      <c r="H1087" s="31" t="str">
        <f t="shared" si="82"/>
        <v/>
      </c>
      <c r="J1087" s="27" t="str">
        <f>IF(I1087="","",_xlfn.XLOOKUP(I1087,Lists!$C:$C,Lists!$D:$D))</f>
        <v/>
      </c>
      <c r="N1087" s="26" t="str">
        <f t="shared" si="83"/>
        <v/>
      </c>
      <c r="O1087" s="27" t="str">
        <f>IF(I1087="","",_xlfn.XLOOKUP(I1087,Lists!$C:$C,Lists!$J:$J))</f>
        <v/>
      </c>
      <c r="P1087" s="27" t="str">
        <f>IF(I1087="","",_xlfn.XLOOKUP(I1087,Lists!$C:$C,Lists!$E:$E))</f>
        <v/>
      </c>
      <c r="Q1087" s="28" t="str">
        <f t="shared" si="84"/>
        <v/>
      </c>
      <c r="R1087" s="26" t="str">
        <f t="shared" ca="1" si="85"/>
        <v/>
      </c>
      <c r="S1087" s="27" t="str">
        <f>IF(I1087="","",_xlfn.XLOOKUP(I1087,Lists!$C:$C,Lists!$I:$I))</f>
        <v/>
      </c>
    </row>
    <row r="1088" spans="3:19" x14ac:dyDescent="0.2">
      <c r="C1088" s="26">
        <f>_xlfn.XLOOKUP(B1088,Lists!B:B,Lists!A:A,"")</f>
        <v>0</v>
      </c>
      <c r="G1088" s="26" t="str">
        <f t="shared" si="81"/>
        <v/>
      </c>
      <c r="H1088" s="31" t="str">
        <f t="shared" si="82"/>
        <v/>
      </c>
      <c r="J1088" s="27" t="str">
        <f>IF(I1088="","",_xlfn.XLOOKUP(I1088,Lists!$C:$C,Lists!$D:$D))</f>
        <v/>
      </c>
      <c r="N1088" s="26" t="str">
        <f t="shared" si="83"/>
        <v/>
      </c>
      <c r="O1088" s="27" t="str">
        <f>IF(I1088="","",_xlfn.XLOOKUP(I1088,Lists!$C:$C,Lists!$J:$J))</f>
        <v/>
      </c>
      <c r="P1088" s="27" t="str">
        <f>IF(I1088="","",_xlfn.XLOOKUP(I1088,Lists!$C:$C,Lists!$E:$E))</f>
        <v/>
      </c>
      <c r="Q1088" s="28" t="str">
        <f t="shared" si="84"/>
        <v/>
      </c>
      <c r="R1088" s="26" t="str">
        <f t="shared" ca="1" si="85"/>
        <v/>
      </c>
      <c r="S1088" s="27" t="str">
        <f>IF(I1088="","",_xlfn.XLOOKUP(I1088,Lists!$C:$C,Lists!$I:$I))</f>
        <v/>
      </c>
    </row>
    <row r="1089" spans="3:19" x14ac:dyDescent="0.2">
      <c r="C1089" s="26">
        <f>_xlfn.XLOOKUP(B1089,Lists!B:B,Lists!A:A,"")</f>
        <v>0</v>
      </c>
      <c r="G1089" s="26" t="str">
        <f t="shared" si="81"/>
        <v/>
      </c>
      <c r="H1089" s="31" t="str">
        <f t="shared" si="82"/>
        <v/>
      </c>
      <c r="J1089" s="27" t="str">
        <f>IF(I1089="","",_xlfn.XLOOKUP(I1089,Lists!$C:$C,Lists!$D:$D))</f>
        <v/>
      </c>
      <c r="N1089" s="26" t="str">
        <f t="shared" si="83"/>
        <v/>
      </c>
      <c r="O1089" s="27" t="str">
        <f>IF(I1089="","",_xlfn.XLOOKUP(I1089,Lists!$C:$C,Lists!$J:$J))</f>
        <v/>
      </c>
      <c r="P1089" s="27" t="str">
        <f>IF(I1089="","",_xlfn.XLOOKUP(I1089,Lists!$C:$C,Lists!$E:$E))</f>
        <v/>
      </c>
      <c r="Q1089" s="28" t="str">
        <f t="shared" si="84"/>
        <v/>
      </c>
      <c r="R1089" s="26" t="str">
        <f t="shared" ca="1" si="85"/>
        <v/>
      </c>
      <c r="S1089" s="27" t="str">
        <f>IF(I1089="","",_xlfn.XLOOKUP(I1089,Lists!$C:$C,Lists!$I:$I))</f>
        <v/>
      </c>
    </row>
    <row r="1090" spans="3:19" x14ac:dyDescent="0.2">
      <c r="C1090" s="26">
        <f>_xlfn.XLOOKUP(B1090,Lists!B:B,Lists!A:A,"")</f>
        <v>0</v>
      </c>
      <c r="G1090" s="26" t="str">
        <f t="shared" si="81"/>
        <v/>
      </c>
      <c r="H1090" s="31" t="str">
        <f t="shared" si="82"/>
        <v/>
      </c>
      <c r="J1090" s="27" t="str">
        <f>IF(I1090="","",_xlfn.XLOOKUP(I1090,Lists!$C:$C,Lists!$D:$D))</f>
        <v/>
      </c>
      <c r="N1090" s="26" t="str">
        <f t="shared" si="83"/>
        <v/>
      </c>
      <c r="O1090" s="27" t="str">
        <f>IF(I1090="","",_xlfn.XLOOKUP(I1090,Lists!$C:$C,Lists!$J:$J))</f>
        <v/>
      </c>
      <c r="P1090" s="27" t="str">
        <f>IF(I1090="","",_xlfn.XLOOKUP(I1090,Lists!$C:$C,Lists!$E:$E))</f>
        <v/>
      </c>
      <c r="Q1090" s="28" t="str">
        <f t="shared" si="84"/>
        <v/>
      </c>
      <c r="R1090" s="26" t="str">
        <f t="shared" ca="1" si="85"/>
        <v/>
      </c>
      <c r="S1090" s="27" t="str">
        <f>IF(I1090="","",_xlfn.XLOOKUP(I1090,Lists!$C:$C,Lists!$I:$I))</f>
        <v/>
      </c>
    </row>
    <row r="1091" spans="3:19" x14ac:dyDescent="0.2">
      <c r="C1091" s="26">
        <f>_xlfn.XLOOKUP(B1091,Lists!B:B,Lists!A:A,"")</f>
        <v>0</v>
      </c>
      <c r="G1091" s="26" t="str">
        <f t="shared" ref="G1091:G1122" si="86">IF(OR(E1091="",F1091=""),"",F1091-E1091+1)</f>
        <v/>
      </c>
      <c r="H1091" s="31" t="str">
        <f t="shared" ref="H1091:H1122" si="87">IF(D1091="","",IF(OR(D1091="A",D1091="B"),G1091/80,IF(D1091="A&amp;B",G1091/160,"")))</f>
        <v/>
      </c>
      <c r="J1091" s="27" t="str">
        <f>IF(I1091="","",_xlfn.XLOOKUP(I1091,Lists!$C:$C,Lists!$D:$D))</f>
        <v/>
      </c>
      <c r="N1091" s="26" t="str">
        <f t="shared" ref="N1091:N1122" si="88">IF(OR(M1091="",L1091=""),"",(M1091*L1091)/100000)</f>
        <v/>
      </c>
      <c r="O1091" s="27" t="str">
        <f>IF(I1091="","",_xlfn.XLOOKUP(I1091,Lists!$C:$C,Lists!$J:$J))</f>
        <v/>
      </c>
      <c r="P1091" s="27" t="str">
        <f>IF(I1091="","",_xlfn.XLOOKUP(I1091,Lists!$C:$C,Lists!$E:$E))</f>
        <v/>
      </c>
      <c r="Q1091" s="28" t="str">
        <f t="shared" ref="Q1091:Q1122" si="89">IF(OR(A1091="",P1091=""),"",A1091+P1091+1)</f>
        <v/>
      </c>
      <c r="R1091" s="26" t="str">
        <f t="shared" ref="R1091:R1122" ca="1" si="90">IF(Q1091="","",IF(Q1091&lt;=TODAY(),"Allow","Not Allow"))</f>
        <v/>
      </c>
      <c r="S1091" s="27" t="str">
        <f>IF(I1091="","",_xlfn.XLOOKUP(I1091,Lists!$C:$C,Lists!$I:$I))</f>
        <v/>
      </c>
    </row>
    <row r="1092" spans="3:19" x14ac:dyDescent="0.2">
      <c r="C1092" s="26">
        <f>_xlfn.XLOOKUP(B1092,Lists!B:B,Lists!A:A,"")</f>
        <v>0</v>
      </c>
      <c r="G1092" s="26" t="str">
        <f t="shared" si="86"/>
        <v/>
      </c>
      <c r="H1092" s="31" t="str">
        <f t="shared" si="87"/>
        <v/>
      </c>
      <c r="J1092" s="27" t="str">
        <f>IF(I1092="","",_xlfn.XLOOKUP(I1092,Lists!$C:$C,Lists!$D:$D))</f>
        <v/>
      </c>
      <c r="N1092" s="26" t="str">
        <f t="shared" si="88"/>
        <v/>
      </c>
      <c r="O1092" s="27" t="str">
        <f>IF(I1092="","",_xlfn.XLOOKUP(I1092,Lists!$C:$C,Lists!$J:$J))</f>
        <v/>
      </c>
      <c r="P1092" s="27" t="str">
        <f>IF(I1092="","",_xlfn.XLOOKUP(I1092,Lists!$C:$C,Lists!$E:$E))</f>
        <v/>
      </c>
      <c r="Q1092" s="28" t="str">
        <f t="shared" si="89"/>
        <v/>
      </c>
      <c r="R1092" s="26" t="str">
        <f t="shared" ca="1" si="90"/>
        <v/>
      </c>
      <c r="S1092" s="27" t="str">
        <f>IF(I1092="","",_xlfn.XLOOKUP(I1092,Lists!$C:$C,Lists!$I:$I))</f>
        <v/>
      </c>
    </row>
    <row r="1093" spans="3:19" x14ac:dyDescent="0.2">
      <c r="C1093" s="26">
        <f>_xlfn.XLOOKUP(B1093,Lists!B:B,Lists!A:A,"")</f>
        <v>0</v>
      </c>
      <c r="G1093" s="26" t="str">
        <f t="shared" si="86"/>
        <v/>
      </c>
      <c r="H1093" s="31" t="str">
        <f t="shared" si="87"/>
        <v/>
      </c>
      <c r="J1093" s="27" t="str">
        <f>IF(I1093="","",_xlfn.XLOOKUP(I1093,Lists!$C:$C,Lists!$D:$D))</f>
        <v/>
      </c>
      <c r="N1093" s="26" t="str">
        <f t="shared" si="88"/>
        <v/>
      </c>
      <c r="O1093" s="27" t="str">
        <f>IF(I1093="","",_xlfn.XLOOKUP(I1093,Lists!$C:$C,Lists!$J:$J))</f>
        <v/>
      </c>
      <c r="P1093" s="27" t="str">
        <f>IF(I1093="","",_xlfn.XLOOKUP(I1093,Lists!$C:$C,Lists!$E:$E))</f>
        <v/>
      </c>
      <c r="Q1093" s="28" t="str">
        <f t="shared" si="89"/>
        <v/>
      </c>
      <c r="R1093" s="26" t="str">
        <f t="shared" ca="1" si="90"/>
        <v/>
      </c>
      <c r="S1093" s="27" t="str">
        <f>IF(I1093="","",_xlfn.XLOOKUP(I1093,Lists!$C:$C,Lists!$I:$I))</f>
        <v/>
      </c>
    </row>
    <row r="1094" spans="3:19" x14ac:dyDescent="0.2">
      <c r="C1094" s="26">
        <f>_xlfn.XLOOKUP(B1094,Lists!B:B,Lists!A:A,"")</f>
        <v>0</v>
      </c>
      <c r="G1094" s="26" t="str">
        <f t="shared" si="86"/>
        <v/>
      </c>
      <c r="H1094" s="31" t="str">
        <f t="shared" si="87"/>
        <v/>
      </c>
      <c r="J1094" s="27" t="str">
        <f>IF(I1094="","",_xlfn.XLOOKUP(I1094,Lists!$C:$C,Lists!$D:$D))</f>
        <v/>
      </c>
      <c r="N1094" s="26" t="str">
        <f t="shared" si="88"/>
        <v/>
      </c>
      <c r="O1094" s="27" t="str">
        <f>IF(I1094="","",_xlfn.XLOOKUP(I1094,Lists!$C:$C,Lists!$J:$J))</f>
        <v/>
      </c>
      <c r="P1094" s="27" t="str">
        <f>IF(I1094="","",_xlfn.XLOOKUP(I1094,Lists!$C:$C,Lists!$E:$E))</f>
        <v/>
      </c>
      <c r="Q1094" s="28" t="str">
        <f t="shared" si="89"/>
        <v/>
      </c>
      <c r="R1094" s="26" t="str">
        <f t="shared" ca="1" si="90"/>
        <v/>
      </c>
      <c r="S1094" s="27" t="str">
        <f>IF(I1094="","",_xlfn.XLOOKUP(I1094,Lists!$C:$C,Lists!$I:$I))</f>
        <v/>
      </c>
    </row>
    <row r="1095" spans="3:19" x14ac:dyDescent="0.2">
      <c r="C1095" s="26">
        <f>_xlfn.XLOOKUP(B1095,Lists!B:B,Lists!A:A,"")</f>
        <v>0</v>
      </c>
      <c r="G1095" s="26" t="str">
        <f t="shared" si="86"/>
        <v/>
      </c>
      <c r="H1095" s="31" t="str">
        <f t="shared" si="87"/>
        <v/>
      </c>
      <c r="J1095" s="27" t="str">
        <f>IF(I1095="","",_xlfn.XLOOKUP(I1095,Lists!$C:$C,Lists!$D:$D))</f>
        <v/>
      </c>
      <c r="N1095" s="26" t="str">
        <f t="shared" si="88"/>
        <v/>
      </c>
      <c r="O1095" s="27" t="str">
        <f>IF(I1095="","",_xlfn.XLOOKUP(I1095,Lists!$C:$C,Lists!$J:$J))</f>
        <v/>
      </c>
      <c r="P1095" s="27" t="str">
        <f>IF(I1095="","",_xlfn.XLOOKUP(I1095,Lists!$C:$C,Lists!$E:$E))</f>
        <v/>
      </c>
      <c r="Q1095" s="28" t="str">
        <f t="shared" si="89"/>
        <v/>
      </c>
      <c r="R1095" s="26" t="str">
        <f t="shared" ca="1" si="90"/>
        <v/>
      </c>
      <c r="S1095" s="27" t="str">
        <f>IF(I1095="","",_xlfn.XLOOKUP(I1095,Lists!$C:$C,Lists!$I:$I))</f>
        <v/>
      </c>
    </row>
    <row r="1096" spans="3:19" x14ac:dyDescent="0.2">
      <c r="C1096" s="26">
        <f>_xlfn.XLOOKUP(B1096,Lists!B:B,Lists!A:A,"")</f>
        <v>0</v>
      </c>
      <c r="G1096" s="26" t="str">
        <f t="shared" si="86"/>
        <v/>
      </c>
      <c r="H1096" s="31" t="str">
        <f t="shared" si="87"/>
        <v/>
      </c>
      <c r="J1096" s="27" t="str">
        <f>IF(I1096="","",_xlfn.XLOOKUP(I1096,Lists!$C:$C,Lists!$D:$D))</f>
        <v/>
      </c>
      <c r="N1096" s="26" t="str">
        <f t="shared" si="88"/>
        <v/>
      </c>
      <c r="O1096" s="27" t="str">
        <f>IF(I1096="","",_xlfn.XLOOKUP(I1096,Lists!$C:$C,Lists!$J:$J))</f>
        <v/>
      </c>
      <c r="P1096" s="27" t="str">
        <f>IF(I1096="","",_xlfn.XLOOKUP(I1096,Lists!$C:$C,Lists!$E:$E))</f>
        <v/>
      </c>
      <c r="Q1096" s="28" t="str">
        <f t="shared" si="89"/>
        <v/>
      </c>
      <c r="R1096" s="26" t="str">
        <f t="shared" ca="1" si="90"/>
        <v/>
      </c>
      <c r="S1096" s="27" t="str">
        <f>IF(I1096="","",_xlfn.XLOOKUP(I1096,Lists!$C:$C,Lists!$I:$I))</f>
        <v/>
      </c>
    </row>
    <row r="1097" spans="3:19" x14ac:dyDescent="0.2">
      <c r="C1097" s="26">
        <f>_xlfn.XLOOKUP(B1097,Lists!B:B,Lists!A:A,"")</f>
        <v>0</v>
      </c>
      <c r="G1097" s="26" t="str">
        <f t="shared" si="86"/>
        <v/>
      </c>
      <c r="H1097" s="31" t="str">
        <f t="shared" si="87"/>
        <v/>
      </c>
      <c r="J1097" s="27" t="str">
        <f>IF(I1097="","",_xlfn.XLOOKUP(I1097,Lists!$C:$C,Lists!$D:$D))</f>
        <v/>
      </c>
      <c r="N1097" s="26" t="str">
        <f t="shared" si="88"/>
        <v/>
      </c>
      <c r="O1097" s="27" t="str">
        <f>IF(I1097="","",_xlfn.XLOOKUP(I1097,Lists!$C:$C,Lists!$J:$J))</f>
        <v/>
      </c>
      <c r="P1097" s="27" t="str">
        <f>IF(I1097="","",_xlfn.XLOOKUP(I1097,Lists!$C:$C,Lists!$E:$E))</f>
        <v/>
      </c>
      <c r="Q1097" s="28" t="str">
        <f t="shared" si="89"/>
        <v/>
      </c>
      <c r="R1097" s="26" t="str">
        <f t="shared" ca="1" si="90"/>
        <v/>
      </c>
      <c r="S1097" s="27" t="str">
        <f>IF(I1097="","",_xlfn.XLOOKUP(I1097,Lists!$C:$C,Lists!$I:$I))</f>
        <v/>
      </c>
    </row>
    <row r="1098" spans="3:19" x14ac:dyDescent="0.2">
      <c r="C1098" s="26">
        <f>_xlfn.XLOOKUP(B1098,Lists!B:B,Lists!A:A,"")</f>
        <v>0</v>
      </c>
      <c r="G1098" s="26" t="str">
        <f t="shared" si="86"/>
        <v/>
      </c>
      <c r="H1098" s="31" t="str">
        <f t="shared" si="87"/>
        <v/>
      </c>
      <c r="J1098" s="27" t="str">
        <f>IF(I1098="","",_xlfn.XLOOKUP(I1098,Lists!$C:$C,Lists!$D:$D))</f>
        <v/>
      </c>
      <c r="N1098" s="26" t="str">
        <f t="shared" si="88"/>
        <v/>
      </c>
      <c r="O1098" s="27" t="str">
        <f>IF(I1098="","",_xlfn.XLOOKUP(I1098,Lists!$C:$C,Lists!$J:$J))</f>
        <v/>
      </c>
      <c r="P1098" s="27" t="str">
        <f>IF(I1098="","",_xlfn.XLOOKUP(I1098,Lists!$C:$C,Lists!$E:$E))</f>
        <v/>
      </c>
      <c r="Q1098" s="28" t="str">
        <f t="shared" si="89"/>
        <v/>
      </c>
      <c r="R1098" s="26" t="str">
        <f t="shared" ca="1" si="90"/>
        <v/>
      </c>
      <c r="S1098" s="27" t="str">
        <f>IF(I1098="","",_xlfn.XLOOKUP(I1098,Lists!$C:$C,Lists!$I:$I))</f>
        <v/>
      </c>
    </row>
    <row r="1099" spans="3:19" x14ac:dyDescent="0.2">
      <c r="C1099" s="26">
        <f>_xlfn.XLOOKUP(B1099,Lists!B:B,Lists!A:A,"")</f>
        <v>0</v>
      </c>
      <c r="G1099" s="26" t="str">
        <f t="shared" si="86"/>
        <v/>
      </c>
      <c r="H1099" s="31" t="str">
        <f t="shared" si="87"/>
        <v/>
      </c>
      <c r="J1099" s="27" t="str">
        <f>IF(I1099="","",_xlfn.XLOOKUP(I1099,Lists!$C:$C,Lists!$D:$D))</f>
        <v/>
      </c>
      <c r="N1099" s="26" t="str">
        <f t="shared" si="88"/>
        <v/>
      </c>
      <c r="O1099" s="27" t="str">
        <f>IF(I1099="","",_xlfn.XLOOKUP(I1099,Lists!$C:$C,Lists!$J:$J))</f>
        <v/>
      </c>
      <c r="P1099" s="27" t="str">
        <f>IF(I1099="","",_xlfn.XLOOKUP(I1099,Lists!$C:$C,Lists!$E:$E))</f>
        <v/>
      </c>
      <c r="Q1099" s="28" t="str">
        <f t="shared" si="89"/>
        <v/>
      </c>
      <c r="R1099" s="26" t="str">
        <f t="shared" ca="1" si="90"/>
        <v/>
      </c>
      <c r="S1099" s="27" t="str">
        <f>IF(I1099="","",_xlfn.XLOOKUP(I1099,Lists!$C:$C,Lists!$I:$I))</f>
        <v/>
      </c>
    </row>
    <row r="1100" spans="3:19" x14ac:dyDescent="0.2">
      <c r="C1100" s="26">
        <f>_xlfn.XLOOKUP(B1100,Lists!B:B,Lists!A:A,"")</f>
        <v>0</v>
      </c>
      <c r="G1100" s="26" t="str">
        <f t="shared" si="86"/>
        <v/>
      </c>
      <c r="H1100" s="31" t="str">
        <f t="shared" si="87"/>
        <v/>
      </c>
      <c r="J1100" s="27" t="str">
        <f>IF(I1100="","",_xlfn.XLOOKUP(I1100,Lists!$C:$C,Lists!$D:$D))</f>
        <v/>
      </c>
      <c r="N1100" s="26" t="str">
        <f t="shared" si="88"/>
        <v/>
      </c>
      <c r="O1100" s="27" t="str">
        <f>IF(I1100="","",_xlfn.XLOOKUP(I1100,Lists!$C:$C,Lists!$J:$J))</f>
        <v/>
      </c>
      <c r="P1100" s="27" t="str">
        <f>IF(I1100="","",_xlfn.XLOOKUP(I1100,Lists!$C:$C,Lists!$E:$E))</f>
        <v/>
      </c>
      <c r="Q1100" s="28" t="str">
        <f t="shared" si="89"/>
        <v/>
      </c>
      <c r="R1100" s="26" t="str">
        <f t="shared" ca="1" si="90"/>
        <v/>
      </c>
      <c r="S1100" s="27" t="str">
        <f>IF(I1100="","",_xlfn.XLOOKUP(I1100,Lists!$C:$C,Lists!$I:$I))</f>
        <v/>
      </c>
    </row>
    <row r="1101" spans="3:19" x14ac:dyDescent="0.2">
      <c r="C1101" s="26">
        <f>_xlfn.XLOOKUP(B1101,Lists!B:B,Lists!A:A,"")</f>
        <v>0</v>
      </c>
      <c r="G1101" s="26" t="str">
        <f t="shared" si="86"/>
        <v/>
      </c>
      <c r="H1101" s="31" t="str">
        <f t="shared" si="87"/>
        <v/>
      </c>
      <c r="J1101" s="27" t="str">
        <f>IF(I1101="","",_xlfn.XLOOKUP(I1101,Lists!$C:$C,Lists!$D:$D))</f>
        <v/>
      </c>
      <c r="N1101" s="26" t="str">
        <f t="shared" si="88"/>
        <v/>
      </c>
      <c r="O1101" s="27" t="str">
        <f>IF(I1101="","",_xlfn.XLOOKUP(I1101,Lists!$C:$C,Lists!$J:$J))</f>
        <v/>
      </c>
      <c r="P1101" s="27" t="str">
        <f>IF(I1101="","",_xlfn.XLOOKUP(I1101,Lists!$C:$C,Lists!$E:$E))</f>
        <v/>
      </c>
      <c r="Q1101" s="28" t="str">
        <f t="shared" si="89"/>
        <v/>
      </c>
      <c r="R1101" s="26" t="str">
        <f t="shared" ca="1" si="90"/>
        <v/>
      </c>
      <c r="S1101" s="27" t="str">
        <f>IF(I1101="","",_xlfn.XLOOKUP(I1101,Lists!$C:$C,Lists!$I:$I))</f>
        <v/>
      </c>
    </row>
    <row r="1102" spans="3:19" x14ac:dyDescent="0.2">
      <c r="C1102" s="26">
        <f>_xlfn.XLOOKUP(B1102,Lists!B:B,Lists!A:A,"")</f>
        <v>0</v>
      </c>
      <c r="G1102" s="26" t="str">
        <f t="shared" si="86"/>
        <v/>
      </c>
      <c r="H1102" s="31" t="str">
        <f t="shared" si="87"/>
        <v/>
      </c>
      <c r="J1102" s="27" t="str">
        <f>IF(I1102="","",_xlfn.XLOOKUP(I1102,Lists!$C:$C,Lists!$D:$D))</f>
        <v/>
      </c>
      <c r="N1102" s="26" t="str">
        <f t="shared" si="88"/>
        <v/>
      </c>
      <c r="O1102" s="27" t="str">
        <f>IF(I1102="","",_xlfn.XLOOKUP(I1102,Lists!$C:$C,Lists!$J:$J))</f>
        <v/>
      </c>
      <c r="P1102" s="27" t="str">
        <f>IF(I1102="","",_xlfn.XLOOKUP(I1102,Lists!$C:$C,Lists!$E:$E))</f>
        <v/>
      </c>
      <c r="Q1102" s="28" t="str">
        <f t="shared" si="89"/>
        <v/>
      </c>
      <c r="R1102" s="26" t="str">
        <f t="shared" ca="1" si="90"/>
        <v/>
      </c>
      <c r="S1102" s="27" t="str">
        <f>IF(I1102="","",_xlfn.XLOOKUP(I1102,Lists!$C:$C,Lists!$I:$I))</f>
        <v/>
      </c>
    </row>
    <row r="1103" spans="3:19" x14ac:dyDescent="0.2">
      <c r="C1103" s="26">
        <f>_xlfn.XLOOKUP(B1103,Lists!B:B,Lists!A:A,"")</f>
        <v>0</v>
      </c>
      <c r="G1103" s="26" t="str">
        <f t="shared" si="86"/>
        <v/>
      </c>
      <c r="H1103" s="31" t="str">
        <f t="shared" si="87"/>
        <v/>
      </c>
      <c r="J1103" s="27" t="str">
        <f>IF(I1103="","",_xlfn.XLOOKUP(I1103,Lists!$C:$C,Lists!$D:$D))</f>
        <v/>
      </c>
      <c r="N1103" s="26" t="str">
        <f t="shared" si="88"/>
        <v/>
      </c>
      <c r="O1103" s="27" t="str">
        <f>IF(I1103="","",_xlfn.XLOOKUP(I1103,Lists!$C:$C,Lists!$J:$J))</f>
        <v/>
      </c>
      <c r="P1103" s="27" t="str">
        <f>IF(I1103="","",_xlfn.XLOOKUP(I1103,Lists!$C:$C,Lists!$E:$E))</f>
        <v/>
      </c>
      <c r="Q1103" s="28" t="str">
        <f t="shared" si="89"/>
        <v/>
      </c>
      <c r="R1103" s="26" t="str">
        <f t="shared" ca="1" si="90"/>
        <v/>
      </c>
      <c r="S1103" s="27" t="str">
        <f>IF(I1103="","",_xlfn.XLOOKUP(I1103,Lists!$C:$C,Lists!$I:$I))</f>
        <v/>
      </c>
    </row>
    <row r="1104" spans="3:19" x14ac:dyDescent="0.2">
      <c r="C1104" s="26">
        <f>_xlfn.XLOOKUP(B1104,Lists!B:B,Lists!A:A,"")</f>
        <v>0</v>
      </c>
      <c r="G1104" s="26" t="str">
        <f t="shared" si="86"/>
        <v/>
      </c>
      <c r="H1104" s="31" t="str">
        <f t="shared" si="87"/>
        <v/>
      </c>
      <c r="J1104" s="27" t="str">
        <f>IF(I1104="","",_xlfn.XLOOKUP(I1104,Lists!$C:$C,Lists!$D:$D))</f>
        <v/>
      </c>
      <c r="N1104" s="26" t="str">
        <f t="shared" si="88"/>
        <v/>
      </c>
      <c r="O1104" s="27" t="str">
        <f>IF(I1104="","",_xlfn.XLOOKUP(I1104,Lists!$C:$C,Lists!$J:$J))</f>
        <v/>
      </c>
      <c r="P1104" s="27" t="str">
        <f>IF(I1104="","",_xlfn.XLOOKUP(I1104,Lists!$C:$C,Lists!$E:$E))</f>
        <v/>
      </c>
      <c r="Q1104" s="28" t="str">
        <f t="shared" si="89"/>
        <v/>
      </c>
      <c r="R1104" s="26" t="str">
        <f t="shared" ca="1" si="90"/>
        <v/>
      </c>
      <c r="S1104" s="27" t="str">
        <f>IF(I1104="","",_xlfn.XLOOKUP(I1104,Lists!$C:$C,Lists!$I:$I))</f>
        <v/>
      </c>
    </row>
    <row r="1105" spans="3:19" x14ac:dyDescent="0.2">
      <c r="C1105" s="26">
        <f>_xlfn.XLOOKUP(B1105,Lists!B:B,Lists!A:A,"")</f>
        <v>0</v>
      </c>
      <c r="G1105" s="26" t="str">
        <f t="shared" si="86"/>
        <v/>
      </c>
      <c r="H1105" s="31" t="str">
        <f t="shared" si="87"/>
        <v/>
      </c>
      <c r="J1105" s="27" t="str">
        <f>IF(I1105="","",_xlfn.XLOOKUP(I1105,Lists!$C:$C,Lists!$D:$D))</f>
        <v/>
      </c>
      <c r="N1105" s="26" t="str">
        <f t="shared" si="88"/>
        <v/>
      </c>
      <c r="O1105" s="27" t="str">
        <f>IF(I1105="","",_xlfn.XLOOKUP(I1105,Lists!$C:$C,Lists!$J:$J))</f>
        <v/>
      </c>
      <c r="P1105" s="27" t="str">
        <f>IF(I1105="","",_xlfn.XLOOKUP(I1105,Lists!$C:$C,Lists!$E:$E))</f>
        <v/>
      </c>
      <c r="Q1105" s="28" t="str">
        <f t="shared" si="89"/>
        <v/>
      </c>
      <c r="R1105" s="26" t="str">
        <f t="shared" ca="1" si="90"/>
        <v/>
      </c>
      <c r="S1105" s="27" t="str">
        <f>IF(I1105="","",_xlfn.XLOOKUP(I1105,Lists!$C:$C,Lists!$I:$I))</f>
        <v/>
      </c>
    </row>
    <row r="1106" spans="3:19" x14ac:dyDescent="0.2">
      <c r="C1106" s="26">
        <f>_xlfn.XLOOKUP(B1106,Lists!B:B,Lists!A:A,"")</f>
        <v>0</v>
      </c>
      <c r="G1106" s="26" t="str">
        <f t="shared" si="86"/>
        <v/>
      </c>
      <c r="H1106" s="31" t="str">
        <f t="shared" si="87"/>
        <v/>
      </c>
      <c r="J1106" s="27" t="str">
        <f>IF(I1106="","",_xlfn.XLOOKUP(I1106,Lists!$C:$C,Lists!$D:$D))</f>
        <v/>
      </c>
      <c r="N1106" s="26" t="str">
        <f t="shared" si="88"/>
        <v/>
      </c>
      <c r="O1106" s="27" t="str">
        <f>IF(I1106="","",_xlfn.XLOOKUP(I1106,Lists!$C:$C,Lists!$J:$J))</f>
        <v/>
      </c>
      <c r="P1106" s="27" t="str">
        <f>IF(I1106="","",_xlfn.XLOOKUP(I1106,Lists!$C:$C,Lists!$E:$E))</f>
        <v/>
      </c>
      <c r="Q1106" s="28" t="str">
        <f t="shared" si="89"/>
        <v/>
      </c>
      <c r="R1106" s="26" t="str">
        <f t="shared" ca="1" si="90"/>
        <v/>
      </c>
      <c r="S1106" s="27" t="str">
        <f>IF(I1106="","",_xlfn.XLOOKUP(I1106,Lists!$C:$C,Lists!$I:$I))</f>
        <v/>
      </c>
    </row>
    <row r="1107" spans="3:19" x14ac:dyDescent="0.2">
      <c r="C1107" s="26">
        <f>_xlfn.XLOOKUP(B1107,Lists!B:B,Lists!A:A,"")</f>
        <v>0</v>
      </c>
      <c r="G1107" s="26" t="str">
        <f t="shared" si="86"/>
        <v/>
      </c>
      <c r="H1107" s="31" t="str">
        <f t="shared" si="87"/>
        <v/>
      </c>
      <c r="J1107" s="27" t="str">
        <f>IF(I1107="","",_xlfn.XLOOKUP(I1107,Lists!$C:$C,Lists!$D:$D))</f>
        <v/>
      </c>
      <c r="N1107" s="26" t="str">
        <f t="shared" si="88"/>
        <v/>
      </c>
      <c r="O1107" s="27" t="str">
        <f>IF(I1107="","",_xlfn.XLOOKUP(I1107,Lists!$C:$C,Lists!$J:$J))</f>
        <v/>
      </c>
      <c r="P1107" s="27" t="str">
        <f>IF(I1107="","",_xlfn.XLOOKUP(I1107,Lists!$C:$C,Lists!$E:$E))</f>
        <v/>
      </c>
      <c r="Q1107" s="28" t="str">
        <f t="shared" si="89"/>
        <v/>
      </c>
      <c r="R1107" s="26" t="str">
        <f t="shared" ca="1" si="90"/>
        <v/>
      </c>
      <c r="S1107" s="27" t="str">
        <f>IF(I1107="","",_xlfn.XLOOKUP(I1107,Lists!$C:$C,Lists!$I:$I))</f>
        <v/>
      </c>
    </row>
    <row r="1108" spans="3:19" x14ac:dyDescent="0.2">
      <c r="C1108" s="26">
        <f>_xlfn.XLOOKUP(B1108,Lists!B:B,Lists!A:A,"")</f>
        <v>0</v>
      </c>
      <c r="G1108" s="26" t="str">
        <f t="shared" si="86"/>
        <v/>
      </c>
      <c r="H1108" s="31" t="str">
        <f t="shared" si="87"/>
        <v/>
      </c>
      <c r="J1108" s="27" t="str">
        <f>IF(I1108="","",_xlfn.XLOOKUP(I1108,Lists!$C:$C,Lists!$D:$D))</f>
        <v/>
      </c>
      <c r="N1108" s="26" t="str">
        <f t="shared" si="88"/>
        <v/>
      </c>
      <c r="O1108" s="27" t="str">
        <f>IF(I1108="","",_xlfn.XLOOKUP(I1108,Lists!$C:$C,Lists!$J:$J))</f>
        <v/>
      </c>
      <c r="P1108" s="27" t="str">
        <f>IF(I1108="","",_xlfn.XLOOKUP(I1108,Lists!$C:$C,Lists!$E:$E))</f>
        <v/>
      </c>
      <c r="Q1108" s="28" t="str">
        <f t="shared" si="89"/>
        <v/>
      </c>
      <c r="R1108" s="26" t="str">
        <f t="shared" ca="1" si="90"/>
        <v/>
      </c>
      <c r="S1108" s="27" t="str">
        <f>IF(I1108="","",_xlfn.XLOOKUP(I1108,Lists!$C:$C,Lists!$I:$I))</f>
        <v/>
      </c>
    </row>
    <row r="1109" spans="3:19" x14ac:dyDescent="0.2">
      <c r="C1109" s="26">
        <f>_xlfn.XLOOKUP(B1109,Lists!B:B,Lists!A:A,"")</f>
        <v>0</v>
      </c>
      <c r="G1109" s="26" t="str">
        <f t="shared" si="86"/>
        <v/>
      </c>
      <c r="H1109" s="31" t="str">
        <f t="shared" si="87"/>
        <v/>
      </c>
      <c r="J1109" s="27" t="str">
        <f>IF(I1109="","",_xlfn.XLOOKUP(I1109,Lists!$C:$C,Lists!$D:$D))</f>
        <v/>
      </c>
      <c r="N1109" s="26" t="str">
        <f t="shared" si="88"/>
        <v/>
      </c>
      <c r="O1109" s="27" t="str">
        <f>IF(I1109="","",_xlfn.XLOOKUP(I1109,Lists!$C:$C,Lists!$J:$J))</f>
        <v/>
      </c>
      <c r="P1109" s="27" t="str">
        <f>IF(I1109="","",_xlfn.XLOOKUP(I1109,Lists!$C:$C,Lists!$E:$E))</f>
        <v/>
      </c>
      <c r="Q1109" s="28" t="str">
        <f t="shared" si="89"/>
        <v/>
      </c>
      <c r="R1109" s="26" t="str">
        <f t="shared" ca="1" si="90"/>
        <v/>
      </c>
      <c r="S1109" s="27" t="str">
        <f>IF(I1109="","",_xlfn.XLOOKUP(I1109,Lists!$C:$C,Lists!$I:$I))</f>
        <v/>
      </c>
    </row>
    <row r="1110" spans="3:19" x14ac:dyDescent="0.2">
      <c r="C1110" s="26">
        <f>_xlfn.XLOOKUP(B1110,Lists!B:B,Lists!A:A,"")</f>
        <v>0</v>
      </c>
      <c r="G1110" s="26" t="str">
        <f t="shared" si="86"/>
        <v/>
      </c>
      <c r="H1110" s="31" t="str">
        <f t="shared" si="87"/>
        <v/>
      </c>
      <c r="J1110" s="27" t="str">
        <f>IF(I1110="","",_xlfn.XLOOKUP(I1110,Lists!$C:$C,Lists!$D:$D))</f>
        <v/>
      </c>
      <c r="N1110" s="26" t="str">
        <f t="shared" si="88"/>
        <v/>
      </c>
      <c r="O1110" s="27" t="str">
        <f>IF(I1110="","",_xlfn.XLOOKUP(I1110,Lists!$C:$C,Lists!$J:$J))</f>
        <v/>
      </c>
      <c r="P1110" s="27" t="str">
        <f>IF(I1110="","",_xlfn.XLOOKUP(I1110,Lists!$C:$C,Lists!$E:$E))</f>
        <v/>
      </c>
      <c r="Q1110" s="28" t="str">
        <f t="shared" si="89"/>
        <v/>
      </c>
      <c r="R1110" s="26" t="str">
        <f t="shared" ca="1" si="90"/>
        <v/>
      </c>
      <c r="S1110" s="27" t="str">
        <f>IF(I1110="","",_xlfn.XLOOKUP(I1110,Lists!$C:$C,Lists!$I:$I))</f>
        <v/>
      </c>
    </row>
    <row r="1111" spans="3:19" x14ac:dyDescent="0.2">
      <c r="C1111" s="26">
        <f>_xlfn.XLOOKUP(B1111,Lists!B:B,Lists!A:A,"")</f>
        <v>0</v>
      </c>
      <c r="G1111" s="26" t="str">
        <f t="shared" si="86"/>
        <v/>
      </c>
      <c r="H1111" s="31" t="str">
        <f t="shared" si="87"/>
        <v/>
      </c>
      <c r="J1111" s="27" t="str">
        <f>IF(I1111="","",_xlfn.XLOOKUP(I1111,Lists!$C:$C,Lists!$D:$D))</f>
        <v/>
      </c>
      <c r="N1111" s="26" t="str">
        <f t="shared" si="88"/>
        <v/>
      </c>
      <c r="O1111" s="27" t="str">
        <f>IF(I1111="","",_xlfn.XLOOKUP(I1111,Lists!$C:$C,Lists!$J:$J))</f>
        <v/>
      </c>
      <c r="P1111" s="27" t="str">
        <f>IF(I1111="","",_xlfn.XLOOKUP(I1111,Lists!$C:$C,Lists!$E:$E))</f>
        <v/>
      </c>
      <c r="Q1111" s="28" t="str">
        <f t="shared" si="89"/>
        <v/>
      </c>
      <c r="R1111" s="26" t="str">
        <f t="shared" ca="1" si="90"/>
        <v/>
      </c>
      <c r="S1111" s="27" t="str">
        <f>IF(I1111="","",_xlfn.XLOOKUP(I1111,Lists!$C:$C,Lists!$I:$I))</f>
        <v/>
      </c>
    </row>
    <row r="1112" spans="3:19" x14ac:dyDescent="0.2">
      <c r="C1112" s="26">
        <f>_xlfn.XLOOKUP(B1112,Lists!B:B,Lists!A:A,"")</f>
        <v>0</v>
      </c>
      <c r="G1112" s="26" t="str">
        <f t="shared" si="86"/>
        <v/>
      </c>
      <c r="H1112" s="31" t="str">
        <f t="shared" si="87"/>
        <v/>
      </c>
      <c r="J1112" s="27" t="str">
        <f>IF(I1112="","",_xlfn.XLOOKUP(I1112,Lists!$C:$C,Lists!$D:$D))</f>
        <v/>
      </c>
      <c r="N1112" s="26" t="str">
        <f t="shared" si="88"/>
        <v/>
      </c>
      <c r="O1112" s="27" t="str">
        <f>IF(I1112="","",_xlfn.XLOOKUP(I1112,Lists!$C:$C,Lists!$J:$J))</f>
        <v/>
      </c>
      <c r="P1112" s="27" t="str">
        <f>IF(I1112="","",_xlfn.XLOOKUP(I1112,Lists!$C:$C,Lists!$E:$E))</f>
        <v/>
      </c>
      <c r="Q1112" s="28" t="str">
        <f t="shared" si="89"/>
        <v/>
      </c>
      <c r="R1112" s="26" t="str">
        <f t="shared" ca="1" si="90"/>
        <v/>
      </c>
      <c r="S1112" s="27" t="str">
        <f>IF(I1112="","",_xlfn.XLOOKUP(I1112,Lists!$C:$C,Lists!$I:$I))</f>
        <v/>
      </c>
    </row>
    <row r="1113" spans="3:19" x14ac:dyDescent="0.2">
      <c r="C1113" s="26">
        <f>_xlfn.XLOOKUP(B1113,Lists!B:B,Lists!A:A,"")</f>
        <v>0</v>
      </c>
      <c r="G1113" s="26" t="str">
        <f t="shared" si="86"/>
        <v/>
      </c>
      <c r="H1113" s="31" t="str">
        <f t="shared" si="87"/>
        <v/>
      </c>
      <c r="J1113" s="27" t="str">
        <f>IF(I1113="","",_xlfn.XLOOKUP(I1113,Lists!$C:$C,Lists!$D:$D))</f>
        <v/>
      </c>
      <c r="N1113" s="26" t="str">
        <f t="shared" si="88"/>
        <v/>
      </c>
      <c r="O1113" s="27" t="str">
        <f>IF(I1113="","",_xlfn.XLOOKUP(I1113,Lists!$C:$C,Lists!$J:$J))</f>
        <v/>
      </c>
      <c r="P1113" s="27" t="str">
        <f>IF(I1113="","",_xlfn.XLOOKUP(I1113,Lists!$C:$C,Lists!$E:$E))</f>
        <v/>
      </c>
      <c r="Q1113" s="28" t="str">
        <f t="shared" si="89"/>
        <v/>
      </c>
      <c r="R1113" s="26" t="str">
        <f t="shared" ca="1" si="90"/>
        <v/>
      </c>
      <c r="S1113" s="27" t="str">
        <f>IF(I1113="","",_xlfn.XLOOKUP(I1113,Lists!$C:$C,Lists!$I:$I))</f>
        <v/>
      </c>
    </row>
    <row r="1114" spans="3:19" x14ac:dyDescent="0.2">
      <c r="C1114" s="26">
        <f>_xlfn.XLOOKUP(B1114,Lists!B:B,Lists!A:A,"")</f>
        <v>0</v>
      </c>
      <c r="G1114" s="26" t="str">
        <f t="shared" si="86"/>
        <v/>
      </c>
      <c r="H1114" s="31" t="str">
        <f t="shared" si="87"/>
        <v/>
      </c>
      <c r="J1114" s="27" t="str">
        <f>IF(I1114="","",_xlfn.XLOOKUP(I1114,Lists!$C:$C,Lists!$D:$D))</f>
        <v/>
      </c>
      <c r="N1114" s="26" t="str">
        <f t="shared" si="88"/>
        <v/>
      </c>
      <c r="O1114" s="27" t="str">
        <f>IF(I1114="","",_xlfn.XLOOKUP(I1114,Lists!$C:$C,Lists!$J:$J))</f>
        <v/>
      </c>
      <c r="P1114" s="27" t="str">
        <f>IF(I1114="","",_xlfn.XLOOKUP(I1114,Lists!$C:$C,Lists!$E:$E))</f>
        <v/>
      </c>
      <c r="Q1114" s="28" t="str">
        <f t="shared" si="89"/>
        <v/>
      </c>
      <c r="R1114" s="26" t="str">
        <f t="shared" ca="1" si="90"/>
        <v/>
      </c>
      <c r="S1114" s="27" t="str">
        <f>IF(I1114="","",_xlfn.XLOOKUP(I1114,Lists!$C:$C,Lists!$I:$I))</f>
        <v/>
      </c>
    </row>
    <row r="1115" spans="3:19" x14ac:dyDescent="0.2">
      <c r="C1115" s="26">
        <f>_xlfn.XLOOKUP(B1115,Lists!B:B,Lists!A:A,"")</f>
        <v>0</v>
      </c>
      <c r="G1115" s="26" t="str">
        <f t="shared" si="86"/>
        <v/>
      </c>
      <c r="H1115" s="31" t="str">
        <f t="shared" si="87"/>
        <v/>
      </c>
      <c r="J1115" s="27" t="str">
        <f>IF(I1115="","",_xlfn.XLOOKUP(I1115,Lists!$C:$C,Lists!$D:$D))</f>
        <v/>
      </c>
      <c r="N1115" s="26" t="str">
        <f t="shared" si="88"/>
        <v/>
      </c>
      <c r="O1115" s="27" t="str">
        <f>IF(I1115="","",_xlfn.XLOOKUP(I1115,Lists!$C:$C,Lists!$J:$J))</f>
        <v/>
      </c>
      <c r="P1115" s="27" t="str">
        <f>IF(I1115="","",_xlfn.XLOOKUP(I1115,Lists!$C:$C,Lists!$E:$E))</f>
        <v/>
      </c>
      <c r="Q1115" s="28" t="str">
        <f t="shared" si="89"/>
        <v/>
      </c>
      <c r="R1115" s="26" t="str">
        <f t="shared" ca="1" si="90"/>
        <v/>
      </c>
      <c r="S1115" s="27" t="str">
        <f>IF(I1115="","",_xlfn.XLOOKUP(I1115,Lists!$C:$C,Lists!$I:$I))</f>
        <v/>
      </c>
    </row>
    <row r="1116" spans="3:19" x14ac:dyDescent="0.2">
      <c r="C1116" s="26">
        <f>_xlfn.XLOOKUP(B1116,Lists!B:B,Lists!A:A,"")</f>
        <v>0</v>
      </c>
      <c r="G1116" s="26" t="str">
        <f t="shared" si="86"/>
        <v/>
      </c>
      <c r="H1116" s="31" t="str">
        <f t="shared" si="87"/>
        <v/>
      </c>
      <c r="J1116" s="27" t="str">
        <f>IF(I1116="","",_xlfn.XLOOKUP(I1116,Lists!$C:$C,Lists!$D:$D))</f>
        <v/>
      </c>
      <c r="N1116" s="26" t="str">
        <f t="shared" si="88"/>
        <v/>
      </c>
      <c r="O1116" s="27" t="str">
        <f>IF(I1116="","",_xlfn.XLOOKUP(I1116,Lists!$C:$C,Lists!$J:$J))</f>
        <v/>
      </c>
      <c r="P1116" s="27" t="str">
        <f>IF(I1116="","",_xlfn.XLOOKUP(I1116,Lists!$C:$C,Lists!$E:$E))</f>
        <v/>
      </c>
      <c r="Q1116" s="28" t="str">
        <f t="shared" si="89"/>
        <v/>
      </c>
      <c r="R1116" s="26" t="str">
        <f t="shared" ca="1" si="90"/>
        <v/>
      </c>
      <c r="S1116" s="27" t="str">
        <f>IF(I1116="","",_xlfn.XLOOKUP(I1116,Lists!$C:$C,Lists!$I:$I))</f>
        <v/>
      </c>
    </row>
    <row r="1117" spans="3:19" x14ac:dyDescent="0.2">
      <c r="C1117" s="26">
        <f>_xlfn.XLOOKUP(B1117,Lists!B:B,Lists!A:A,"")</f>
        <v>0</v>
      </c>
      <c r="G1117" s="26" t="str">
        <f t="shared" si="86"/>
        <v/>
      </c>
      <c r="H1117" s="31" t="str">
        <f t="shared" si="87"/>
        <v/>
      </c>
      <c r="J1117" s="27" t="str">
        <f>IF(I1117="","",_xlfn.XLOOKUP(I1117,Lists!$C:$C,Lists!$D:$D))</f>
        <v/>
      </c>
      <c r="N1117" s="26" t="str">
        <f t="shared" si="88"/>
        <v/>
      </c>
      <c r="O1117" s="27" t="str">
        <f>IF(I1117="","",_xlfn.XLOOKUP(I1117,Lists!$C:$C,Lists!$J:$J))</f>
        <v/>
      </c>
      <c r="P1117" s="27" t="str">
        <f>IF(I1117="","",_xlfn.XLOOKUP(I1117,Lists!$C:$C,Lists!$E:$E))</f>
        <v/>
      </c>
      <c r="Q1117" s="28" t="str">
        <f t="shared" si="89"/>
        <v/>
      </c>
      <c r="R1117" s="26" t="str">
        <f t="shared" ca="1" si="90"/>
        <v/>
      </c>
      <c r="S1117" s="27" t="str">
        <f>IF(I1117="","",_xlfn.XLOOKUP(I1117,Lists!$C:$C,Lists!$I:$I))</f>
        <v/>
      </c>
    </row>
    <row r="1118" spans="3:19" x14ac:dyDescent="0.2">
      <c r="C1118" s="26">
        <f>_xlfn.XLOOKUP(B1118,Lists!B:B,Lists!A:A,"")</f>
        <v>0</v>
      </c>
      <c r="G1118" s="26" t="str">
        <f t="shared" si="86"/>
        <v/>
      </c>
      <c r="H1118" s="31" t="str">
        <f t="shared" si="87"/>
        <v/>
      </c>
      <c r="J1118" s="27" t="str">
        <f>IF(I1118="","",_xlfn.XLOOKUP(I1118,Lists!$C:$C,Lists!$D:$D))</f>
        <v/>
      </c>
      <c r="N1118" s="26" t="str">
        <f t="shared" si="88"/>
        <v/>
      </c>
      <c r="O1118" s="27" t="str">
        <f>IF(I1118="","",_xlfn.XLOOKUP(I1118,Lists!$C:$C,Lists!$J:$J))</f>
        <v/>
      </c>
      <c r="P1118" s="27" t="str">
        <f>IF(I1118="","",_xlfn.XLOOKUP(I1118,Lists!$C:$C,Lists!$E:$E))</f>
        <v/>
      </c>
      <c r="Q1118" s="28" t="str">
        <f t="shared" si="89"/>
        <v/>
      </c>
      <c r="R1118" s="26" t="str">
        <f t="shared" ca="1" si="90"/>
        <v/>
      </c>
      <c r="S1118" s="27" t="str">
        <f>IF(I1118="","",_xlfn.XLOOKUP(I1118,Lists!$C:$C,Lists!$I:$I))</f>
        <v/>
      </c>
    </row>
    <row r="1119" spans="3:19" x14ac:dyDescent="0.2">
      <c r="C1119" s="26">
        <f>_xlfn.XLOOKUP(B1119,Lists!B:B,Lists!A:A,"")</f>
        <v>0</v>
      </c>
      <c r="G1119" s="26" t="str">
        <f t="shared" si="86"/>
        <v/>
      </c>
      <c r="H1119" s="31" t="str">
        <f t="shared" si="87"/>
        <v/>
      </c>
      <c r="J1119" s="27" t="str">
        <f>IF(I1119="","",_xlfn.XLOOKUP(I1119,Lists!$C:$C,Lists!$D:$D))</f>
        <v/>
      </c>
      <c r="N1119" s="26" t="str">
        <f t="shared" si="88"/>
        <v/>
      </c>
      <c r="O1119" s="27" t="str">
        <f>IF(I1119="","",_xlfn.XLOOKUP(I1119,Lists!$C:$C,Lists!$J:$J))</f>
        <v/>
      </c>
      <c r="P1119" s="27" t="str">
        <f>IF(I1119="","",_xlfn.XLOOKUP(I1119,Lists!$C:$C,Lists!$E:$E))</f>
        <v/>
      </c>
      <c r="Q1119" s="28" t="str">
        <f t="shared" si="89"/>
        <v/>
      </c>
      <c r="R1119" s="26" t="str">
        <f t="shared" ca="1" si="90"/>
        <v/>
      </c>
      <c r="S1119" s="27" t="str">
        <f>IF(I1119="","",_xlfn.XLOOKUP(I1119,Lists!$C:$C,Lists!$I:$I))</f>
        <v/>
      </c>
    </row>
    <row r="1120" spans="3:19" x14ac:dyDescent="0.2">
      <c r="C1120" s="26">
        <f>_xlfn.XLOOKUP(B1120,Lists!B:B,Lists!A:A,"")</f>
        <v>0</v>
      </c>
      <c r="G1120" s="26" t="str">
        <f t="shared" si="86"/>
        <v/>
      </c>
      <c r="H1120" s="31" t="str">
        <f t="shared" si="87"/>
        <v/>
      </c>
      <c r="J1120" s="27" t="str">
        <f>IF(I1120="","",_xlfn.XLOOKUP(I1120,Lists!$C:$C,Lists!$D:$D))</f>
        <v/>
      </c>
      <c r="N1120" s="26" t="str">
        <f t="shared" si="88"/>
        <v/>
      </c>
      <c r="O1120" s="27" t="str">
        <f>IF(I1120="","",_xlfn.XLOOKUP(I1120,Lists!$C:$C,Lists!$J:$J))</f>
        <v/>
      </c>
      <c r="P1120" s="27" t="str">
        <f>IF(I1120="","",_xlfn.XLOOKUP(I1120,Lists!$C:$C,Lists!$E:$E))</f>
        <v/>
      </c>
      <c r="Q1120" s="28" t="str">
        <f t="shared" si="89"/>
        <v/>
      </c>
      <c r="R1120" s="26" t="str">
        <f t="shared" ca="1" si="90"/>
        <v/>
      </c>
      <c r="S1120" s="27" t="str">
        <f>IF(I1120="","",_xlfn.XLOOKUP(I1120,Lists!$C:$C,Lists!$I:$I))</f>
        <v/>
      </c>
    </row>
    <row r="1121" spans="3:19" x14ac:dyDescent="0.2">
      <c r="C1121" s="26">
        <f>_xlfn.XLOOKUP(B1121,Lists!B:B,Lists!A:A,"")</f>
        <v>0</v>
      </c>
      <c r="G1121" s="26" t="str">
        <f t="shared" si="86"/>
        <v/>
      </c>
      <c r="H1121" s="31" t="str">
        <f t="shared" si="87"/>
        <v/>
      </c>
      <c r="J1121" s="27" t="str">
        <f>IF(I1121="","",_xlfn.XLOOKUP(I1121,Lists!$C:$C,Lists!$D:$D))</f>
        <v/>
      </c>
      <c r="N1121" s="26" t="str">
        <f t="shared" si="88"/>
        <v/>
      </c>
      <c r="O1121" s="27" t="str">
        <f>IF(I1121="","",_xlfn.XLOOKUP(I1121,Lists!$C:$C,Lists!$J:$J))</f>
        <v/>
      </c>
      <c r="P1121" s="27" t="str">
        <f>IF(I1121="","",_xlfn.XLOOKUP(I1121,Lists!$C:$C,Lists!$E:$E))</f>
        <v/>
      </c>
      <c r="Q1121" s="28" t="str">
        <f t="shared" si="89"/>
        <v/>
      </c>
      <c r="R1121" s="26" t="str">
        <f t="shared" ca="1" si="90"/>
        <v/>
      </c>
      <c r="S1121" s="27" t="str">
        <f>IF(I1121="","",_xlfn.XLOOKUP(I1121,Lists!$C:$C,Lists!$I:$I))</f>
        <v/>
      </c>
    </row>
    <row r="1122" spans="3:19" x14ac:dyDescent="0.2">
      <c r="C1122" s="26">
        <f>_xlfn.XLOOKUP(B1122,Lists!B:B,Lists!A:A,"")</f>
        <v>0</v>
      </c>
      <c r="G1122" s="26" t="str">
        <f t="shared" si="86"/>
        <v/>
      </c>
      <c r="H1122" s="31" t="str">
        <f t="shared" si="87"/>
        <v/>
      </c>
      <c r="J1122" s="27" t="str">
        <f>IF(I1122="","",_xlfn.XLOOKUP(I1122,Lists!$C:$C,Lists!$D:$D))</f>
        <v/>
      </c>
      <c r="N1122" s="26" t="str">
        <f t="shared" si="88"/>
        <v/>
      </c>
      <c r="O1122" s="27" t="str">
        <f>IF(I1122="","",_xlfn.XLOOKUP(I1122,Lists!$C:$C,Lists!$J:$J))</f>
        <v/>
      </c>
      <c r="P1122" s="27" t="str">
        <f>IF(I1122="","",_xlfn.XLOOKUP(I1122,Lists!$C:$C,Lists!$E:$E))</f>
        <v/>
      </c>
      <c r="Q1122" s="28" t="str">
        <f t="shared" si="89"/>
        <v/>
      </c>
      <c r="R1122" s="26" t="str">
        <f t="shared" ca="1" si="90"/>
        <v/>
      </c>
      <c r="S1122" s="27" t="str">
        <f>IF(I1122="","",_xlfn.XLOOKUP(I1122,Lists!$C:$C,Lists!$I:$I))</f>
        <v/>
      </c>
    </row>
    <row r="1123" spans="3:19" x14ac:dyDescent="0.2">
      <c r="C1123" s="26">
        <f>_xlfn.XLOOKUP(B1123,Lists!B:B,Lists!A:A,"")</f>
        <v>0</v>
      </c>
      <c r="G1123" s="26" t="str">
        <f t="shared" ref="G1123:G1154" si="91">IF(OR(E1123="",F1123=""),"",F1123-E1123+1)</f>
        <v/>
      </c>
      <c r="H1123" s="31" t="str">
        <f t="shared" ref="H1123:H1154" si="92">IF(D1123="","",IF(OR(D1123="A",D1123="B"),G1123/80,IF(D1123="A&amp;B",G1123/160,"")))</f>
        <v/>
      </c>
      <c r="J1123" s="27" t="str">
        <f>IF(I1123="","",_xlfn.XLOOKUP(I1123,Lists!$C:$C,Lists!$D:$D))</f>
        <v/>
      </c>
      <c r="N1123" s="26" t="str">
        <f t="shared" ref="N1123:N1154" si="93">IF(OR(M1123="",L1123=""),"",(M1123*L1123)/100000)</f>
        <v/>
      </c>
      <c r="O1123" s="27" t="str">
        <f>IF(I1123="","",_xlfn.XLOOKUP(I1123,Lists!$C:$C,Lists!$J:$J))</f>
        <v/>
      </c>
      <c r="P1123" s="27" t="str">
        <f>IF(I1123="","",_xlfn.XLOOKUP(I1123,Lists!$C:$C,Lists!$E:$E))</f>
        <v/>
      </c>
      <c r="Q1123" s="28" t="str">
        <f t="shared" ref="Q1123:Q1154" si="94">IF(OR(A1123="",P1123=""),"",A1123+P1123+1)</f>
        <v/>
      </c>
      <c r="R1123" s="26" t="str">
        <f t="shared" ref="R1123:R1154" ca="1" si="95">IF(Q1123="","",IF(Q1123&lt;=TODAY(),"Allow","Not Allow"))</f>
        <v/>
      </c>
      <c r="S1123" s="27" t="str">
        <f>IF(I1123="","",_xlfn.XLOOKUP(I1123,Lists!$C:$C,Lists!$I:$I))</f>
        <v/>
      </c>
    </row>
    <row r="1124" spans="3:19" x14ac:dyDescent="0.2">
      <c r="C1124" s="26">
        <f>_xlfn.XLOOKUP(B1124,Lists!B:B,Lists!A:A,"")</f>
        <v>0</v>
      </c>
      <c r="G1124" s="26" t="str">
        <f t="shared" si="91"/>
        <v/>
      </c>
      <c r="H1124" s="31" t="str">
        <f t="shared" si="92"/>
        <v/>
      </c>
      <c r="J1124" s="27" t="str">
        <f>IF(I1124="","",_xlfn.XLOOKUP(I1124,Lists!$C:$C,Lists!$D:$D))</f>
        <v/>
      </c>
      <c r="N1124" s="26" t="str">
        <f t="shared" si="93"/>
        <v/>
      </c>
      <c r="O1124" s="27" t="str">
        <f>IF(I1124="","",_xlfn.XLOOKUP(I1124,Lists!$C:$C,Lists!$J:$J))</f>
        <v/>
      </c>
      <c r="P1124" s="27" t="str">
        <f>IF(I1124="","",_xlfn.XLOOKUP(I1124,Lists!$C:$C,Lists!$E:$E))</f>
        <v/>
      </c>
      <c r="Q1124" s="28" t="str">
        <f t="shared" si="94"/>
        <v/>
      </c>
      <c r="R1124" s="26" t="str">
        <f t="shared" ca="1" si="95"/>
        <v/>
      </c>
      <c r="S1124" s="27" t="str">
        <f>IF(I1124="","",_xlfn.XLOOKUP(I1124,Lists!$C:$C,Lists!$I:$I))</f>
        <v/>
      </c>
    </row>
    <row r="1125" spans="3:19" x14ac:dyDescent="0.2">
      <c r="C1125" s="26">
        <f>_xlfn.XLOOKUP(B1125,Lists!B:B,Lists!A:A,"")</f>
        <v>0</v>
      </c>
      <c r="G1125" s="26" t="str">
        <f t="shared" si="91"/>
        <v/>
      </c>
      <c r="H1125" s="31" t="str">
        <f t="shared" si="92"/>
        <v/>
      </c>
      <c r="J1125" s="27" t="str">
        <f>IF(I1125="","",_xlfn.XLOOKUP(I1125,Lists!$C:$C,Lists!$D:$D))</f>
        <v/>
      </c>
      <c r="N1125" s="26" t="str">
        <f t="shared" si="93"/>
        <v/>
      </c>
      <c r="O1125" s="27" t="str">
        <f>IF(I1125="","",_xlfn.XLOOKUP(I1125,Lists!$C:$C,Lists!$J:$J))</f>
        <v/>
      </c>
      <c r="P1125" s="27" t="str">
        <f>IF(I1125="","",_xlfn.XLOOKUP(I1125,Lists!$C:$C,Lists!$E:$E))</f>
        <v/>
      </c>
      <c r="Q1125" s="28" t="str">
        <f t="shared" si="94"/>
        <v/>
      </c>
      <c r="R1125" s="26" t="str">
        <f t="shared" ca="1" si="95"/>
        <v/>
      </c>
      <c r="S1125" s="27" t="str">
        <f>IF(I1125="","",_xlfn.XLOOKUP(I1125,Lists!$C:$C,Lists!$I:$I))</f>
        <v/>
      </c>
    </row>
    <row r="1126" spans="3:19" x14ac:dyDescent="0.2">
      <c r="C1126" s="26">
        <f>_xlfn.XLOOKUP(B1126,Lists!B:B,Lists!A:A,"")</f>
        <v>0</v>
      </c>
      <c r="G1126" s="26" t="str">
        <f t="shared" si="91"/>
        <v/>
      </c>
      <c r="H1126" s="31" t="str">
        <f t="shared" si="92"/>
        <v/>
      </c>
      <c r="J1126" s="27" t="str">
        <f>IF(I1126="","",_xlfn.XLOOKUP(I1126,Lists!$C:$C,Lists!$D:$D))</f>
        <v/>
      </c>
      <c r="N1126" s="26" t="str">
        <f t="shared" si="93"/>
        <v/>
      </c>
      <c r="O1126" s="27" t="str">
        <f>IF(I1126="","",_xlfn.XLOOKUP(I1126,Lists!$C:$C,Lists!$J:$J))</f>
        <v/>
      </c>
      <c r="P1126" s="27" t="str">
        <f>IF(I1126="","",_xlfn.XLOOKUP(I1126,Lists!$C:$C,Lists!$E:$E))</f>
        <v/>
      </c>
      <c r="Q1126" s="28" t="str">
        <f t="shared" si="94"/>
        <v/>
      </c>
      <c r="R1126" s="26" t="str">
        <f t="shared" ca="1" si="95"/>
        <v/>
      </c>
      <c r="S1126" s="27" t="str">
        <f>IF(I1126="","",_xlfn.XLOOKUP(I1126,Lists!$C:$C,Lists!$I:$I))</f>
        <v/>
      </c>
    </row>
    <row r="1127" spans="3:19" x14ac:dyDescent="0.2">
      <c r="C1127" s="26">
        <f>_xlfn.XLOOKUP(B1127,Lists!B:B,Lists!A:A,"")</f>
        <v>0</v>
      </c>
      <c r="G1127" s="26" t="str">
        <f t="shared" si="91"/>
        <v/>
      </c>
      <c r="H1127" s="31" t="str">
        <f t="shared" si="92"/>
        <v/>
      </c>
      <c r="J1127" s="27" t="str">
        <f>IF(I1127="","",_xlfn.XLOOKUP(I1127,Lists!$C:$C,Lists!$D:$D))</f>
        <v/>
      </c>
      <c r="N1127" s="26" t="str">
        <f t="shared" si="93"/>
        <v/>
      </c>
      <c r="O1127" s="27" t="str">
        <f>IF(I1127="","",_xlfn.XLOOKUP(I1127,Lists!$C:$C,Lists!$J:$J))</f>
        <v/>
      </c>
      <c r="P1127" s="27" t="str">
        <f>IF(I1127="","",_xlfn.XLOOKUP(I1127,Lists!$C:$C,Lists!$E:$E))</f>
        <v/>
      </c>
      <c r="Q1127" s="28" t="str">
        <f t="shared" si="94"/>
        <v/>
      </c>
      <c r="R1127" s="26" t="str">
        <f t="shared" ca="1" si="95"/>
        <v/>
      </c>
      <c r="S1127" s="27" t="str">
        <f>IF(I1127="","",_xlfn.XLOOKUP(I1127,Lists!$C:$C,Lists!$I:$I))</f>
        <v/>
      </c>
    </row>
    <row r="1128" spans="3:19" x14ac:dyDescent="0.2">
      <c r="C1128" s="26">
        <f>_xlfn.XLOOKUP(B1128,Lists!B:B,Lists!A:A,"")</f>
        <v>0</v>
      </c>
      <c r="G1128" s="26" t="str">
        <f t="shared" si="91"/>
        <v/>
      </c>
      <c r="H1128" s="31" t="str">
        <f t="shared" si="92"/>
        <v/>
      </c>
      <c r="J1128" s="27" t="str">
        <f>IF(I1128="","",_xlfn.XLOOKUP(I1128,Lists!$C:$C,Lists!$D:$D))</f>
        <v/>
      </c>
      <c r="N1128" s="26" t="str">
        <f t="shared" si="93"/>
        <v/>
      </c>
      <c r="O1128" s="27" t="str">
        <f>IF(I1128="","",_xlfn.XLOOKUP(I1128,Lists!$C:$C,Lists!$J:$J))</f>
        <v/>
      </c>
      <c r="P1128" s="27" t="str">
        <f>IF(I1128="","",_xlfn.XLOOKUP(I1128,Lists!$C:$C,Lists!$E:$E))</f>
        <v/>
      </c>
      <c r="Q1128" s="28" t="str">
        <f t="shared" si="94"/>
        <v/>
      </c>
      <c r="R1128" s="26" t="str">
        <f t="shared" ca="1" si="95"/>
        <v/>
      </c>
      <c r="S1128" s="27" t="str">
        <f>IF(I1128="","",_xlfn.XLOOKUP(I1128,Lists!$C:$C,Lists!$I:$I))</f>
        <v/>
      </c>
    </row>
    <row r="1129" spans="3:19" x14ac:dyDescent="0.2">
      <c r="C1129" s="26">
        <f>_xlfn.XLOOKUP(B1129,Lists!B:B,Lists!A:A,"")</f>
        <v>0</v>
      </c>
      <c r="G1129" s="26" t="str">
        <f t="shared" si="91"/>
        <v/>
      </c>
      <c r="H1129" s="31" t="str">
        <f t="shared" si="92"/>
        <v/>
      </c>
      <c r="J1129" s="27" t="str">
        <f>IF(I1129="","",_xlfn.XLOOKUP(I1129,Lists!$C:$C,Lists!$D:$D))</f>
        <v/>
      </c>
      <c r="N1129" s="26" t="str">
        <f t="shared" si="93"/>
        <v/>
      </c>
      <c r="O1129" s="27" t="str">
        <f>IF(I1129="","",_xlfn.XLOOKUP(I1129,Lists!$C:$C,Lists!$J:$J))</f>
        <v/>
      </c>
      <c r="P1129" s="27" t="str">
        <f>IF(I1129="","",_xlfn.XLOOKUP(I1129,Lists!$C:$C,Lists!$E:$E))</f>
        <v/>
      </c>
      <c r="Q1129" s="28" t="str">
        <f t="shared" si="94"/>
        <v/>
      </c>
      <c r="R1129" s="26" t="str">
        <f t="shared" ca="1" si="95"/>
        <v/>
      </c>
      <c r="S1129" s="27" t="str">
        <f>IF(I1129="","",_xlfn.XLOOKUP(I1129,Lists!$C:$C,Lists!$I:$I))</f>
        <v/>
      </c>
    </row>
    <row r="1130" spans="3:19" x14ac:dyDescent="0.2">
      <c r="C1130" s="26">
        <f>_xlfn.XLOOKUP(B1130,Lists!B:B,Lists!A:A,"")</f>
        <v>0</v>
      </c>
      <c r="G1130" s="26" t="str">
        <f t="shared" si="91"/>
        <v/>
      </c>
      <c r="H1130" s="31" t="str">
        <f t="shared" si="92"/>
        <v/>
      </c>
      <c r="J1130" s="27" t="str">
        <f>IF(I1130="","",_xlfn.XLOOKUP(I1130,Lists!$C:$C,Lists!$D:$D))</f>
        <v/>
      </c>
      <c r="N1130" s="26" t="str">
        <f t="shared" si="93"/>
        <v/>
      </c>
      <c r="O1130" s="27" t="str">
        <f>IF(I1130="","",_xlfn.XLOOKUP(I1130,Lists!$C:$C,Lists!$J:$J))</f>
        <v/>
      </c>
      <c r="P1130" s="27" t="str">
        <f>IF(I1130="","",_xlfn.XLOOKUP(I1130,Lists!$C:$C,Lists!$E:$E))</f>
        <v/>
      </c>
      <c r="Q1130" s="28" t="str">
        <f t="shared" si="94"/>
        <v/>
      </c>
      <c r="R1130" s="26" t="str">
        <f t="shared" ca="1" si="95"/>
        <v/>
      </c>
      <c r="S1130" s="27" t="str">
        <f>IF(I1130="","",_xlfn.XLOOKUP(I1130,Lists!$C:$C,Lists!$I:$I))</f>
        <v/>
      </c>
    </row>
    <row r="1131" spans="3:19" x14ac:dyDescent="0.2">
      <c r="C1131" s="26">
        <f>_xlfn.XLOOKUP(B1131,Lists!B:B,Lists!A:A,"")</f>
        <v>0</v>
      </c>
      <c r="G1131" s="26" t="str">
        <f t="shared" si="91"/>
        <v/>
      </c>
      <c r="H1131" s="31" t="str">
        <f t="shared" si="92"/>
        <v/>
      </c>
      <c r="J1131" s="27" t="str">
        <f>IF(I1131="","",_xlfn.XLOOKUP(I1131,Lists!$C:$C,Lists!$D:$D))</f>
        <v/>
      </c>
      <c r="N1131" s="26" t="str">
        <f t="shared" si="93"/>
        <v/>
      </c>
      <c r="O1131" s="27" t="str">
        <f>IF(I1131="","",_xlfn.XLOOKUP(I1131,Lists!$C:$C,Lists!$J:$J))</f>
        <v/>
      </c>
      <c r="P1131" s="27" t="str">
        <f>IF(I1131="","",_xlfn.XLOOKUP(I1131,Lists!$C:$C,Lists!$E:$E))</f>
        <v/>
      </c>
      <c r="Q1131" s="28" t="str">
        <f t="shared" si="94"/>
        <v/>
      </c>
      <c r="R1131" s="26" t="str">
        <f t="shared" ca="1" si="95"/>
        <v/>
      </c>
      <c r="S1131" s="27" t="str">
        <f>IF(I1131="","",_xlfn.XLOOKUP(I1131,Lists!$C:$C,Lists!$I:$I))</f>
        <v/>
      </c>
    </row>
    <row r="1132" spans="3:19" x14ac:dyDescent="0.2">
      <c r="C1132" s="26">
        <f>_xlfn.XLOOKUP(B1132,Lists!B:B,Lists!A:A,"")</f>
        <v>0</v>
      </c>
      <c r="G1132" s="26" t="str">
        <f t="shared" si="91"/>
        <v/>
      </c>
      <c r="H1132" s="31" t="str">
        <f t="shared" si="92"/>
        <v/>
      </c>
      <c r="J1132" s="27" t="str">
        <f>IF(I1132="","",_xlfn.XLOOKUP(I1132,Lists!$C:$C,Lists!$D:$D))</f>
        <v/>
      </c>
      <c r="N1132" s="26" t="str">
        <f t="shared" si="93"/>
        <v/>
      </c>
      <c r="O1132" s="27" t="str">
        <f>IF(I1132="","",_xlfn.XLOOKUP(I1132,Lists!$C:$C,Lists!$J:$J))</f>
        <v/>
      </c>
      <c r="P1132" s="27" t="str">
        <f>IF(I1132="","",_xlfn.XLOOKUP(I1132,Lists!$C:$C,Lists!$E:$E))</f>
        <v/>
      </c>
      <c r="Q1132" s="28" t="str">
        <f t="shared" si="94"/>
        <v/>
      </c>
      <c r="R1132" s="26" t="str">
        <f t="shared" ca="1" si="95"/>
        <v/>
      </c>
      <c r="S1132" s="27" t="str">
        <f>IF(I1132="","",_xlfn.XLOOKUP(I1132,Lists!$C:$C,Lists!$I:$I))</f>
        <v/>
      </c>
    </row>
    <row r="1133" spans="3:19" x14ac:dyDescent="0.2">
      <c r="C1133" s="26">
        <f>_xlfn.XLOOKUP(B1133,Lists!B:B,Lists!A:A,"")</f>
        <v>0</v>
      </c>
      <c r="G1133" s="26" t="str">
        <f t="shared" si="91"/>
        <v/>
      </c>
      <c r="H1133" s="31" t="str">
        <f t="shared" si="92"/>
        <v/>
      </c>
      <c r="J1133" s="27" t="str">
        <f>IF(I1133="","",_xlfn.XLOOKUP(I1133,Lists!$C:$C,Lists!$D:$D))</f>
        <v/>
      </c>
      <c r="N1133" s="26" t="str">
        <f t="shared" si="93"/>
        <v/>
      </c>
      <c r="O1133" s="27" t="str">
        <f>IF(I1133="","",_xlfn.XLOOKUP(I1133,Lists!$C:$C,Lists!$J:$J))</f>
        <v/>
      </c>
      <c r="P1133" s="27" t="str">
        <f>IF(I1133="","",_xlfn.XLOOKUP(I1133,Lists!$C:$C,Lists!$E:$E))</f>
        <v/>
      </c>
      <c r="Q1133" s="28" t="str">
        <f t="shared" si="94"/>
        <v/>
      </c>
      <c r="R1133" s="26" t="str">
        <f t="shared" ca="1" si="95"/>
        <v/>
      </c>
      <c r="S1133" s="27" t="str">
        <f>IF(I1133="","",_xlfn.XLOOKUP(I1133,Lists!$C:$C,Lists!$I:$I))</f>
        <v/>
      </c>
    </row>
    <row r="1134" spans="3:19" x14ac:dyDescent="0.2">
      <c r="C1134" s="26">
        <f>_xlfn.XLOOKUP(B1134,Lists!B:B,Lists!A:A,"")</f>
        <v>0</v>
      </c>
      <c r="G1134" s="26" t="str">
        <f t="shared" si="91"/>
        <v/>
      </c>
      <c r="H1134" s="31" t="str">
        <f t="shared" si="92"/>
        <v/>
      </c>
      <c r="J1134" s="27" t="str">
        <f>IF(I1134="","",_xlfn.XLOOKUP(I1134,Lists!$C:$C,Lists!$D:$D))</f>
        <v/>
      </c>
      <c r="N1134" s="26" t="str">
        <f t="shared" si="93"/>
        <v/>
      </c>
      <c r="O1134" s="27" t="str">
        <f>IF(I1134="","",_xlfn.XLOOKUP(I1134,Lists!$C:$C,Lists!$J:$J))</f>
        <v/>
      </c>
      <c r="P1134" s="27" t="str">
        <f>IF(I1134="","",_xlfn.XLOOKUP(I1134,Lists!$C:$C,Lists!$E:$E))</f>
        <v/>
      </c>
      <c r="Q1134" s="28" t="str">
        <f t="shared" si="94"/>
        <v/>
      </c>
      <c r="R1134" s="26" t="str">
        <f t="shared" ca="1" si="95"/>
        <v/>
      </c>
      <c r="S1134" s="27" t="str">
        <f>IF(I1134="","",_xlfn.XLOOKUP(I1134,Lists!$C:$C,Lists!$I:$I))</f>
        <v/>
      </c>
    </row>
    <row r="1135" spans="3:19" x14ac:dyDescent="0.2">
      <c r="C1135" s="26">
        <f>_xlfn.XLOOKUP(B1135,Lists!B:B,Lists!A:A,"")</f>
        <v>0</v>
      </c>
      <c r="G1135" s="26" t="str">
        <f t="shared" si="91"/>
        <v/>
      </c>
      <c r="H1135" s="31" t="str">
        <f t="shared" si="92"/>
        <v/>
      </c>
      <c r="J1135" s="27" t="str">
        <f>IF(I1135="","",_xlfn.XLOOKUP(I1135,Lists!$C:$C,Lists!$D:$D))</f>
        <v/>
      </c>
      <c r="N1135" s="26" t="str">
        <f t="shared" si="93"/>
        <v/>
      </c>
      <c r="O1135" s="27" t="str">
        <f>IF(I1135="","",_xlfn.XLOOKUP(I1135,Lists!$C:$C,Lists!$J:$J))</f>
        <v/>
      </c>
      <c r="P1135" s="27" t="str">
        <f>IF(I1135="","",_xlfn.XLOOKUP(I1135,Lists!$C:$C,Lists!$E:$E))</f>
        <v/>
      </c>
      <c r="Q1135" s="28" t="str">
        <f t="shared" si="94"/>
        <v/>
      </c>
      <c r="R1135" s="26" t="str">
        <f t="shared" ca="1" si="95"/>
        <v/>
      </c>
      <c r="S1135" s="27" t="str">
        <f>IF(I1135="","",_xlfn.XLOOKUP(I1135,Lists!$C:$C,Lists!$I:$I))</f>
        <v/>
      </c>
    </row>
    <row r="1136" spans="3:19" x14ac:dyDescent="0.2">
      <c r="C1136" s="26">
        <f>_xlfn.XLOOKUP(B1136,Lists!B:B,Lists!A:A,"")</f>
        <v>0</v>
      </c>
      <c r="G1136" s="26" t="str">
        <f t="shared" si="91"/>
        <v/>
      </c>
      <c r="H1136" s="31" t="str">
        <f t="shared" si="92"/>
        <v/>
      </c>
      <c r="J1136" s="27" t="str">
        <f>IF(I1136="","",_xlfn.XLOOKUP(I1136,Lists!$C:$C,Lists!$D:$D))</f>
        <v/>
      </c>
      <c r="N1136" s="26" t="str">
        <f t="shared" si="93"/>
        <v/>
      </c>
      <c r="O1136" s="27" t="str">
        <f>IF(I1136="","",_xlfn.XLOOKUP(I1136,Lists!$C:$C,Lists!$J:$J))</f>
        <v/>
      </c>
      <c r="P1136" s="27" t="str">
        <f>IF(I1136="","",_xlfn.XLOOKUP(I1136,Lists!$C:$C,Lists!$E:$E))</f>
        <v/>
      </c>
      <c r="Q1136" s="28" t="str">
        <f t="shared" si="94"/>
        <v/>
      </c>
      <c r="R1136" s="26" t="str">
        <f t="shared" ca="1" si="95"/>
        <v/>
      </c>
      <c r="S1136" s="27" t="str">
        <f>IF(I1136="","",_xlfn.XLOOKUP(I1136,Lists!$C:$C,Lists!$I:$I))</f>
        <v/>
      </c>
    </row>
    <row r="1137" spans="3:19" x14ac:dyDescent="0.2">
      <c r="C1137" s="26">
        <f>_xlfn.XLOOKUP(B1137,Lists!B:B,Lists!A:A,"")</f>
        <v>0</v>
      </c>
      <c r="G1137" s="26" t="str">
        <f t="shared" si="91"/>
        <v/>
      </c>
      <c r="H1137" s="31" t="str">
        <f t="shared" si="92"/>
        <v/>
      </c>
      <c r="J1137" s="27" t="str">
        <f>IF(I1137="","",_xlfn.XLOOKUP(I1137,Lists!$C:$C,Lists!$D:$D))</f>
        <v/>
      </c>
      <c r="N1137" s="26" t="str">
        <f t="shared" si="93"/>
        <v/>
      </c>
      <c r="O1137" s="27" t="str">
        <f>IF(I1137="","",_xlfn.XLOOKUP(I1137,Lists!$C:$C,Lists!$J:$J))</f>
        <v/>
      </c>
      <c r="P1137" s="27" t="str">
        <f>IF(I1137="","",_xlfn.XLOOKUP(I1137,Lists!$C:$C,Lists!$E:$E))</f>
        <v/>
      </c>
      <c r="Q1137" s="28" t="str">
        <f t="shared" si="94"/>
        <v/>
      </c>
      <c r="R1137" s="26" t="str">
        <f t="shared" ca="1" si="95"/>
        <v/>
      </c>
      <c r="S1137" s="27" t="str">
        <f>IF(I1137="","",_xlfn.XLOOKUP(I1137,Lists!$C:$C,Lists!$I:$I))</f>
        <v/>
      </c>
    </row>
    <row r="1138" spans="3:19" x14ac:dyDescent="0.2">
      <c r="C1138" s="26">
        <f>_xlfn.XLOOKUP(B1138,Lists!B:B,Lists!A:A,"")</f>
        <v>0</v>
      </c>
      <c r="G1138" s="26" t="str">
        <f t="shared" si="91"/>
        <v/>
      </c>
      <c r="H1138" s="31" t="str">
        <f t="shared" si="92"/>
        <v/>
      </c>
      <c r="J1138" s="27" t="str">
        <f>IF(I1138="","",_xlfn.XLOOKUP(I1138,Lists!$C:$C,Lists!$D:$D))</f>
        <v/>
      </c>
      <c r="N1138" s="26" t="str">
        <f t="shared" si="93"/>
        <v/>
      </c>
      <c r="O1138" s="27" t="str">
        <f>IF(I1138="","",_xlfn.XLOOKUP(I1138,Lists!$C:$C,Lists!$J:$J))</f>
        <v/>
      </c>
      <c r="P1138" s="27" t="str">
        <f>IF(I1138="","",_xlfn.XLOOKUP(I1138,Lists!$C:$C,Lists!$E:$E))</f>
        <v/>
      </c>
      <c r="Q1138" s="28" t="str">
        <f t="shared" si="94"/>
        <v/>
      </c>
      <c r="R1138" s="26" t="str">
        <f t="shared" ca="1" si="95"/>
        <v/>
      </c>
      <c r="S1138" s="27" t="str">
        <f>IF(I1138="","",_xlfn.XLOOKUP(I1138,Lists!$C:$C,Lists!$I:$I))</f>
        <v/>
      </c>
    </row>
    <row r="1139" spans="3:19" x14ac:dyDescent="0.2">
      <c r="C1139" s="26">
        <f>_xlfn.XLOOKUP(B1139,Lists!B:B,Lists!A:A,"")</f>
        <v>0</v>
      </c>
      <c r="G1139" s="26" t="str">
        <f t="shared" si="91"/>
        <v/>
      </c>
      <c r="H1139" s="31" t="str">
        <f t="shared" si="92"/>
        <v/>
      </c>
      <c r="J1139" s="27" t="str">
        <f>IF(I1139="","",_xlfn.XLOOKUP(I1139,Lists!$C:$C,Lists!$D:$D))</f>
        <v/>
      </c>
      <c r="N1139" s="26" t="str">
        <f t="shared" si="93"/>
        <v/>
      </c>
      <c r="O1139" s="27" t="str">
        <f>IF(I1139="","",_xlfn.XLOOKUP(I1139,Lists!$C:$C,Lists!$J:$J))</f>
        <v/>
      </c>
      <c r="P1139" s="27" t="str">
        <f>IF(I1139="","",_xlfn.XLOOKUP(I1139,Lists!$C:$C,Lists!$E:$E))</f>
        <v/>
      </c>
      <c r="Q1139" s="28" t="str">
        <f t="shared" si="94"/>
        <v/>
      </c>
      <c r="R1139" s="26" t="str">
        <f t="shared" ca="1" si="95"/>
        <v/>
      </c>
      <c r="S1139" s="27" t="str">
        <f>IF(I1139="","",_xlfn.XLOOKUP(I1139,Lists!$C:$C,Lists!$I:$I))</f>
        <v/>
      </c>
    </row>
    <row r="1140" spans="3:19" x14ac:dyDescent="0.2">
      <c r="C1140" s="26">
        <f>_xlfn.XLOOKUP(B1140,Lists!B:B,Lists!A:A,"")</f>
        <v>0</v>
      </c>
      <c r="G1140" s="26" t="str">
        <f t="shared" si="91"/>
        <v/>
      </c>
      <c r="H1140" s="31" t="str">
        <f t="shared" si="92"/>
        <v/>
      </c>
      <c r="J1140" s="27" t="str">
        <f>IF(I1140="","",_xlfn.XLOOKUP(I1140,Lists!$C:$C,Lists!$D:$D))</f>
        <v/>
      </c>
      <c r="N1140" s="26" t="str">
        <f t="shared" si="93"/>
        <v/>
      </c>
      <c r="O1140" s="27" t="str">
        <f>IF(I1140="","",_xlfn.XLOOKUP(I1140,Lists!$C:$C,Lists!$J:$J))</f>
        <v/>
      </c>
      <c r="P1140" s="27" t="str">
        <f>IF(I1140="","",_xlfn.XLOOKUP(I1140,Lists!$C:$C,Lists!$E:$E))</f>
        <v/>
      </c>
      <c r="Q1140" s="28" t="str">
        <f t="shared" si="94"/>
        <v/>
      </c>
      <c r="R1140" s="26" t="str">
        <f t="shared" ca="1" si="95"/>
        <v/>
      </c>
      <c r="S1140" s="27" t="str">
        <f>IF(I1140="","",_xlfn.XLOOKUP(I1140,Lists!$C:$C,Lists!$I:$I))</f>
        <v/>
      </c>
    </row>
    <row r="1141" spans="3:19" x14ac:dyDescent="0.2">
      <c r="C1141" s="26">
        <f>_xlfn.XLOOKUP(B1141,Lists!B:B,Lists!A:A,"")</f>
        <v>0</v>
      </c>
      <c r="G1141" s="26" t="str">
        <f t="shared" si="91"/>
        <v/>
      </c>
      <c r="H1141" s="31" t="str">
        <f t="shared" si="92"/>
        <v/>
      </c>
      <c r="J1141" s="27" t="str">
        <f>IF(I1141="","",_xlfn.XLOOKUP(I1141,Lists!$C:$C,Lists!$D:$D))</f>
        <v/>
      </c>
      <c r="N1141" s="26" t="str">
        <f t="shared" si="93"/>
        <v/>
      </c>
      <c r="O1141" s="27" t="str">
        <f>IF(I1141="","",_xlfn.XLOOKUP(I1141,Lists!$C:$C,Lists!$J:$J))</f>
        <v/>
      </c>
      <c r="P1141" s="27" t="str">
        <f>IF(I1141="","",_xlfn.XLOOKUP(I1141,Lists!$C:$C,Lists!$E:$E))</f>
        <v/>
      </c>
      <c r="Q1141" s="28" t="str">
        <f t="shared" si="94"/>
        <v/>
      </c>
      <c r="R1141" s="26" t="str">
        <f t="shared" ca="1" si="95"/>
        <v/>
      </c>
      <c r="S1141" s="27" t="str">
        <f>IF(I1141="","",_xlfn.XLOOKUP(I1141,Lists!$C:$C,Lists!$I:$I))</f>
        <v/>
      </c>
    </row>
    <row r="1142" spans="3:19" x14ac:dyDescent="0.2">
      <c r="C1142" s="26">
        <f>_xlfn.XLOOKUP(B1142,Lists!B:B,Lists!A:A,"")</f>
        <v>0</v>
      </c>
      <c r="G1142" s="26" t="str">
        <f t="shared" si="91"/>
        <v/>
      </c>
      <c r="H1142" s="31" t="str">
        <f t="shared" si="92"/>
        <v/>
      </c>
      <c r="J1142" s="27" t="str">
        <f>IF(I1142="","",_xlfn.XLOOKUP(I1142,Lists!$C:$C,Lists!$D:$D))</f>
        <v/>
      </c>
      <c r="N1142" s="26" t="str">
        <f t="shared" si="93"/>
        <v/>
      </c>
      <c r="O1142" s="27" t="str">
        <f>IF(I1142="","",_xlfn.XLOOKUP(I1142,Lists!$C:$C,Lists!$J:$J))</f>
        <v/>
      </c>
      <c r="P1142" s="27" t="str">
        <f>IF(I1142="","",_xlfn.XLOOKUP(I1142,Lists!$C:$C,Lists!$E:$E))</f>
        <v/>
      </c>
      <c r="Q1142" s="28" t="str">
        <f t="shared" si="94"/>
        <v/>
      </c>
      <c r="R1142" s="26" t="str">
        <f t="shared" ca="1" si="95"/>
        <v/>
      </c>
      <c r="S1142" s="27" t="str">
        <f>IF(I1142="","",_xlfn.XLOOKUP(I1142,Lists!$C:$C,Lists!$I:$I))</f>
        <v/>
      </c>
    </row>
    <row r="1143" spans="3:19" x14ac:dyDescent="0.2">
      <c r="C1143" s="26">
        <f>_xlfn.XLOOKUP(B1143,Lists!B:B,Lists!A:A,"")</f>
        <v>0</v>
      </c>
      <c r="G1143" s="26" t="str">
        <f t="shared" si="91"/>
        <v/>
      </c>
      <c r="H1143" s="31" t="str">
        <f t="shared" si="92"/>
        <v/>
      </c>
      <c r="J1143" s="27" t="str">
        <f>IF(I1143="","",_xlfn.XLOOKUP(I1143,Lists!$C:$C,Lists!$D:$D))</f>
        <v/>
      </c>
      <c r="N1143" s="26" t="str">
        <f t="shared" si="93"/>
        <v/>
      </c>
      <c r="O1143" s="27" t="str">
        <f>IF(I1143="","",_xlfn.XLOOKUP(I1143,Lists!$C:$C,Lists!$J:$J))</f>
        <v/>
      </c>
      <c r="P1143" s="27" t="str">
        <f>IF(I1143="","",_xlfn.XLOOKUP(I1143,Lists!$C:$C,Lists!$E:$E))</f>
        <v/>
      </c>
      <c r="Q1143" s="28" t="str">
        <f t="shared" si="94"/>
        <v/>
      </c>
      <c r="R1143" s="26" t="str">
        <f t="shared" ca="1" si="95"/>
        <v/>
      </c>
      <c r="S1143" s="27" t="str">
        <f>IF(I1143="","",_xlfn.XLOOKUP(I1143,Lists!$C:$C,Lists!$I:$I))</f>
        <v/>
      </c>
    </row>
    <row r="1144" spans="3:19" x14ac:dyDescent="0.2">
      <c r="C1144" s="26">
        <f>_xlfn.XLOOKUP(B1144,Lists!B:B,Lists!A:A,"")</f>
        <v>0</v>
      </c>
      <c r="G1144" s="26" t="str">
        <f t="shared" si="91"/>
        <v/>
      </c>
      <c r="H1144" s="31" t="str">
        <f t="shared" si="92"/>
        <v/>
      </c>
      <c r="J1144" s="27" t="str">
        <f>IF(I1144="","",_xlfn.XLOOKUP(I1144,Lists!$C:$C,Lists!$D:$D))</f>
        <v/>
      </c>
      <c r="N1144" s="26" t="str">
        <f t="shared" si="93"/>
        <v/>
      </c>
      <c r="O1144" s="27" t="str">
        <f>IF(I1144="","",_xlfn.XLOOKUP(I1144,Lists!$C:$C,Lists!$J:$J))</f>
        <v/>
      </c>
      <c r="P1144" s="27" t="str">
        <f>IF(I1144="","",_xlfn.XLOOKUP(I1144,Lists!$C:$C,Lists!$E:$E))</f>
        <v/>
      </c>
      <c r="Q1144" s="28" t="str">
        <f t="shared" si="94"/>
        <v/>
      </c>
      <c r="R1144" s="26" t="str">
        <f t="shared" ca="1" si="95"/>
        <v/>
      </c>
      <c r="S1144" s="27" t="str">
        <f>IF(I1144="","",_xlfn.XLOOKUP(I1144,Lists!$C:$C,Lists!$I:$I))</f>
        <v/>
      </c>
    </row>
    <row r="1145" spans="3:19" x14ac:dyDescent="0.2">
      <c r="C1145" s="26">
        <f>_xlfn.XLOOKUP(B1145,Lists!B:B,Lists!A:A,"")</f>
        <v>0</v>
      </c>
      <c r="G1145" s="26" t="str">
        <f t="shared" si="91"/>
        <v/>
      </c>
      <c r="H1145" s="31" t="str">
        <f t="shared" si="92"/>
        <v/>
      </c>
      <c r="J1145" s="27" t="str">
        <f>IF(I1145="","",_xlfn.XLOOKUP(I1145,Lists!$C:$C,Lists!$D:$D))</f>
        <v/>
      </c>
      <c r="N1145" s="26" t="str">
        <f t="shared" si="93"/>
        <v/>
      </c>
      <c r="O1145" s="27" t="str">
        <f>IF(I1145="","",_xlfn.XLOOKUP(I1145,Lists!$C:$C,Lists!$J:$J))</f>
        <v/>
      </c>
      <c r="P1145" s="27" t="str">
        <f>IF(I1145="","",_xlfn.XLOOKUP(I1145,Lists!$C:$C,Lists!$E:$E))</f>
        <v/>
      </c>
      <c r="Q1145" s="28" t="str">
        <f t="shared" si="94"/>
        <v/>
      </c>
      <c r="R1145" s="26" t="str">
        <f t="shared" ca="1" si="95"/>
        <v/>
      </c>
      <c r="S1145" s="27" t="str">
        <f>IF(I1145="","",_xlfn.XLOOKUP(I1145,Lists!$C:$C,Lists!$I:$I))</f>
        <v/>
      </c>
    </row>
    <row r="1146" spans="3:19" x14ac:dyDescent="0.2">
      <c r="C1146" s="26">
        <f>_xlfn.XLOOKUP(B1146,Lists!B:B,Lists!A:A,"")</f>
        <v>0</v>
      </c>
      <c r="G1146" s="26" t="str">
        <f t="shared" si="91"/>
        <v/>
      </c>
      <c r="H1146" s="31" t="str">
        <f t="shared" si="92"/>
        <v/>
      </c>
      <c r="J1146" s="27" t="str">
        <f>IF(I1146="","",_xlfn.XLOOKUP(I1146,Lists!$C:$C,Lists!$D:$D))</f>
        <v/>
      </c>
      <c r="N1146" s="26" t="str">
        <f t="shared" si="93"/>
        <v/>
      </c>
      <c r="O1146" s="27" t="str">
        <f>IF(I1146="","",_xlfn.XLOOKUP(I1146,Lists!$C:$C,Lists!$J:$J))</f>
        <v/>
      </c>
      <c r="P1146" s="27" t="str">
        <f>IF(I1146="","",_xlfn.XLOOKUP(I1146,Lists!$C:$C,Lists!$E:$E))</f>
        <v/>
      </c>
      <c r="Q1146" s="28" t="str">
        <f t="shared" si="94"/>
        <v/>
      </c>
      <c r="R1146" s="26" t="str">
        <f t="shared" ca="1" si="95"/>
        <v/>
      </c>
      <c r="S1146" s="27" t="str">
        <f>IF(I1146="","",_xlfn.XLOOKUP(I1146,Lists!$C:$C,Lists!$I:$I))</f>
        <v/>
      </c>
    </row>
    <row r="1147" spans="3:19" x14ac:dyDescent="0.2">
      <c r="C1147" s="26">
        <f>_xlfn.XLOOKUP(B1147,Lists!B:B,Lists!A:A,"")</f>
        <v>0</v>
      </c>
      <c r="G1147" s="26" t="str">
        <f t="shared" si="91"/>
        <v/>
      </c>
      <c r="H1147" s="31" t="str">
        <f t="shared" si="92"/>
        <v/>
      </c>
      <c r="J1147" s="27" t="str">
        <f>IF(I1147="","",_xlfn.XLOOKUP(I1147,Lists!$C:$C,Lists!$D:$D))</f>
        <v/>
      </c>
      <c r="N1147" s="26" t="str">
        <f t="shared" si="93"/>
        <v/>
      </c>
      <c r="O1147" s="27" t="str">
        <f>IF(I1147="","",_xlfn.XLOOKUP(I1147,Lists!$C:$C,Lists!$J:$J))</f>
        <v/>
      </c>
      <c r="P1147" s="27" t="str">
        <f>IF(I1147="","",_xlfn.XLOOKUP(I1147,Lists!$C:$C,Lists!$E:$E))</f>
        <v/>
      </c>
      <c r="Q1147" s="28" t="str">
        <f t="shared" si="94"/>
        <v/>
      </c>
      <c r="R1147" s="26" t="str">
        <f t="shared" ca="1" si="95"/>
        <v/>
      </c>
      <c r="S1147" s="27" t="str">
        <f>IF(I1147="","",_xlfn.XLOOKUP(I1147,Lists!$C:$C,Lists!$I:$I))</f>
        <v/>
      </c>
    </row>
    <row r="1148" spans="3:19" x14ac:dyDescent="0.2">
      <c r="C1148" s="26">
        <f>_xlfn.XLOOKUP(B1148,Lists!B:B,Lists!A:A,"")</f>
        <v>0</v>
      </c>
      <c r="G1148" s="26" t="str">
        <f t="shared" si="91"/>
        <v/>
      </c>
      <c r="H1148" s="31" t="str">
        <f t="shared" si="92"/>
        <v/>
      </c>
      <c r="J1148" s="27" t="str">
        <f>IF(I1148="","",_xlfn.XLOOKUP(I1148,Lists!$C:$C,Lists!$D:$D))</f>
        <v/>
      </c>
      <c r="N1148" s="26" t="str">
        <f t="shared" si="93"/>
        <v/>
      </c>
      <c r="O1148" s="27" t="str">
        <f>IF(I1148="","",_xlfn.XLOOKUP(I1148,Lists!$C:$C,Lists!$J:$J))</f>
        <v/>
      </c>
      <c r="P1148" s="27" t="str">
        <f>IF(I1148="","",_xlfn.XLOOKUP(I1148,Lists!$C:$C,Lists!$E:$E))</f>
        <v/>
      </c>
      <c r="Q1148" s="28" t="str">
        <f t="shared" si="94"/>
        <v/>
      </c>
      <c r="R1148" s="26" t="str">
        <f t="shared" ca="1" si="95"/>
        <v/>
      </c>
      <c r="S1148" s="27" t="str">
        <f>IF(I1148="","",_xlfn.XLOOKUP(I1148,Lists!$C:$C,Lists!$I:$I))</f>
        <v/>
      </c>
    </row>
    <row r="1149" spans="3:19" x14ac:dyDescent="0.2">
      <c r="C1149" s="26">
        <f>_xlfn.XLOOKUP(B1149,Lists!B:B,Lists!A:A,"")</f>
        <v>0</v>
      </c>
      <c r="G1149" s="26" t="str">
        <f t="shared" si="91"/>
        <v/>
      </c>
      <c r="H1149" s="31" t="str">
        <f t="shared" si="92"/>
        <v/>
      </c>
      <c r="J1149" s="27" t="str">
        <f>IF(I1149="","",_xlfn.XLOOKUP(I1149,Lists!$C:$C,Lists!$D:$D))</f>
        <v/>
      </c>
      <c r="N1149" s="26" t="str">
        <f t="shared" si="93"/>
        <v/>
      </c>
      <c r="O1149" s="27" t="str">
        <f>IF(I1149="","",_xlfn.XLOOKUP(I1149,Lists!$C:$C,Lists!$J:$J))</f>
        <v/>
      </c>
      <c r="P1149" s="27" t="str">
        <f>IF(I1149="","",_xlfn.XLOOKUP(I1149,Lists!$C:$C,Lists!$E:$E))</f>
        <v/>
      </c>
      <c r="Q1149" s="28" t="str">
        <f t="shared" si="94"/>
        <v/>
      </c>
      <c r="R1149" s="26" t="str">
        <f t="shared" ca="1" si="95"/>
        <v/>
      </c>
      <c r="S1149" s="27" t="str">
        <f>IF(I1149="","",_xlfn.XLOOKUP(I1149,Lists!$C:$C,Lists!$I:$I))</f>
        <v/>
      </c>
    </row>
    <row r="1150" spans="3:19" x14ac:dyDescent="0.2">
      <c r="C1150" s="26">
        <f>_xlfn.XLOOKUP(B1150,Lists!B:B,Lists!A:A,"")</f>
        <v>0</v>
      </c>
      <c r="G1150" s="26" t="str">
        <f t="shared" si="91"/>
        <v/>
      </c>
      <c r="H1150" s="31" t="str">
        <f t="shared" si="92"/>
        <v/>
      </c>
      <c r="J1150" s="27" t="str">
        <f>IF(I1150="","",_xlfn.XLOOKUP(I1150,Lists!$C:$C,Lists!$D:$D))</f>
        <v/>
      </c>
      <c r="N1150" s="26" t="str">
        <f t="shared" si="93"/>
        <v/>
      </c>
      <c r="O1150" s="27" t="str">
        <f>IF(I1150="","",_xlfn.XLOOKUP(I1150,Lists!$C:$C,Lists!$J:$J))</f>
        <v/>
      </c>
      <c r="P1150" s="27" t="str">
        <f>IF(I1150="","",_xlfn.XLOOKUP(I1150,Lists!$C:$C,Lists!$E:$E))</f>
        <v/>
      </c>
      <c r="Q1150" s="28" t="str">
        <f t="shared" si="94"/>
        <v/>
      </c>
      <c r="R1150" s="26" t="str">
        <f t="shared" ca="1" si="95"/>
        <v/>
      </c>
      <c r="S1150" s="27" t="str">
        <f>IF(I1150="","",_xlfn.XLOOKUP(I1150,Lists!$C:$C,Lists!$I:$I))</f>
        <v/>
      </c>
    </row>
    <row r="1151" spans="3:19" x14ac:dyDescent="0.2">
      <c r="C1151" s="26">
        <f>_xlfn.XLOOKUP(B1151,Lists!B:B,Lists!A:A,"")</f>
        <v>0</v>
      </c>
      <c r="G1151" s="26" t="str">
        <f t="shared" si="91"/>
        <v/>
      </c>
      <c r="H1151" s="31" t="str">
        <f t="shared" si="92"/>
        <v/>
      </c>
      <c r="J1151" s="27" t="str">
        <f>IF(I1151="","",_xlfn.XLOOKUP(I1151,Lists!$C:$C,Lists!$D:$D))</f>
        <v/>
      </c>
      <c r="N1151" s="26" t="str">
        <f t="shared" si="93"/>
        <v/>
      </c>
      <c r="O1151" s="27" t="str">
        <f>IF(I1151="","",_xlfn.XLOOKUP(I1151,Lists!$C:$C,Lists!$J:$J))</f>
        <v/>
      </c>
      <c r="P1151" s="27" t="str">
        <f>IF(I1151="","",_xlfn.XLOOKUP(I1151,Lists!$C:$C,Lists!$E:$E))</f>
        <v/>
      </c>
      <c r="Q1151" s="28" t="str">
        <f t="shared" si="94"/>
        <v/>
      </c>
      <c r="R1151" s="26" t="str">
        <f t="shared" ca="1" si="95"/>
        <v/>
      </c>
      <c r="S1151" s="27" t="str">
        <f>IF(I1151="","",_xlfn.XLOOKUP(I1151,Lists!$C:$C,Lists!$I:$I))</f>
        <v/>
      </c>
    </row>
    <row r="1152" spans="3:19" x14ac:dyDescent="0.2">
      <c r="C1152" s="26">
        <f>_xlfn.XLOOKUP(B1152,Lists!B:B,Lists!A:A,"")</f>
        <v>0</v>
      </c>
      <c r="G1152" s="26" t="str">
        <f t="shared" si="91"/>
        <v/>
      </c>
      <c r="H1152" s="31" t="str">
        <f t="shared" si="92"/>
        <v/>
      </c>
      <c r="J1152" s="27" t="str">
        <f>IF(I1152="","",_xlfn.XLOOKUP(I1152,Lists!$C:$C,Lists!$D:$D))</f>
        <v/>
      </c>
      <c r="N1152" s="26" t="str">
        <f t="shared" si="93"/>
        <v/>
      </c>
      <c r="O1152" s="27" t="str">
        <f>IF(I1152="","",_xlfn.XLOOKUP(I1152,Lists!$C:$C,Lists!$J:$J))</f>
        <v/>
      </c>
      <c r="P1152" s="27" t="str">
        <f>IF(I1152="","",_xlfn.XLOOKUP(I1152,Lists!$C:$C,Lists!$E:$E))</f>
        <v/>
      </c>
      <c r="Q1152" s="28" t="str">
        <f t="shared" si="94"/>
        <v/>
      </c>
      <c r="R1152" s="26" t="str">
        <f t="shared" ca="1" si="95"/>
        <v/>
      </c>
      <c r="S1152" s="27" t="str">
        <f>IF(I1152="","",_xlfn.XLOOKUP(I1152,Lists!$C:$C,Lists!$I:$I))</f>
        <v/>
      </c>
    </row>
    <row r="1153" spans="3:19" x14ac:dyDescent="0.2">
      <c r="C1153" s="26">
        <f>_xlfn.XLOOKUP(B1153,Lists!B:B,Lists!A:A,"")</f>
        <v>0</v>
      </c>
      <c r="G1153" s="26" t="str">
        <f t="shared" si="91"/>
        <v/>
      </c>
      <c r="H1153" s="31" t="str">
        <f t="shared" si="92"/>
        <v/>
      </c>
      <c r="J1153" s="27" t="str">
        <f>IF(I1153="","",_xlfn.XLOOKUP(I1153,Lists!$C:$C,Lists!$D:$D))</f>
        <v/>
      </c>
      <c r="N1153" s="26" t="str">
        <f t="shared" si="93"/>
        <v/>
      </c>
      <c r="O1153" s="27" t="str">
        <f>IF(I1153="","",_xlfn.XLOOKUP(I1153,Lists!$C:$C,Lists!$J:$J))</f>
        <v/>
      </c>
      <c r="P1153" s="27" t="str">
        <f>IF(I1153="","",_xlfn.XLOOKUP(I1153,Lists!$C:$C,Lists!$E:$E))</f>
        <v/>
      </c>
      <c r="Q1153" s="28" t="str">
        <f t="shared" si="94"/>
        <v/>
      </c>
      <c r="R1153" s="26" t="str">
        <f t="shared" ca="1" si="95"/>
        <v/>
      </c>
      <c r="S1153" s="27" t="str">
        <f>IF(I1153="","",_xlfn.XLOOKUP(I1153,Lists!$C:$C,Lists!$I:$I))</f>
        <v/>
      </c>
    </row>
    <row r="1154" spans="3:19" x14ac:dyDescent="0.2">
      <c r="C1154" s="26">
        <f>_xlfn.XLOOKUP(B1154,Lists!B:B,Lists!A:A,"")</f>
        <v>0</v>
      </c>
      <c r="G1154" s="26" t="str">
        <f t="shared" si="91"/>
        <v/>
      </c>
      <c r="H1154" s="31" t="str">
        <f t="shared" si="92"/>
        <v/>
      </c>
      <c r="J1154" s="27" t="str">
        <f>IF(I1154="","",_xlfn.XLOOKUP(I1154,Lists!$C:$C,Lists!$D:$D))</f>
        <v/>
      </c>
      <c r="N1154" s="26" t="str">
        <f t="shared" si="93"/>
        <v/>
      </c>
      <c r="O1154" s="27" t="str">
        <f>IF(I1154="","",_xlfn.XLOOKUP(I1154,Lists!$C:$C,Lists!$J:$J))</f>
        <v/>
      </c>
      <c r="P1154" s="27" t="str">
        <f>IF(I1154="","",_xlfn.XLOOKUP(I1154,Lists!$C:$C,Lists!$E:$E))</f>
        <v/>
      </c>
      <c r="Q1154" s="28" t="str">
        <f t="shared" si="94"/>
        <v/>
      </c>
      <c r="R1154" s="26" t="str">
        <f t="shared" ca="1" si="95"/>
        <v/>
      </c>
      <c r="S1154" s="27" t="str">
        <f>IF(I1154="","",_xlfn.XLOOKUP(I1154,Lists!$C:$C,Lists!$I:$I))</f>
        <v/>
      </c>
    </row>
    <row r="1155" spans="3:19" x14ac:dyDescent="0.2">
      <c r="C1155" s="26">
        <f>_xlfn.XLOOKUP(B1155,Lists!B:B,Lists!A:A,"")</f>
        <v>0</v>
      </c>
      <c r="G1155" s="26" t="str">
        <f t="shared" ref="G1155:G1186" si="96">IF(OR(E1155="",F1155=""),"",F1155-E1155+1)</f>
        <v/>
      </c>
      <c r="H1155" s="31" t="str">
        <f t="shared" ref="H1155:H1186" si="97">IF(D1155="","",IF(OR(D1155="A",D1155="B"),G1155/80,IF(D1155="A&amp;B",G1155/160,"")))</f>
        <v/>
      </c>
      <c r="J1155" s="27" t="str">
        <f>IF(I1155="","",_xlfn.XLOOKUP(I1155,Lists!$C:$C,Lists!$D:$D))</f>
        <v/>
      </c>
      <c r="N1155" s="26" t="str">
        <f t="shared" ref="N1155:N1186" si="98">IF(OR(M1155="",L1155=""),"",(M1155*L1155)/100000)</f>
        <v/>
      </c>
      <c r="O1155" s="27" t="str">
        <f>IF(I1155="","",_xlfn.XLOOKUP(I1155,Lists!$C:$C,Lists!$J:$J))</f>
        <v/>
      </c>
      <c r="P1155" s="27" t="str">
        <f>IF(I1155="","",_xlfn.XLOOKUP(I1155,Lists!$C:$C,Lists!$E:$E))</f>
        <v/>
      </c>
      <c r="Q1155" s="28" t="str">
        <f t="shared" ref="Q1155:Q1186" si="99">IF(OR(A1155="",P1155=""),"",A1155+P1155+1)</f>
        <v/>
      </c>
      <c r="R1155" s="26" t="str">
        <f t="shared" ref="R1155:R1186" ca="1" si="100">IF(Q1155="","",IF(Q1155&lt;=TODAY(),"Allow","Not Allow"))</f>
        <v/>
      </c>
      <c r="S1155" s="27" t="str">
        <f>IF(I1155="","",_xlfn.XLOOKUP(I1155,Lists!$C:$C,Lists!$I:$I))</f>
        <v/>
      </c>
    </row>
    <row r="1156" spans="3:19" x14ac:dyDescent="0.2">
      <c r="C1156" s="26">
        <f>_xlfn.XLOOKUP(B1156,Lists!B:B,Lists!A:A,"")</f>
        <v>0</v>
      </c>
      <c r="G1156" s="26" t="str">
        <f t="shared" si="96"/>
        <v/>
      </c>
      <c r="H1156" s="31" t="str">
        <f t="shared" si="97"/>
        <v/>
      </c>
      <c r="J1156" s="27" t="str">
        <f>IF(I1156="","",_xlfn.XLOOKUP(I1156,Lists!$C:$C,Lists!$D:$D))</f>
        <v/>
      </c>
      <c r="N1156" s="26" t="str">
        <f t="shared" si="98"/>
        <v/>
      </c>
      <c r="O1156" s="27" t="str">
        <f>IF(I1156="","",_xlfn.XLOOKUP(I1156,Lists!$C:$C,Lists!$J:$J))</f>
        <v/>
      </c>
      <c r="P1156" s="27" t="str">
        <f>IF(I1156="","",_xlfn.XLOOKUP(I1156,Lists!$C:$C,Lists!$E:$E))</f>
        <v/>
      </c>
      <c r="Q1156" s="28" t="str">
        <f t="shared" si="99"/>
        <v/>
      </c>
      <c r="R1156" s="26" t="str">
        <f t="shared" ca="1" si="100"/>
        <v/>
      </c>
      <c r="S1156" s="27" t="str">
        <f>IF(I1156="","",_xlfn.XLOOKUP(I1156,Lists!$C:$C,Lists!$I:$I))</f>
        <v/>
      </c>
    </row>
    <row r="1157" spans="3:19" x14ac:dyDescent="0.2">
      <c r="C1157" s="26">
        <f>_xlfn.XLOOKUP(B1157,Lists!B:B,Lists!A:A,"")</f>
        <v>0</v>
      </c>
      <c r="G1157" s="26" t="str">
        <f t="shared" si="96"/>
        <v/>
      </c>
      <c r="H1157" s="31" t="str">
        <f t="shared" si="97"/>
        <v/>
      </c>
      <c r="J1157" s="27" t="str">
        <f>IF(I1157="","",_xlfn.XLOOKUP(I1157,Lists!$C:$C,Lists!$D:$D))</f>
        <v/>
      </c>
      <c r="N1157" s="26" t="str">
        <f t="shared" si="98"/>
        <v/>
      </c>
      <c r="O1157" s="27" t="str">
        <f>IF(I1157="","",_xlfn.XLOOKUP(I1157,Lists!$C:$C,Lists!$J:$J))</f>
        <v/>
      </c>
      <c r="P1157" s="27" t="str">
        <f>IF(I1157="","",_xlfn.XLOOKUP(I1157,Lists!$C:$C,Lists!$E:$E))</f>
        <v/>
      </c>
      <c r="Q1157" s="28" t="str">
        <f t="shared" si="99"/>
        <v/>
      </c>
      <c r="R1157" s="26" t="str">
        <f t="shared" ca="1" si="100"/>
        <v/>
      </c>
      <c r="S1157" s="27" t="str">
        <f>IF(I1157="","",_xlfn.XLOOKUP(I1157,Lists!$C:$C,Lists!$I:$I))</f>
        <v/>
      </c>
    </row>
    <row r="1158" spans="3:19" x14ac:dyDescent="0.2">
      <c r="C1158" s="26">
        <f>_xlfn.XLOOKUP(B1158,Lists!B:B,Lists!A:A,"")</f>
        <v>0</v>
      </c>
      <c r="G1158" s="26" t="str">
        <f t="shared" si="96"/>
        <v/>
      </c>
      <c r="H1158" s="31" t="str">
        <f t="shared" si="97"/>
        <v/>
      </c>
      <c r="J1158" s="27" t="str">
        <f>IF(I1158="","",_xlfn.XLOOKUP(I1158,Lists!$C:$C,Lists!$D:$D))</f>
        <v/>
      </c>
      <c r="N1158" s="26" t="str">
        <f t="shared" si="98"/>
        <v/>
      </c>
      <c r="O1158" s="27" t="str">
        <f>IF(I1158="","",_xlfn.XLOOKUP(I1158,Lists!$C:$C,Lists!$J:$J))</f>
        <v/>
      </c>
      <c r="P1158" s="27" t="str">
        <f>IF(I1158="","",_xlfn.XLOOKUP(I1158,Lists!$C:$C,Lists!$E:$E))</f>
        <v/>
      </c>
      <c r="Q1158" s="28" t="str">
        <f t="shared" si="99"/>
        <v/>
      </c>
      <c r="R1158" s="26" t="str">
        <f t="shared" ca="1" si="100"/>
        <v/>
      </c>
      <c r="S1158" s="27" t="str">
        <f>IF(I1158="","",_xlfn.XLOOKUP(I1158,Lists!$C:$C,Lists!$I:$I))</f>
        <v/>
      </c>
    </row>
    <row r="1159" spans="3:19" x14ac:dyDescent="0.2">
      <c r="C1159" s="26">
        <f>_xlfn.XLOOKUP(B1159,Lists!B:B,Lists!A:A,"")</f>
        <v>0</v>
      </c>
      <c r="G1159" s="26" t="str">
        <f t="shared" si="96"/>
        <v/>
      </c>
      <c r="H1159" s="31" t="str">
        <f t="shared" si="97"/>
        <v/>
      </c>
      <c r="J1159" s="27" t="str">
        <f>IF(I1159="","",_xlfn.XLOOKUP(I1159,Lists!$C:$C,Lists!$D:$D))</f>
        <v/>
      </c>
      <c r="N1159" s="26" t="str">
        <f t="shared" si="98"/>
        <v/>
      </c>
      <c r="O1159" s="27" t="str">
        <f>IF(I1159="","",_xlfn.XLOOKUP(I1159,Lists!$C:$C,Lists!$J:$J))</f>
        <v/>
      </c>
      <c r="P1159" s="27" t="str">
        <f>IF(I1159="","",_xlfn.XLOOKUP(I1159,Lists!$C:$C,Lists!$E:$E))</f>
        <v/>
      </c>
      <c r="Q1159" s="28" t="str">
        <f t="shared" si="99"/>
        <v/>
      </c>
      <c r="R1159" s="26" t="str">
        <f t="shared" ca="1" si="100"/>
        <v/>
      </c>
      <c r="S1159" s="27" t="str">
        <f>IF(I1159="","",_xlfn.XLOOKUP(I1159,Lists!$C:$C,Lists!$I:$I))</f>
        <v/>
      </c>
    </row>
    <row r="1160" spans="3:19" x14ac:dyDescent="0.2">
      <c r="C1160" s="26">
        <f>_xlfn.XLOOKUP(B1160,Lists!B:B,Lists!A:A,"")</f>
        <v>0</v>
      </c>
      <c r="G1160" s="26" t="str">
        <f t="shared" si="96"/>
        <v/>
      </c>
      <c r="H1160" s="31" t="str">
        <f t="shared" si="97"/>
        <v/>
      </c>
      <c r="J1160" s="27" t="str">
        <f>IF(I1160="","",_xlfn.XLOOKUP(I1160,Lists!$C:$C,Lists!$D:$D))</f>
        <v/>
      </c>
      <c r="N1160" s="26" t="str">
        <f t="shared" si="98"/>
        <v/>
      </c>
      <c r="O1160" s="27" t="str">
        <f>IF(I1160="","",_xlfn.XLOOKUP(I1160,Lists!$C:$C,Lists!$J:$J))</f>
        <v/>
      </c>
      <c r="P1160" s="27" t="str">
        <f>IF(I1160="","",_xlfn.XLOOKUP(I1160,Lists!$C:$C,Lists!$E:$E))</f>
        <v/>
      </c>
      <c r="Q1160" s="28" t="str">
        <f t="shared" si="99"/>
        <v/>
      </c>
      <c r="R1160" s="26" t="str">
        <f t="shared" ca="1" si="100"/>
        <v/>
      </c>
      <c r="S1160" s="27" t="str">
        <f>IF(I1160="","",_xlfn.XLOOKUP(I1160,Lists!$C:$C,Lists!$I:$I))</f>
        <v/>
      </c>
    </row>
    <row r="1161" spans="3:19" x14ac:dyDescent="0.2">
      <c r="C1161" s="26">
        <f>_xlfn.XLOOKUP(B1161,Lists!B:B,Lists!A:A,"")</f>
        <v>0</v>
      </c>
      <c r="G1161" s="26" t="str">
        <f t="shared" si="96"/>
        <v/>
      </c>
      <c r="H1161" s="31" t="str">
        <f t="shared" si="97"/>
        <v/>
      </c>
      <c r="J1161" s="27" t="str">
        <f>IF(I1161="","",_xlfn.XLOOKUP(I1161,Lists!$C:$C,Lists!$D:$D))</f>
        <v/>
      </c>
      <c r="N1161" s="26" t="str">
        <f t="shared" si="98"/>
        <v/>
      </c>
      <c r="O1161" s="27" t="str">
        <f>IF(I1161="","",_xlfn.XLOOKUP(I1161,Lists!$C:$C,Lists!$J:$J))</f>
        <v/>
      </c>
      <c r="P1161" s="27" t="str">
        <f>IF(I1161="","",_xlfn.XLOOKUP(I1161,Lists!$C:$C,Lists!$E:$E))</f>
        <v/>
      </c>
      <c r="Q1161" s="28" t="str">
        <f t="shared" si="99"/>
        <v/>
      </c>
      <c r="R1161" s="26" t="str">
        <f t="shared" ca="1" si="100"/>
        <v/>
      </c>
      <c r="S1161" s="27" t="str">
        <f>IF(I1161="","",_xlfn.XLOOKUP(I1161,Lists!$C:$C,Lists!$I:$I))</f>
        <v/>
      </c>
    </row>
    <row r="1162" spans="3:19" x14ac:dyDescent="0.2">
      <c r="C1162" s="26">
        <f>_xlfn.XLOOKUP(B1162,Lists!B:B,Lists!A:A,"")</f>
        <v>0</v>
      </c>
      <c r="G1162" s="26" t="str">
        <f t="shared" si="96"/>
        <v/>
      </c>
      <c r="H1162" s="31" t="str">
        <f t="shared" si="97"/>
        <v/>
      </c>
      <c r="J1162" s="27" t="str">
        <f>IF(I1162="","",_xlfn.XLOOKUP(I1162,Lists!$C:$C,Lists!$D:$D))</f>
        <v/>
      </c>
      <c r="N1162" s="26" t="str">
        <f t="shared" si="98"/>
        <v/>
      </c>
      <c r="O1162" s="27" t="str">
        <f>IF(I1162="","",_xlfn.XLOOKUP(I1162,Lists!$C:$C,Lists!$J:$J))</f>
        <v/>
      </c>
      <c r="P1162" s="27" t="str">
        <f>IF(I1162="","",_xlfn.XLOOKUP(I1162,Lists!$C:$C,Lists!$E:$E))</f>
        <v/>
      </c>
      <c r="Q1162" s="28" t="str">
        <f t="shared" si="99"/>
        <v/>
      </c>
      <c r="R1162" s="26" t="str">
        <f t="shared" ca="1" si="100"/>
        <v/>
      </c>
      <c r="S1162" s="27" t="str">
        <f>IF(I1162="","",_xlfn.XLOOKUP(I1162,Lists!$C:$C,Lists!$I:$I))</f>
        <v/>
      </c>
    </row>
    <row r="1163" spans="3:19" x14ac:dyDescent="0.2">
      <c r="C1163" s="26">
        <f>_xlfn.XLOOKUP(B1163,Lists!B:B,Lists!A:A,"")</f>
        <v>0</v>
      </c>
      <c r="G1163" s="26" t="str">
        <f t="shared" si="96"/>
        <v/>
      </c>
      <c r="H1163" s="31" t="str">
        <f t="shared" si="97"/>
        <v/>
      </c>
      <c r="J1163" s="27" t="str">
        <f>IF(I1163="","",_xlfn.XLOOKUP(I1163,Lists!$C:$C,Lists!$D:$D))</f>
        <v/>
      </c>
      <c r="N1163" s="26" t="str">
        <f t="shared" si="98"/>
        <v/>
      </c>
      <c r="O1163" s="27" t="str">
        <f>IF(I1163="","",_xlfn.XLOOKUP(I1163,Lists!$C:$C,Lists!$J:$J))</f>
        <v/>
      </c>
      <c r="P1163" s="27" t="str">
        <f>IF(I1163="","",_xlfn.XLOOKUP(I1163,Lists!$C:$C,Lists!$E:$E))</f>
        <v/>
      </c>
      <c r="Q1163" s="28" t="str">
        <f t="shared" si="99"/>
        <v/>
      </c>
      <c r="R1163" s="26" t="str">
        <f t="shared" ca="1" si="100"/>
        <v/>
      </c>
      <c r="S1163" s="27" t="str">
        <f>IF(I1163="","",_xlfn.XLOOKUP(I1163,Lists!$C:$C,Lists!$I:$I))</f>
        <v/>
      </c>
    </row>
    <row r="1164" spans="3:19" x14ac:dyDescent="0.2">
      <c r="C1164" s="26">
        <f>_xlfn.XLOOKUP(B1164,Lists!B:B,Lists!A:A,"")</f>
        <v>0</v>
      </c>
      <c r="G1164" s="26" t="str">
        <f t="shared" si="96"/>
        <v/>
      </c>
      <c r="H1164" s="31" t="str">
        <f t="shared" si="97"/>
        <v/>
      </c>
      <c r="J1164" s="27" t="str">
        <f>IF(I1164="","",_xlfn.XLOOKUP(I1164,Lists!$C:$C,Lists!$D:$D))</f>
        <v/>
      </c>
      <c r="N1164" s="26" t="str">
        <f t="shared" si="98"/>
        <v/>
      </c>
      <c r="O1164" s="27" t="str">
        <f>IF(I1164="","",_xlfn.XLOOKUP(I1164,Lists!$C:$C,Lists!$J:$J))</f>
        <v/>
      </c>
      <c r="P1164" s="27" t="str">
        <f>IF(I1164="","",_xlfn.XLOOKUP(I1164,Lists!$C:$C,Lists!$E:$E))</f>
        <v/>
      </c>
      <c r="Q1164" s="28" t="str">
        <f t="shared" si="99"/>
        <v/>
      </c>
      <c r="R1164" s="26" t="str">
        <f t="shared" ca="1" si="100"/>
        <v/>
      </c>
      <c r="S1164" s="27" t="str">
        <f>IF(I1164="","",_xlfn.XLOOKUP(I1164,Lists!$C:$C,Lists!$I:$I))</f>
        <v/>
      </c>
    </row>
    <row r="1165" spans="3:19" x14ac:dyDescent="0.2">
      <c r="C1165" s="26">
        <f>_xlfn.XLOOKUP(B1165,Lists!B:B,Lists!A:A,"")</f>
        <v>0</v>
      </c>
      <c r="G1165" s="26" t="str">
        <f t="shared" si="96"/>
        <v/>
      </c>
      <c r="H1165" s="31" t="str">
        <f t="shared" si="97"/>
        <v/>
      </c>
      <c r="J1165" s="27" t="str">
        <f>IF(I1165="","",_xlfn.XLOOKUP(I1165,Lists!$C:$C,Lists!$D:$D))</f>
        <v/>
      </c>
      <c r="N1165" s="26" t="str">
        <f t="shared" si="98"/>
        <v/>
      </c>
      <c r="O1165" s="27" t="str">
        <f>IF(I1165="","",_xlfn.XLOOKUP(I1165,Lists!$C:$C,Lists!$J:$J))</f>
        <v/>
      </c>
      <c r="P1165" s="27" t="str">
        <f>IF(I1165="","",_xlfn.XLOOKUP(I1165,Lists!$C:$C,Lists!$E:$E))</f>
        <v/>
      </c>
      <c r="Q1165" s="28" t="str">
        <f t="shared" si="99"/>
        <v/>
      </c>
      <c r="R1165" s="26" t="str">
        <f t="shared" ca="1" si="100"/>
        <v/>
      </c>
      <c r="S1165" s="27" t="str">
        <f>IF(I1165="","",_xlfn.XLOOKUP(I1165,Lists!$C:$C,Lists!$I:$I))</f>
        <v/>
      </c>
    </row>
    <row r="1166" spans="3:19" x14ac:dyDescent="0.2">
      <c r="C1166" s="26">
        <f>_xlfn.XLOOKUP(B1166,Lists!B:B,Lists!A:A,"")</f>
        <v>0</v>
      </c>
      <c r="G1166" s="26" t="str">
        <f t="shared" si="96"/>
        <v/>
      </c>
      <c r="H1166" s="31" t="str">
        <f t="shared" si="97"/>
        <v/>
      </c>
      <c r="J1166" s="27" t="str">
        <f>IF(I1166="","",_xlfn.XLOOKUP(I1166,Lists!$C:$C,Lists!$D:$D))</f>
        <v/>
      </c>
      <c r="N1166" s="26" t="str">
        <f t="shared" si="98"/>
        <v/>
      </c>
      <c r="O1166" s="27" t="str">
        <f>IF(I1166="","",_xlfn.XLOOKUP(I1166,Lists!$C:$C,Lists!$J:$J))</f>
        <v/>
      </c>
      <c r="P1166" s="27" t="str">
        <f>IF(I1166="","",_xlfn.XLOOKUP(I1166,Lists!$C:$C,Lists!$E:$E))</f>
        <v/>
      </c>
      <c r="Q1166" s="28" t="str">
        <f t="shared" si="99"/>
        <v/>
      </c>
      <c r="R1166" s="26" t="str">
        <f t="shared" ca="1" si="100"/>
        <v/>
      </c>
      <c r="S1166" s="27" t="str">
        <f>IF(I1166="","",_xlfn.XLOOKUP(I1166,Lists!$C:$C,Lists!$I:$I))</f>
        <v/>
      </c>
    </row>
    <row r="1167" spans="3:19" x14ac:dyDescent="0.2">
      <c r="C1167" s="26">
        <f>_xlfn.XLOOKUP(B1167,Lists!B:B,Lists!A:A,"")</f>
        <v>0</v>
      </c>
      <c r="G1167" s="26" t="str">
        <f t="shared" si="96"/>
        <v/>
      </c>
      <c r="H1167" s="31" t="str">
        <f t="shared" si="97"/>
        <v/>
      </c>
      <c r="J1167" s="27" t="str">
        <f>IF(I1167="","",_xlfn.XLOOKUP(I1167,Lists!$C:$C,Lists!$D:$D))</f>
        <v/>
      </c>
      <c r="N1167" s="26" t="str">
        <f t="shared" si="98"/>
        <v/>
      </c>
      <c r="O1167" s="27" t="str">
        <f>IF(I1167="","",_xlfn.XLOOKUP(I1167,Lists!$C:$C,Lists!$J:$J))</f>
        <v/>
      </c>
      <c r="P1167" s="27" t="str">
        <f>IF(I1167="","",_xlfn.XLOOKUP(I1167,Lists!$C:$C,Lists!$E:$E))</f>
        <v/>
      </c>
      <c r="Q1167" s="28" t="str">
        <f t="shared" si="99"/>
        <v/>
      </c>
      <c r="R1167" s="26" t="str">
        <f t="shared" ca="1" si="100"/>
        <v/>
      </c>
      <c r="S1167" s="27" t="str">
        <f>IF(I1167="","",_xlfn.XLOOKUP(I1167,Lists!$C:$C,Lists!$I:$I))</f>
        <v/>
      </c>
    </row>
    <row r="1168" spans="3:19" x14ac:dyDescent="0.2">
      <c r="C1168" s="26">
        <f>_xlfn.XLOOKUP(B1168,Lists!B:B,Lists!A:A,"")</f>
        <v>0</v>
      </c>
      <c r="G1168" s="26" t="str">
        <f t="shared" si="96"/>
        <v/>
      </c>
      <c r="H1168" s="31" t="str">
        <f t="shared" si="97"/>
        <v/>
      </c>
      <c r="J1168" s="27" t="str">
        <f>IF(I1168="","",_xlfn.XLOOKUP(I1168,Lists!$C:$C,Lists!$D:$D))</f>
        <v/>
      </c>
      <c r="N1168" s="26" t="str">
        <f t="shared" si="98"/>
        <v/>
      </c>
      <c r="O1168" s="27" t="str">
        <f>IF(I1168="","",_xlfn.XLOOKUP(I1168,Lists!$C:$C,Lists!$J:$J))</f>
        <v/>
      </c>
      <c r="P1168" s="27" t="str">
        <f>IF(I1168="","",_xlfn.XLOOKUP(I1168,Lists!$C:$C,Lists!$E:$E))</f>
        <v/>
      </c>
      <c r="Q1168" s="28" t="str">
        <f t="shared" si="99"/>
        <v/>
      </c>
      <c r="R1168" s="26" t="str">
        <f t="shared" ca="1" si="100"/>
        <v/>
      </c>
      <c r="S1168" s="27" t="str">
        <f>IF(I1168="","",_xlfn.XLOOKUP(I1168,Lists!$C:$C,Lists!$I:$I))</f>
        <v/>
      </c>
    </row>
    <row r="1169" spans="3:19" x14ac:dyDescent="0.2">
      <c r="C1169" s="26">
        <f>_xlfn.XLOOKUP(B1169,Lists!B:B,Lists!A:A,"")</f>
        <v>0</v>
      </c>
      <c r="G1169" s="26" t="str">
        <f t="shared" si="96"/>
        <v/>
      </c>
      <c r="H1169" s="31" t="str">
        <f t="shared" si="97"/>
        <v/>
      </c>
      <c r="J1169" s="27" t="str">
        <f>IF(I1169="","",_xlfn.XLOOKUP(I1169,Lists!$C:$C,Lists!$D:$D))</f>
        <v/>
      </c>
      <c r="N1169" s="26" t="str">
        <f t="shared" si="98"/>
        <v/>
      </c>
      <c r="O1169" s="27" t="str">
        <f>IF(I1169="","",_xlfn.XLOOKUP(I1169,Lists!$C:$C,Lists!$J:$J))</f>
        <v/>
      </c>
      <c r="P1169" s="27" t="str">
        <f>IF(I1169="","",_xlfn.XLOOKUP(I1169,Lists!$C:$C,Lists!$E:$E))</f>
        <v/>
      </c>
      <c r="Q1169" s="28" t="str">
        <f t="shared" si="99"/>
        <v/>
      </c>
      <c r="R1169" s="26" t="str">
        <f t="shared" ca="1" si="100"/>
        <v/>
      </c>
      <c r="S1169" s="27" t="str">
        <f>IF(I1169="","",_xlfn.XLOOKUP(I1169,Lists!$C:$C,Lists!$I:$I))</f>
        <v/>
      </c>
    </row>
    <row r="1170" spans="3:19" x14ac:dyDescent="0.2">
      <c r="C1170" s="26">
        <f>_xlfn.XLOOKUP(B1170,Lists!B:B,Lists!A:A,"")</f>
        <v>0</v>
      </c>
      <c r="G1170" s="26" t="str">
        <f t="shared" si="96"/>
        <v/>
      </c>
      <c r="H1170" s="31" t="str">
        <f t="shared" si="97"/>
        <v/>
      </c>
      <c r="J1170" s="27" t="str">
        <f>IF(I1170="","",_xlfn.XLOOKUP(I1170,Lists!$C:$C,Lists!$D:$D))</f>
        <v/>
      </c>
      <c r="N1170" s="26" t="str">
        <f t="shared" si="98"/>
        <v/>
      </c>
      <c r="O1170" s="27" t="str">
        <f>IF(I1170="","",_xlfn.XLOOKUP(I1170,Lists!$C:$C,Lists!$J:$J))</f>
        <v/>
      </c>
      <c r="P1170" s="27" t="str">
        <f>IF(I1170="","",_xlfn.XLOOKUP(I1170,Lists!$C:$C,Lists!$E:$E))</f>
        <v/>
      </c>
      <c r="Q1170" s="28" t="str">
        <f t="shared" si="99"/>
        <v/>
      </c>
      <c r="R1170" s="26" t="str">
        <f t="shared" ca="1" si="100"/>
        <v/>
      </c>
      <c r="S1170" s="27" t="str">
        <f>IF(I1170="","",_xlfn.XLOOKUP(I1170,Lists!$C:$C,Lists!$I:$I))</f>
        <v/>
      </c>
    </row>
    <row r="1171" spans="3:19" x14ac:dyDescent="0.2">
      <c r="C1171" s="26">
        <f>_xlfn.XLOOKUP(B1171,Lists!B:B,Lists!A:A,"")</f>
        <v>0</v>
      </c>
      <c r="G1171" s="26" t="str">
        <f t="shared" si="96"/>
        <v/>
      </c>
      <c r="H1171" s="31" t="str">
        <f t="shared" si="97"/>
        <v/>
      </c>
      <c r="J1171" s="27" t="str">
        <f>IF(I1171="","",_xlfn.XLOOKUP(I1171,Lists!$C:$C,Lists!$D:$D))</f>
        <v/>
      </c>
      <c r="N1171" s="26" t="str">
        <f t="shared" si="98"/>
        <v/>
      </c>
      <c r="O1171" s="27" t="str">
        <f>IF(I1171="","",_xlfn.XLOOKUP(I1171,Lists!$C:$C,Lists!$J:$J))</f>
        <v/>
      </c>
      <c r="P1171" s="27" t="str">
        <f>IF(I1171="","",_xlfn.XLOOKUP(I1171,Lists!$C:$C,Lists!$E:$E))</f>
        <v/>
      </c>
      <c r="Q1171" s="28" t="str">
        <f t="shared" si="99"/>
        <v/>
      </c>
      <c r="R1171" s="26" t="str">
        <f t="shared" ca="1" si="100"/>
        <v/>
      </c>
      <c r="S1171" s="27" t="str">
        <f>IF(I1171="","",_xlfn.XLOOKUP(I1171,Lists!$C:$C,Lists!$I:$I))</f>
        <v/>
      </c>
    </row>
    <row r="1172" spans="3:19" x14ac:dyDescent="0.2">
      <c r="C1172" s="26">
        <f>_xlfn.XLOOKUP(B1172,Lists!B:B,Lists!A:A,"")</f>
        <v>0</v>
      </c>
      <c r="G1172" s="26" t="str">
        <f t="shared" si="96"/>
        <v/>
      </c>
      <c r="H1172" s="31" t="str">
        <f t="shared" si="97"/>
        <v/>
      </c>
      <c r="J1172" s="27" t="str">
        <f>IF(I1172="","",_xlfn.XLOOKUP(I1172,Lists!$C:$C,Lists!$D:$D))</f>
        <v/>
      </c>
      <c r="N1172" s="26" t="str">
        <f t="shared" si="98"/>
        <v/>
      </c>
      <c r="O1172" s="27" t="str">
        <f>IF(I1172="","",_xlfn.XLOOKUP(I1172,Lists!$C:$C,Lists!$J:$J))</f>
        <v/>
      </c>
      <c r="P1172" s="27" t="str">
        <f>IF(I1172="","",_xlfn.XLOOKUP(I1172,Lists!$C:$C,Lists!$E:$E))</f>
        <v/>
      </c>
      <c r="Q1172" s="28" t="str">
        <f t="shared" si="99"/>
        <v/>
      </c>
      <c r="R1172" s="26" t="str">
        <f t="shared" ca="1" si="100"/>
        <v/>
      </c>
      <c r="S1172" s="27" t="str">
        <f>IF(I1172="","",_xlfn.XLOOKUP(I1172,Lists!$C:$C,Lists!$I:$I))</f>
        <v/>
      </c>
    </row>
    <row r="1173" spans="3:19" x14ac:dyDescent="0.2">
      <c r="C1173" s="26">
        <f>_xlfn.XLOOKUP(B1173,Lists!B:B,Lists!A:A,"")</f>
        <v>0</v>
      </c>
      <c r="G1173" s="26" t="str">
        <f t="shared" si="96"/>
        <v/>
      </c>
      <c r="H1173" s="31" t="str">
        <f t="shared" si="97"/>
        <v/>
      </c>
      <c r="J1173" s="27" t="str">
        <f>IF(I1173="","",_xlfn.XLOOKUP(I1173,Lists!$C:$C,Lists!$D:$D))</f>
        <v/>
      </c>
      <c r="N1173" s="26" t="str">
        <f t="shared" si="98"/>
        <v/>
      </c>
      <c r="O1173" s="27" t="str">
        <f>IF(I1173="","",_xlfn.XLOOKUP(I1173,Lists!$C:$C,Lists!$J:$J))</f>
        <v/>
      </c>
      <c r="P1173" s="27" t="str">
        <f>IF(I1173="","",_xlfn.XLOOKUP(I1173,Lists!$C:$C,Lists!$E:$E))</f>
        <v/>
      </c>
      <c r="Q1173" s="28" t="str">
        <f t="shared" si="99"/>
        <v/>
      </c>
      <c r="R1173" s="26" t="str">
        <f t="shared" ca="1" si="100"/>
        <v/>
      </c>
      <c r="S1173" s="27" t="str">
        <f>IF(I1173="","",_xlfn.XLOOKUP(I1173,Lists!$C:$C,Lists!$I:$I))</f>
        <v/>
      </c>
    </row>
    <row r="1174" spans="3:19" x14ac:dyDescent="0.2">
      <c r="C1174" s="26">
        <f>_xlfn.XLOOKUP(B1174,Lists!B:B,Lists!A:A,"")</f>
        <v>0</v>
      </c>
      <c r="G1174" s="26" t="str">
        <f t="shared" si="96"/>
        <v/>
      </c>
      <c r="H1174" s="31" t="str">
        <f t="shared" si="97"/>
        <v/>
      </c>
      <c r="J1174" s="27" t="str">
        <f>IF(I1174="","",_xlfn.XLOOKUP(I1174,Lists!$C:$C,Lists!$D:$D))</f>
        <v/>
      </c>
      <c r="N1174" s="26" t="str">
        <f t="shared" si="98"/>
        <v/>
      </c>
      <c r="O1174" s="27" t="str">
        <f>IF(I1174="","",_xlfn.XLOOKUP(I1174,Lists!$C:$C,Lists!$J:$J))</f>
        <v/>
      </c>
      <c r="P1174" s="27" t="str">
        <f>IF(I1174="","",_xlfn.XLOOKUP(I1174,Lists!$C:$C,Lists!$E:$E))</f>
        <v/>
      </c>
      <c r="Q1174" s="28" t="str">
        <f t="shared" si="99"/>
        <v/>
      </c>
      <c r="R1174" s="26" t="str">
        <f t="shared" ca="1" si="100"/>
        <v/>
      </c>
      <c r="S1174" s="27" t="str">
        <f>IF(I1174="","",_xlfn.XLOOKUP(I1174,Lists!$C:$C,Lists!$I:$I))</f>
        <v/>
      </c>
    </row>
    <row r="1175" spans="3:19" x14ac:dyDescent="0.2">
      <c r="C1175" s="26">
        <f>_xlfn.XLOOKUP(B1175,Lists!B:B,Lists!A:A,"")</f>
        <v>0</v>
      </c>
      <c r="G1175" s="26" t="str">
        <f t="shared" si="96"/>
        <v/>
      </c>
      <c r="H1175" s="31" t="str">
        <f t="shared" si="97"/>
        <v/>
      </c>
      <c r="J1175" s="27" t="str">
        <f>IF(I1175="","",_xlfn.XLOOKUP(I1175,Lists!$C:$C,Lists!$D:$D))</f>
        <v/>
      </c>
      <c r="N1175" s="26" t="str">
        <f t="shared" si="98"/>
        <v/>
      </c>
      <c r="O1175" s="27" t="str">
        <f>IF(I1175="","",_xlfn.XLOOKUP(I1175,Lists!$C:$C,Lists!$J:$J))</f>
        <v/>
      </c>
      <c r="P1175" s="27" t="str">
        <f>IF(I1175="","",_xlfn.XLOOKUP(I1175,Lists!$C:$C,Lists!$E:$E))</f>
        <v/>
      </c>
      <c r="Q1175" s="28" t="str">
        <f t="shared" si="99"/>
        <v/>
      </c>
      <c r="R1175" s="26" t="str">
        <f t="shared" ca="1" si="100"/>
        <v/>
      </c>
      <c r="S1175" s="27" t="str">
        <f>IF(I1175="","",_xlfn.XLOOKUP(I1175,Lists!$C:$C,Lists!$I:$I))</f>
        <v/>
      </c>
    </row>
    <row r="1176" spans="3:19" x14ac:dyDescent="0.2">
      <c r="C1176" s="26">
        <f>_xlfn.XLOOKUP(B1176,Lists!B:B,Lists!A:A,"")</f>
        <v>0</v>
      </c>
      <c r="G1176" s="26" t="str">
        <f t="shared" si="96"/>
        <v/>
      </c>
      <c r="H1176" s="31" t="str">
        <f t="shared" si="97"/>
        <v/>
      </c>
      <c r="J1176" s="27" t="str">
        <f>IF(I1176="","",_xlfn.XLOOKUP(I1176,Lists!$C:$C,Lists!$D:$D))</f>
        <v/>
      </c>
      <c r="N1176" s="26" t="str">
        <f t="shared" si="98"/>
        <v/>
      </c>
      <c r="O1176" s="27" t="str">
        <f>IF(I1176="","",_xlfn.XLOOKUP(I1176,Lists!$C:$C,Lists!$J:$J))</f>
        <v/>
      </c>
      <c r="P1176" s="27" t="str">
        <f>IF(I1176="","",_xlfn.XLOOKUP(I1176,Lists!$C:$C,Lists!$E:$E))</f>
        <v/>
      </c>
      <c r="Q1176" s="28" t="str">
        <f t="shared" si="99"/>
        <v/>
      </c>
      <c r="R1176" s="26" t="str">
        <f t="shared" ca="1" si="100"/>
        <v/>
      </c>
      <c r="S1176" s="27" t="str">
        <f>IF(I1176="","",_xlfn.XLOOKUP(I1176,Lists!$C:$C,Lists!$I:$I))</f>
        <v/>
      </c>
    </row>
    <row r="1177" spans="3:19" x14ac:dyDescent="0.2">
      <c r="C1177" s="26">
        <f>_xlfn.XLOOKUP(B1177,Lists!B:B,Lists!A:A,"")</f>
        <v>0</v>
      </c>
      <c r="G1177" s="26" t="str">
        <f t="shared" si="96"/>
        <v/>
      </c>
      <c r="H1177" s="31" t="str">
        <f t="shared" si="97"/>
        <v/>
      </c>
      <c r="J1177" s="27" t="str">
        <f>IF(I1177="","",_xlfn.XLOOKUP(I1177,Lists!$C:$C,Lists!$D:$D))</f>
        <v/>
      </c>
      <c r="N1177" s="26" t="str">
        <f t="shared" si="98"/>
        <v/>
      </c>
      <c r="O1177" s="27" t="str">
        <f>IF(I1177="","",_xlfn.XLOOKUP(I1177,Lists!$C:$C,Lists!$J:$J))</f>
        <v/>
      </c>
      <c r="P1177" s="27" t="str">
        <f>IF(I1177="","",_xlfn.XLOOKUP(I1177,Lists!$C:$C,Lists!$E:$E))</f>
        <v/>
      </c>
      <c r="Q1177" s="28" t="str">
        <f t="shared" si="99"/>
        <v/>
      </c>
      <c r="R1177" s="26" t="str">
        <f t="shared" ca="1" si="100"/>
        <v/>
      </c>
      <c r="S1177" s="27" t="str">
        <f>IF(I1177="","",_xlfn.XLOOKUP(I1177,Lists!$C:$C,Lists!$I:$I))</f>
        <v/>
      </c>
    </row>
    <row r="1178" spans="3:19" x14ac:dyDescent="0.2">
      <c r="C1178" s="26">
        <f>_xlfn.XLOOKUP(B1178,Lists!B:B,Lists!A:A,"")</f>
        <v>0</v>
      </c>
      <c r="G1178" s="26" t="str">
        <f t="shared" si="96"/>
        <v/>
      </c>
      <c r="H1178" s="31" t="str">
        <f t="shared" si="97"/>
        <v/>
      </c>
      <c r="J1178" s="27" t="str">
        <f>IF(I1178="","",_xlfn.XLOOKUP(I1178,Lists!$C:$C,Lists!$D:$D))</f>
        <v/>
      </c>
      <c r="N1178" s="26" t="str">
        <f t="shared" si="98"/>
        <v/>
      </c>
      <c r="O1178" s="27" t="str">
        <f>IF(I1178="","",_xlfn.XLOOKUP(I1178,Lists!$C:$C,Lists!$J:$J))</f>
        <v/>
      </c>
      <c r="P1178" s="27" t="str">
        <f>IF(I1178="","",_xlfn.XLOOKUP(I1178,Lists!$C:$C,Lists!$E:$E))</f>
        <v/>
      </c>
      <c r="Q1178" s="28" t="str">
        <f t="shared" si="99"/>
        <v/>
      </c>
      <c r="R1178" s="26" t="str">
        <f t="shared" ca="1" si="100"/>
        <v/>
      </c>
      <c r="S1178" s="27" t="str">
        <f>IF(I1178="","",_xlfn.XLOOKUP(I1178,Lists!$C:$C,Lists!$I:$I))</f>
        <v/>
      </c>
    </row>
    <row r="1179" spans="3:19" x14ac:dyDescent="0.2">
      <c r="C1179" s="26">
        <f>_xlfn.XLOOKUP(B1179,Lists!B:B,Lists!A:A,"")</f>
        <v>0</v>
      </c>
      <c r="G1179" s="26" t="str">
        <f t="shared" si="96"/>
        <v/>
      </c>
      <c r="H1179" s="31" t="str">
        <f t="shared" si="97"/>
        <v/>
      </c>
      <c r="J1179" s="27" t="str">
        <f>IF(I1179="","",_xlfn.XLOOKUP(I1179,Lists!$C:$C,Lists!$D:$D))</f>
        <v/>
      </c>
      <c r="N1179" s="26" t="str">
        <f t="shared" si="98"/>
        <v/>
      </c>
      <c r="O1179" s="27" t="str">
        <f>IF(I1179="","",_xlfn.XLOOKUP(I1179,Lists!$C:$C,Lists!$J:$J))</f>
        <v/>
      </c>
      <c r="P1179" s="27" t="str">
        <f>IF(I1179="","",_xlfn.XLOOKUP(I1179,Lists!$C:$C,Lists!$E:$E))</f>
        <v/>
      </c>
      <c r="Q1179" s="28" t="str">
        <f t="shared" si="99"/>
        <v/>
      </c>
      <c r="R1179" s="26" t="str">
        <f t="shared" ca="1" si="100"/>
        <v/>
      </c>
      <c r="S1179" s="27" t="str">
        <f>IF(I1179="","",_xlfn.XLOOKUP(I1179,Lists!$C:$C,Lists!$I:$I))</f>
        <v/>
      </c>
    </row>
    <row r="1180" spans="3:19" x14ac:dyDescent="0.2">
      <c r="C1180" s="26">
        <f>_xlfn.XLOOKUP(B1180,Lists!B:B,Lists!A:A,"")</f>
        <v>0</v>
      </c>
      <c r="G1180" s="26" t="str">
        <f t="shared" si="96"/>
        <v/>
      </c>
      <c r="H1180" s="31" t="str">
        <f t="shared" si="97"/>
        <v/>
      </c>
      <c r="J1180" s="27" t="str">
        <f>IF(I1180="","",_xlfn.XLOOKUP(I1180,Lists!$C:$C,Lists!$D:$D))</f>
        <v/>
      </c>
      <c r="N1180" s="26" t="str">
        <f t="shared" si="98"/>
        <v/>
      </c>
      <c r="O1180" s="27" t="str">
        <f>IF(I1180="","",_xlfn.XLOOKUP(I1180,Lists!$C:$C,Lists!$J:$J))</f>
        <v/>
      </c>
      <c r="P1180" s="27" t="str">
        <f>IF(I1180="","",_xlfn.XLOOKUP(I1180,Lists!$C:$C,Lists!$E:$E))</f>
        <v/>
      </c>
      <c r="Q1180" s="28" t="str">
        <f t="shared" si="99"/>
        <v/>
      </c>
      <c r="R1180" s="26" t="str">
        <f t="shared" ca="1" si="100"/>
        <v/>
      </c>
      <c r="S1180" s="27" t="str">
        <f>IF(I1180="","",_xlfn.XLOOKUP(I1180,Lists!$C:$C,Lists!$I:$I))</f>
        <v/>
      </c>
    </row>
    <row r="1181" spans="3:19" x14ac:dyDescent="0.2">
      <c r="C1181" s="26">
        <f>_xlfn.XLOOKUP(B1181,Lists!B:B,Lists!A:A,"")</f>
        <v>0</v>
      </c>
      <c r="G1181" s="26" t="str">
        <f t="shared" si="96"/>
        <v/>
      </c>
      <c r="H1181" s="31" t="str">
        <f t="shared" si="97"/>
        <v/>
      </c>
      <c r="J1181" s="27" t="str">
        <f>IF(I1181="","",_xlfn.XLOOKUP(I1181,Lists!$C:$C,Lists!$D:$D))</f>
        <v/>
      </c>
      <c r="N1181" s="26" t="str">
        <f t="shared" si="98"/>
        <v/>
      </c>
      <c r="O1181" s="27" t="str">
        <f>IF(I1181="","",_xlfn.XLOOKUP(I1181,Lists!$C:$C,Lists!$J:$J))</f>
        <v/>
      </c>
      <c r="P1181" s="27" t="str">
        <f>IF(I1181="","",_xlfn.XLOOKUP(I1181,Lists!$C:$C,Lists!$E:$E))</f>
        <v/>
      </c>
      <c r="Q1181" s="28" t="str">
        <f t="shared" si="99"/>
        <v/>
      </c>
      <c r="R1181" s="26" t="str">
        <f t="shared" ca="1" si="100"/>
        <v/>
      </c>
      <c r="S1181" s="27" t="str">
        <f>IF(I1181="","",_xlfn.XLOOKUP(I1181,Lists!$C:$C,Lists!$I:$I))</f>
        <v/>
      </c>
    </row>
    <row r="1182" spans="3:19" x14ac:dyDescent="0.2">
      <c r="C1182" s="26">
        <f>_xlfn.XLOOKUP(B1182,Lists!B:B,Lists!A:A,"")</f>
        <v>0</v>
      </c>
      <c r="G1182" s="26" t="str">
        <f t="shared" si="96"/>
        <v/>
      </c>
      <c r="H1182" s="31" t="str">
        <f t="shared" si="97"/>
        <v/>
      </c>
      <c r="J1182" s="27" t="str">
        <f>IF(I1182="","",_xlfn.XLOOKUP(I1182,Lists!$C:$C,Lists!$D:$D))</f>
        <v/>
      </c>
      <c r="N1182" s="26" t="str">
        <f t="shared" si="98"/>
        <v/>
      </c>
      <c r="O1182" s="27" t="str">
        <f>IF(I1182="","",_xlfn.XLOOKUP(I1182,Lists!$C:$C,Lists!$J:$J))</f>
        <v/>
      </c>
      <c r="P1182" s="27" t="str">
        <f>IF(I1182="","",_xlfn.XLOOKUP(I1182,Lists!$C:$C,Lists!$E:$E))</f>
        <v/>
      </c>
      <c r="Q1182" s="28" t="str">
        <f t="shared" si="99"/>
        <v/>
      </c>
      <c r="R1182" s="26" t="str">
        <f t="shared" ca="1" si="100"/>
        <v/>
      </c>
      <c r="S1182" s="27" t="str">
        <f>IF(I1182="","",_xlfn.XLOOKUP(I1182,Lists!$C:$C,Lists!$I:$I))</f>
        <v/>
      </c>
    </row>
    <row r="1183" spans="3:19" x14ac:dyDescent="0.2">
      <c r="C1183" s="26">
        <f>_xlfn.XLOOKUP(B1183,Lists!B:B,Lists!A:A,"")</f>
        <v>0</v>
      </c>
      <c r="G1183" s="26" t="str">
        <f t="shared" ref="G1183:G1214" si="101">IF(OR(E1183="",F1183=""),"",F1183-E1183+1)</f>
        <v/>
      </c>
      <c r="H1183" s="31" t="str">
        <f t="shared" ref="H1183:H1214" si="102">IF(D1183="","",IF(OR(D1183="A",D1183="B"),G1183/80,IF(D1183="A&amp;B",G1183/160,"")))</f>
        <v/>
      </c>
      <c r="J1183" s="27" t="str">
        <f>IF(I1183="","",_xlfn.XLOOKUP(I1183,Lists!$C:$C,Lists!$D:$D))</f>
        <v/>
      </c>
      <c r="N1183" s="26" t="str">
        <f t="shared" ref="N1183:N1214" si="103">IF(OR(M1183="",L1183=""),"",(M1183*L1183)/100000)</f>
        <v/>
      </c>
      <c r="O1183" s="27" t="str">
        <f>IF(I1183="","",_xlfn.XLOOKUP(I1183,Lists!$C:$C,Lists!$J:$J))</f>
        <v/>
      </c>
      <c r="P1183" s="27" t="str">
        <f>IF(I1183="","",_xlfn.XLOOKUP(I1183,Lists!$C:$C,Lists!$E:$E))</f>
        <v/>
      </c>
      <c r="Q1183" s="28" t="str">
        <f t="shared" ref="Q1183:Q1214" si="104">IF(OR(A1183="",P1183=""),"",A1183+P1183+1)</f>
        <v/>
      </c>
      <c r="R1183" s="26" t="str">
        <f t="shared" ref="R1183:R1214" ca="1" si="105">IF(Q1183="","",IF(Q1183&lt;=TODAY(),"Allow","Not Allow"))</f>
        <v/>
      </c>
      <c r="S1183" s="27" t="str">
        <f>IF(I1183="","",_xlfn.XLOOKUP(I1183,Lists!$C:$C,Lists!$I:$I))</f>
        <v/>
      </c>
    </row>
    <row r="1184" spans="3:19" x14ac:dyDescent="0.2">
      <c r="C1184" s="26">
        <f>_xlfn.XLOOKUP(B1184,Lists!B:B,Lists!A:A,"")</f>
        <v>0</v>
      </c>
      <c r="G1184" s="26" t="str">
        <f t="shared" si="101"/>
        <v/>
      </c>
      <c r="H1184" s="31" t="str">
        <f t="shared" si="102"/>
        <v/>
      </c>
      <c r="J1184" s="27" t="str">
        <f>IF(I1184="","",_xlfn.XLOOKUP(I1184,Lists!$C:$C,Lists!$D:$D))</f>
        <v/>
      </c>
      <c r="N1184" s="26" t="str">
        <f t="shared" si="103"/>
        <v/>
      </c>
      <c r="O1184" s="27" t="str">
        <f>IF(I1184="","",_xlfn.XLOOKUP(I1184,Lists!$C:$C,Lists!$J:$J))</f>
        <v/>
      </c>
      <c r="P1184" s="27" t="str">
        <f>IF(I1184="","",_xlfn.XLOOKUP(I1184,Lists!$C:$C,Lists!$E:$E))</f>
        <v/>
      </c>
      <c r="Q1184" s="28" t="str">
        <f t="shared" si="104"/>
        <v/>
      </c>
      <c r="R1184" s="26" t="str">
        <f t="shared" ca="1" si="105"/>
        <v/>
      </c>
      <c r="S1184" s="27" t="str">
        <f>IF(I1184="","",_xlfn.XLOOKUP(I1184,Lists!$C:$C,Lists!$I:$I))</f>
        <v/>
      </c>
    </row>
    <row r="1185" spans="3:19" x14ac:dyDescent="0.2">
      <c r="C1185" s="26">
        <f>_xlfn.XLOOKUP(B1185,Lists!B:B,Lists!A:A,"")</f>
        <v>0</v>
      </c>
      <c r="G1185" s="26" t="str">
        <f t="shared" si="101"/>
        <v/>
      </c>
      <c r="H1185" s="31" t="str">
        <f t="shared" si="102"/>
        <v/>
      </c>
      <c r="J1185" s="27" t="str">
        <f>IF(I1185="","",_xlfn.XLOOKUP(I1185,Lists!$C:$C,Lists!$D:$D))</f>
        <v/>
      </c>
      <c r="N1185" s="26" t="str">
        <f t="shared" si="103"/>
        <v/>
      </c>
      <c r="O1185" s="27" t="str">
        <f>IF(I1185="","",_xlfn.XLOOKUP(I1185,Lists!$C:$C,Lists!$J:$J))</f>
        <v/>
      </c>
      <c r="P1185" s="27" t="str">
        <f>IF(I1185="","",_xlfn.XLOOKUP(I1185,Lists!$C:$C,Lists!$E:$E))</f>
        <v/>
      </c>
      <c r="Q1185" s="28" t="str">
        <f t="shared" si="104"/>
        <v/>
      </c>
      <c r="R1185" s="26" t="str">
        <f t="shared" ca="1" si="105"/>
        <v/>
      </c>
      <c r="S1185" s="27" t="str">
        <f>IF(I1185="","",_xlfn.XLOOKUP(I1185,Lists!$C:$C,Lists!$I:$I))</f>
        <v/>
      </c>
    </row>
    <row r="1186" spans="3:19" x14ac:dyDescent="0.2">
      <c r="C1186" s="26">
        <f>_xlfn.XLOOKUP(B1186,Lists!B:B,Lists!A:A,"")</f>
        <v>0</v>
      </c>
      <c r="G1186" s="26" t="str">
        <f t="shared" si="101"/>
        <v/>
      </c>
      <c r="H1186" s="31" t="str">
        <f t="shared" si="102"/>
        <v/>
      </c>
      <c r="J1186" s="27" t="str">
        <f>IF(I1186="","",_xlfn.XLOOKUP(I1186,Lists!$C:$C,Lists!$D:$D))</f>
        <v/>
      </c>
      <c r="N1186" s="26" t="str">
        <f t="shared" si="103"/>
        <v/>
      </c>
      <c r="O1186" s="27" t="str">
        <f>IF(I1186="","",_xlfn.XLOOKUP(I1186,Lists!$C:$C,Lists!$J:$J))</f>
        <v/>
      </c>
      <c r="P1186" s="27" t="str">
        <f>IF(I1186="","",_xlfn.XLOOKUP(I1186,Lists!$C:$C,Lists!$E:$E))</f>
        <v/>
      </c>
      <c r="Q1186" s="28" t="str">
        <f t="shared" si="104"/>
        <v/>
      </c>
      <c r="R1186" s="26" t="str">
        <f t="shared" ca="1" si="105"/>
        <v/>
      </c>
      <c r="S1186" s="27" t="str">
        <f>IF(I1186="","",_xlfn.XLOOKUP(I1186,Lists!$C:$C,Lists!$I:$I))</f>
        <v/>
      </c>
    </row>
    <row r="1187" spans="3:19" x14ac:dyDescent="0.2">
      <c r="C1187" s="26">
        <f>_xlfn.XLOOKUP(B1187,Lists!B:B,Lists!A:A,"")</f>
        <v>0</v>
      </c>
      <c r="G1187" s="26" t="str">
        <f t="shared" si="101"/>
        <v/>
      </c>
      <c r="H1187" s="31" t="str">
        <f t="shared" si="102"/>
        <v/>
      </c>
      <c r="J1187" s="27" t="str">
        <f>IF(I1187="","",_xlfn.XLOOKUP(I1187,Lists!$C:$C,Lists!$D:$D))</f>
        <v/>
      </c>
      <c r="N1187" s="26" t="str">
        <f t="shared" si="103"/>
        <v/>
      </c>
      <c r="O1187" s="27" t="str">
        <f>IF(I1187="","",_xlfn.XLOOKUP(I1187,Lists!$C:$C,Lists!$J:$J))</f>
        <v/>
      </c>
      <c r="P1187" s="27" t="str">
        <f>IF(I1187="","",_xlfn.XLOOKUP(I1187,Lists!$C:$C,Lists!$E:$E))</f>
        <v/>
      </c>
      <c r="Q1187" s="28" t="str">
        <f t="shared" si="104"/>
        <v/>
      </c>
      <c r="R1187" s="26" t="str">
        <f t="shared" ca="1" si="105"/>
        <v/>
      </c>
      <c r="S1187" s="27" t="str">
        <f>IF(I1187="","",_xlfn.XLOOKUP(I1187,Lists!$C:$C,Lists!$I:$I))</f>
        <v/>
      </c>
    </row>
    <row r="1188" spans="3:19" x14ac:dyDescent="0.2">
      <c r="C1188" s="26">
        <f>_xlfn.XLOOKUP(B1188,Lists!B:B,Lists!A:A,"")</f>
        <v>0</v>
      </c>
      <c r="G1188" s="26" t="str">
        <f t="shared" si="101"/>
        <v/>
      </c>
      <c r="H1188" s="31" t="str">
        <f t="shared" si="102"/>
        <v/>
      </c>
      <c r="J1188" s="27" t="str">
        <f>IF(I1188="","",_xlfn.XLOOKUP(I1188,Lists!$C:$C,Lists!$D:$D))</f>
        <v/>
      </c>
      <c r="N1188" s="26" t="str">
        <f t="shared" si="103"/>
        <v/>
      </c>
      <c r="O1188" s="27" t="str">
        <f>IF(I1188="","",_xlfn.XLOOKUP(I1188,Lists!$C:$C,Lists!$J:$J))</f>
        <v/>
      </c>
      <c r="P1188" s="27" t="str">
        <f>IF(I1188="","",_xlfn.XLOOKUP(I1188,Lists!$C:$C,Lists!$E:$E))</f>
        <v/>
      </c>
      <c r="Q1188" s="28" t="str">
        <f t="shared" si="104"/>
        <v/>
      </c>
      <c r="R1188" s="26" t="str">
        <f t="shared" ca="1" si="105"/>
        <v/>
      </c>
      <c r="S1188" s="27" t="str">
        <f>IF(I1188="","",_xlfn.XLOOKUP(I1188,Lists!$C:$C,Lists!$I:$I))</f>
        <v/>
      </c>
    </row>
    <row r="1189" spans="3:19" x14ac:dyDescent="0.2">
      <c r="C1189" s="26">
        <f>_xlfn.XLOOKUP(B1189,Lists!B:B,Lists!A:A,"")</f>
        <v>0</v>
      </c>
      <c r="G1189" s="26" t="str">
        <f t="shared" si="101"/>
        <v/>
      </c>
      <c r="H1189" s="31" t="str">
        <f t="shared" si="102"/>
        <v/>
      </c>
      <c r="J1189" s="27" t="str">
        <f>IF(I1189="","",_xlfn.XLOOKUP(I1189,Lists!$C:$C,Lists!$D:$D))</f>
        <v/>
      </c>
      <c r="N1189" s="26" t="str">
        <f t="shared" si="103"/>
        <v/>
      </c>
      <c r="O1189" s="27" t="str">
        <f>IF(I1189="","",_xlfn.XLOOKUP(I1189,Lists!$C:$C,Lists!$J:$J))</f>
        <v/>
      </c>
      <c r="P1189" s="27" t="str">
        <f>IF(I1189="","",_xlfn.XLOOKUP(I1189,Lists!$C:$C,Lists!$E:$E))</f>
        <v/>
      </c>
      <c r="Q1189" s="28" t="str">
        <f t="shared" si="104"/>
        <v/>
      </c>
      <c r="R1189" s="26" t="str">
        <f t="shared" ca="1" si="105"/>
        <v/>
      </c>
      <c r="S1189" s="27" t="str">
        <f>IF(I1189="","",_xlfn.XLOOKUP(I1189,Lists!$C:$C,Lists!$I:$I))</f>
        <v/>
      </c>
    </row>
    <row r="1190" spans="3:19" x14ac:dyDescent="0.2">
      <c r="C1190" s="26">
        <f>_xlfn.XLOOKUP(B1190,Lists!B:B,Lists!A:A,"")</f>
        <v>0</v>
      </c>
      <c r="G1190" s="26" t="str">
        <f t="shared" si="101"/>
        <v/>
      </c>
      <c r="H1190" s="31" t="str">
        <f t="shared" si="102"/>
        <v/>
      </c>
      <c r="J1190" s="27" t="str">
        <f>IF(I1190="","",_xlfn.XLOOKUP(I1190,Lists!$C:$C,Lists!$D:$D))</f>
        <v/>
      </c>
      <c r="N1190" s="26" t="str">
        <f t="shared" si="103"/>
        <v/>
      </c>
      <c r="O1190" s="27" t="str">
        <f>IF(I1190="","",_xlfn.XLOOKUP(I1190,Lists!$C:$C,Lists!$J:$J))</f>
        <v/>
      </c>
      <c r="P1190" s="27" t="str">
        <f>IF(I1190="","",_xlfn.XLOOKUP(I1190,Lists!$C:$C,Lists!$E:$E))</f>
        <v/>
      </c>
      <c r="Q1190" s="28" t="str">
        <f t="shared" si="104"/>
        <v/>
      </c>
      <c r="R1190" s="26" t="str">
        <f t="shared" ca="1" si="105"/>
        <v/>
      </c>
      <c r="S1190" s="27" t="str">
        <f>IF(I1190="","",_xlfn.XLOOKUP(I1190,Lists!$C:$C,Lists!$I:$I))</f>
        <v/>
      </c>
    </row>
    <row r="1191" spans="3:19" x14ac:dyDescent="0.2">
      <c r="C1191" s="26">
        <f>_xlfn.XLOOKUP(B1191,Lists!B:B,Lists!A:A,"")</f>
        <v>0</v>
      </c>
      <c r="G1191" s="26" t="str">
        <f t="shared" si="101"/>
        <v/>
      </c>
      <c r="H1191" s="31" t="str">
        <f t="shared" si="102"/>
        <v/>
      </c>
      <c r="J1191" s="27" t="str">
        <f>IF(I1191="","",_xlfn.XLOOKUP(I1191,Lists!$C:$C,Lists!$D:$D))</f>
        <v/>
      </c>
      <c r="N1191" s="26" t="str">
        <f t="shared" si="103"/>
        <v/>
      </c>
      <c r="O1191" s="27" t="str">
        <f>IF(I1191="","",_xlfn.XLOOKUP(I1191,Lists!$C:$C,Lists!$J:$J))</f>
        <v/>
      </c>
      <c r="P1191" s="27" t="str">
        <f>IF(I1191="","",_xlfn.XLOOKUP(I1191,Lists!$C:$C,Lists!$E:$E))</f>
        <v/>
      </c>
      <c r="Q1191" s="28" t="str">
        <f t="shared" si="104"/>
        <v/>
      </c>
      <c r="R1191" s="26" t="str">
        <f t="shared" ca="1" si="105"/>
        <v/>
      </c>
      <c r="S1191" s="27" t="str">
        <f>IF(I1191="","",_xlfn.XLOOKUP(I1191,Lists!$C:$C,Lists!$I:$I))</f>
        <v/>
      </c>
    </row>
    <row r="1192" spans="3:19" x14ac:dyDescent="0.2">
      <c r="C1192" s="26">
        <f>_xlfn.XLOOKUP(B1192,Lists!B:B,Lists!A:A,"")</f>
        <v>0</v>
      </c>
      <c r="G1192" s="26" t="str">
        <f t="shared" si="101"/>
        <v/>
      </c>
      <c r="H1192" s="31" t="str">
        <f t="shared" si="102"/>
        <v/>
      </c>
      <c r="J1192" s="27" t="str">
        <f>IF(I1192="","",_xlfn.XLOOKUP(I1192,Lists!$C:$C,Lists!$D:$D))</f>
        <v/>
      </c>
      <c r="N1192" s="26" t="str">
        <f t="shared" si="103"/>
        <v/>
      </c>
      <c r="O1192" s="27" t="str">
        <f>IF(I1192="","",_xlfn.XLOOKUP(I1192,Lists!$C:$C,Lists!$J:$J))</f>
        <v/>
      </c>
      <c r="P1192" s="27" t="str">
        <f>IF(I1192="","",_xlfn.XLOOKUP(I1192,Lists!$C:$C,Lists!$E:$E))</f>
        <v/>
      </c>
      <c r="Q1192" s="28" t="str">
        <f t="shared" si="104"/>
        <v/>
      </c>
      <c r="R1192" s="26" t="str">
        <f t="shared" ca="1" si="105"/>
        <v/>
      </c>
      <c r="S1192" s="27" t="str">
        <f>IF(I1192="","",_xlfn.XLOOKUP(I1192,Lists!$C:$C,Lists!$I:$I))</f>
        <v/>
      </c>
    </row>
    <row r="1193" spans="3:19" x14ac:dyDescent="0.2">
      <c r="C1193" s="26">
        <f>_xlfn.XLOOKUP(B1193,Lists!B:B,Lists!A:A,"")</f>
        <v>0</v>
      </c>
      <c r="G1193" s="26" t="str">
        <f t="shared" si="101"/>
        <v/>
      </c>
      <c r="H1193" s="31" t="str">
        <f t="shared" si="102"/>
        <v/>
      </c>
      <c r="J1193" s="27" t="str">
        <f>IF(I1193="","",_xlfn.XLOOKUP(I1193,Lists!$C:$C,Lists!$D:$D))</f>
        <v/>
      </c>
      <c r="N1193" s="26" t="str">
        <f t="shared" si="103"/>
        <v/>
      </c>
      <c r="O1193" s="27" t="str">
        <f>IF(I1193="","",_xlfn.XLOOKUP(I1193,Lists!$C:$C,Lists!$J:$J))</f>
        <v/>
      </c>
      <c r="P1193" s="27" t="str">
        <f>IF(I1193="","",_xlfn.XLOOKUP(I1193,Lists!$C:$C,Lists!$E:$E))</f>
        <v/>
      </c>
      <c r="Q1193" s="28" t="str">
        <f t="shared" si="104"/>
        <v/>
      </c>
      <c r="R1193" s="26" t="str">
        <f t="shared" ca="1" si="105"/>
        <v/>
      </c>
      <c r="S1193" s="27" t="str">
        <f>IF(I1193="","",_xlfn.XLOOKUP(I1193,Lists!$C:$C,Lists!$I:$I))</f>
        <v/>
      </c>
    </row>
    <row r="1194" spans="3:19" x14ac:dyDescent="0.2">
      <c r="C1194" s="26">
        <f>_xlfn.XLOOKUP(B1194,Lists!B:B,Lists!A:A,"")</f>
        <v>0</v>
      </c>
      <c r="G1194" s="26" t="str">
        <f t="shared" si="101"/>
        <v/>
      </c>
      <c r="H1194" s="31" t="str">
        <f t="shared" si="102"/>
        <v/>
      </c>
      <c r="J1194" s="27" t="str">
        <f>IF(I1194="","",_xlfn.XLOOKUP(I1194,Lists!$C:$C,Lists!$D:$D))</f>
        <v/>
      </c>
      <c r="N1194" s="26" t="str">
        <f t="shared" si="103"/>
        <v/>
      </c>
      <c r="O1194" s="27" t="str">
        <f>IF(I1194="","",_xlfn.XLOOKUP(I1194,Lists!$C:$C,Lists!$J:$J))</f>
        <v/>
      </c>
      <c r="P1194" s="27" t="str">
        <f>IF(I1194="","",_xlfn.XLOOKUP(I1194,Lists!$C:$C,Lists!$E:$E))</f>
        <v/>
      </c>
      <c r="Q1194" s="28" t="str">
        <f t="shared" si="104"/>
        <v/>
      </c>
      <c r="R1194" s="26" t="str">
        <f t="shared" ca="1" si="105"/>
        <v/>
      </c>
      <c r="S1194" s="27" t="str">
        <f>IF(I1194="","",_xlfn.XLOOKUP(I1194,Lists!$C:$C,Lists!$I:$I))</f>
        <v/>
      </c>
    </row>
    <row r="1195" spans="3:19" x14ac:dyDescent="0.2">
      <c r="C1195" s="26">
        <f>_xlfn.XLOOKUP(B1195,Lists!B:B,Lists!A:A,"")</f>
        <v>0</v>
      </c>
      <c r="G1195" s="26" t="str">
        <f t="shared" si="101"/>
        <v/>
      </c>
      <c r="H1195" s="31" t="str">
        <f t="shared" si="102"/>
        <v/>
      </c>
      <c r="J1195" s="27" t="str">
        <f>IF(I1195="","",_xlfn.XLOOKUP(I1195,Lists!$C:$C,Lists!$D:$D))</f>
        <v/>
      </c>
      <c r="N1195" s="26" t="str">
        <f t="shared" si="103"/>
        <v/>
      </c>
      <c r="O1195" s="27" t="str">
        <f>IF(I1195="","",_xlfn.XLOOKUP(I1195,Lists!$C:$C,Lists!$J:$J))</f>
        <v/>
      </c>
      <c r="P1195" s="27" t="str">
        <f>IF(I1195="","",_xlfn.XLOOKUP(I1195,Lists!$C:$C,Lists!$E:$E))</f>
        <v/>
      </c>
      <c r="Q1195" s="28" t="str">
        <f t="shared" si="104"/>
        <v/>
      </c>
      <c r="R1195" s="26" t="str">
        <f t="shared" ca="1" si="105"/>
        <v/>
      </c>
      <c r="S1195" s="27" t="str">
        <f>IF(I1195="","",_xlfn.XLOOKUP(I1195,Lists!$C:$C,Lists!$I:$I))</f>
        <v/>
      </c>
    </row>
    <row r="1196" spans="3:19" x14ac:dyDescent="0.2">
      <c r="C1196" s="26">
        <f>_xlfn.XLOOKUP(B1196,Lists!B:B,Lists!A:A,"")</f>
        <v>0</v>
      </c>
      <c r="G1196" s="26" t="str">
        <f t="shared" si="101"/>
        <v/>
      </c>
      <c r="H1196" s="31" t="str">
        <f t="shared" si="102"/>
        <v/>
      </c>
      <c r="J1196" s="27" t="str">
        <f>IF(I1196="","",_xlfn.XLOOKUP(I1196,Lists!$C:$C,Lists!$D:$D))</f>
        <v/>
      </c>
      <c r="N1196" s="26" t="str">
        <f t="shared" si="103"/>
        <v/>
      </c>
      <c r="O1196" s="27" t="str">
        <f>IF(I1196="","",_xlfn.XLOOKUP(I1196,Lists!$C:$C,Lists!$J:$J))</f>
        <v/>
      </c>
      <c r="P1196" s="27" t="str">
        <f>IF(I1196="","",_xlfn.XLOOKUP(I1196,Lists!$C:$C,Lists!$E:$E))</f>
        <v/>
      </c>
      <c r="Q1196" s="28" t="str">
        <f t="shared" si="104"/>
        <v/>
      </c>
      <c r="R1196" s="26" t="str">
        <f t="shared" ca="1" si="105"/>
        <v/>
      </c>
      <c r="S1196" s="27" t="str">
        <f>IF(I1196="","",_xlfn.XLOOKUP(I1196,Lists!$C:$C,Lists!$I:$I))</f>
        <v/>
      </c>
    </row>
    <row r="1197" spans="3:19" x14ac:dyDescent="0.2">
      <c r="C1197" s="26">
        <f>_xlfn.XLOOKUP(B1197,Lists!B:B,Lists!A:A,"")</f>
        <v>0</v>
      </c>
      <c r="G1197" s="26" t="str">
        <f t="shared" si="101"/>
        <v/>
      </c>
      <c r="H1197" s="31" t="str">
        <f t="shared" si="102"/>
        <v/>
      </c>
      <c r="J1197" s="27" t="str">
        <f>IF(I1197="","",_xlfn.XLOOKUP(I1197,Lists!$C:$C,Lists!$D:$D))</f>
        <v/>
      </c>
      <c r="N1197" s="26" t="str">
        <f t="shared" si="103"/>
        <v/>
      </c>
      <c r="O1197" s="27" t="str">
        <f>IF(I1197="","",_xlfn.XLOOKUP(I1197,Lists!$C:$C,Lists!$J:$J))</f>
        <v/>
      </c>
      <c r="P1197" s="27" t="str">
        <f>IF(I1197="","",_xlfn.XLOOKUP(I1197,Lists!$C:$C,Lists!$E:$E))</f>
        <v/>
      </c>
      <c r="Q1197" s="28" t="str">
        <f t="shared" si="104"/>
        <v/>
      </c>
      <c r="R1197" s="26" t="str">
        <f t="shared" ca="1" si="105"/>
        <v/>
      </c>
      <c r="S1197" s="27" t="str">
        <f>IF(I1197="","",_xlfn.XLOOKUP(I1197,Lists!$C:$C,Lists!$I:$I))</f>
        <v/>
      </c>
    </row>
    <row r="1198" spans="3:19" x14ac:dyDescent="0.2">
      <c r="C1198" s="26">
        <f>_xlfn.XLOOKUP(B1198,Lists!B:B,Lists!A:A,"")</f>
        <v>0</v>
      </c>
      <c r="G1198" s="26" t="str">
        <f t="shared" si="101"/>
        <v/>
      </c>
      <c r="H1198" s="31" t="str">
        <f t="shared" si="102"/>
        <v/>
      </c>
      <c r="J1198" s="27" t="str">
        <f>IF(I1198="","",_xlfn.XLOOKUP(I1198,Lists!$C:$C,Lists!$D:$D))</f>
        <v/>
      </c>
      <c r="N1198" s="26" t="str">
        <f t="shared" si="103"/>
        <v/>
      </c>
      <c r="O1198" s="27" t="str">
        <f>IF(I1198="","",_xlfn.XLOOKUP(I1198,Lists!$C:$C,Lists!$J:$J))</f>
        <v/>
      </c>
      <c r="P1198" s="27" t="str">
        <f>IF(I1198="","",_xlfn.XLOOKUP(I1198,Lists!$C:$C,Lists!$E:$E))</f>
        <v/>
      </c>
      <c r="Q1198" s="28" t="str">
        <f t="shared" si="104"/>
        <v/>
      </c>
      <c r="R1198" s="26" t="str">
        <f t="shared" ca="1" si="105"/>
        <v/>
      </c>
      <c r="S1198" s="27" t="str">
        <f>IF(I1198="","",_xlfn.XLOOKUP(I1198,Lists!$C:$C,Lists!$I:$I))</f>
        <v/>
      </c>
    </row>
    <row r="1199" spans="3:19" x14ac:dyDescent="0.2">
      <c r="C1199" s="26">
        <f>_xlfn.XLOOKUP(B1199,Lists!B:B,Lists!A:A,"")</f>
        <v>0</v>
      </c>
      <c r="G1199" s="26" t="str">
        <f t="shared" si="101"/>
        <v/>
      </c>
      <c r="H1199" s="31" t="str">
        <f t="shared" si="102"/>
        <v/>
      </c>
      <c r="J1199" s="27" t="str">
        <f>IF(I1199="","",_xlfn.XLOOKUP(I1199,Lists!$C:$C,Lists!$D:$D))</f>
        <v/>
      </c>
      <c r="N1199" s="26" t="str">
        <f t="shared" si="103"/>
        <v/>
      </c>
      <c r="O1199" s="27" t="str">
        <f>IF(I1199="","",_xlfn.XLOOKUP(I1199,Lists!$C:$C,Lists!$J:$J))</f>
        <v/>
      </c>
      <c r="P1199" s="27" t="str">
        <f>IF(I1199="","",_xlfn.XLOOKUP(I1199,Lists!$C:$C,Lists!$E:$E))</f>
        <v/>
      </c>
      <c r="Q1199" s="28" t="str">
        <f t="shared" si="104"/>
        <v/>
      </c>
      <c r="R1199" s="26" t="str">
        <f t="shared" ca="1" si="105"/>
        <v/>
      </c>
      <c r="S1199" s="27" t="str">
        <f>IF(I1199="","",_xlfn.XLOOKUP(I1199,Lists!$C:$C,Lists!$I:$I))</f>
        <v/>
      </c>
    </row>
    <row r="1200" spans="3:19" x14ac:dyDescent="0.2">
      <c r="C1200" s="26">
        <f>_xlfn.XLOOKUP(B1200,Lists!B:B,Lists!A:A,"")</f>
        <v>0</v>
      </c>
      <c r="G1200" s="26" t="str">
        <f t="shared" si="101"/>
        <v/>
      </c>
      <c r="H1200" s="31" t="str">
        <f t="shared" si="102"/>
        <v/>
      </c>
      <c r="J1200" s="27" t="str">
        <f>IF(I1200="","",_xlfn.XLOOKUP(I1200,Lists!$C:$C,Lists!$D:$D))</f>
        <v/>
      </c>
      <c r="N1200" s="26" t="str">
        <f t="shared" si="103"/>
        <v/>
      </c>
      <c r="O1200" s="27" t="str">
        <f>IF(I1200="","",_xlfn.XLOOKUP(I1200,Lists!$C:$C,Lists!$J:$J))</f>
        <v/>
      </c>
      <c r="P1200" s="27" t="str">
        <f>IF(I1200="","",_xlfn.XLOOKUP(I1200,Lists!$C:$C,Lists!$E:$E))</f>
        <v/>
      </c>
      <c r="Q1200" s="28" t="str">
        <f t="shared" si="104"/>
        <v/>
      </c>
      <c r="R1200" s="26" t="str">
        <f t="shared" ca="1" si="105"/>
        <v/>
      </c>
      <c r="S1200" s="27" t="str">
        <f>IF(I1200="","",_xlfn.XLOOKUP(I1200,Lists!$C:$C,Lists!$I:$I))</f>
        <v/>
      </c>
    </row>
    <row r="1201" spans="3:19" x14ac:dyDescent="0.2">
      <c r="C1201" s="26">
        <f>_xlfn.XLOOKUP(B1201,Lists!B:B,Lists!A:A,"")</f>
        <v>0</v>
      </c>
      <c r="G1201" s="26" t="str">
        <f t="shared" si="101"/>
        <v/>
      </c>
      <c r="H1201" s="31" t="str">
        <f t="shared" si="102"/>
        <v/>
      </c>
      <c r="J1201" s="27" t="str">
        <f>IF(I1201="","",_xlfn.XLOOKUP(I1201,Lists!$C:$C,Lists!$D:$D))</f>
        <v/>
      </c>
      <c r="N1201" s="26" t="str">
        <f t="shared" si="103"/>
        <v/>
      </c>
      <c r="O1201" s="27" t="str">
        <f>IF(I1201="","",_xlfn.XLOOKUP(I1201,Lists!$C:$C,Lists!$J:$J))</f>
        <v/>
      </c>
      <c r="P1201" s="27" t="str">
        <f>IF(I1201="","",_xlfn.XLOOKUP(I1201,Lists!$C:$C,Lists!$E:$E))</f>
        <v/>
      </c>
      <c r="Q1201" s="28" t="str">
        <f t="shared" si="104"/>
        <v/>
      </c>
      <c r="R1201" s="26" t="str">
        <f t="shared" ca="1" si="105"/>
        <v/>
      </c>
      <c r="S1201" s="27" t="str">
        <f>IF(I1201="","",_xlfn.XLOOKUP(I1201,Lists!$C:$C,Lists!$I:$I))</f>
        <v/>
      </c>
    </row>
    <row r="1202" spans="3:19" x14ac:dyDescent="0.2">
      <c r="C1202" s="26">
        <f>_xlfn.XLOOKUP(B1202,Lists!B:B,Lists!A:A,"")</f>
        <v>0</v>
      </c>
      <c r="G1202" s="26" t="str">
        <f t="shared" si="101"/>
        <v/>
      </c>
      <c r="H1202" s="31" t="str">
        <f t="shared" si="102"/>
        <v/>
      </c>
      <c r="J1202" s="27" t="str">
        <f>IF(I1202="","",_xlfn.XLOOKUP(I1202,Lists!$C:$C,Lists!$D:$D))</f>
        <v/>
      </c>
      <c r="N1202" s="26" t="str">
        <f t="shared" si="103"/>
        <v/>
      </c>
      <c r="O1202" s="27" t="str">
        <f>IF(I1202="","",_xlfn.XLOOKUP(I1202,Lists!$C:$C,Lists!$J:$J))</f>
        <v/>
      </c>
      <c r="P1202" s="27" t="str">
        <f>IF(I1202="","",_xlfn.XLOOKUP(I1202,Lists!$C:$C,Lists!$E:$E))</f>
        <v/>
      </c>
      <c r="Q1202" s="28" t="str">
        <f t="shared" si="104"/>
        <v/>
      </c>
      <c r="R1202" s="26" t="str">
        <f t="shared" ca="1" si="105"/>
        <v/>
      </c>
      <c r="S1202" s="27" t="str">
        <f>IF(I1202="","",_xlfn.XLOOKUP(I1202,Lists!$C:$C,Lists!$I:$I))</f>
        <v/>
      </c>
    </row>
    <row r="1203" spans="3:19" x14ac:dyDescent="0.2">
      <c r="C1203" s="26">
        <f>_xlfn.XLOOKUP(B1203,Lists!B:B,Lists!A:A,"")</f>
        <v>0</v>
      </c>
      <c r="G1203" s="26" t="str">
        <f t="shared" si="101"/>
        <v/>
      </c>
      <c r="H1203" s="31" t="str">
        <f t="shared" si="102"/>
        <v/>
      </c>
      <c r="J1203" s="27" t="str">
        <f>IF(I1203="","",_xlfn.XLOOKUP(I1203,Lists!$C:$C,Lists!$D:$D))</f>
        <v/>
      </c>
      <c r="N1203" s="26" t="str">
        <f t="shared" si="103"/>
        <v/>
      </c>
      <c r="O1203" s="27" t="str">
        <f>IF(I1203="","",_xlfn.XLOOKUP(I1203,Lists!$C:$C,Lists!$J:$J))</f>
        <v/>
      </c>
      <c r="P1203" s="27" t="str">
        <f>IF(I1203="","",_xlfn.XLOOKUP(I1203,Lists!$C:$C,Lists!$E:$E))</f>
        <v/>
      </c>
      <c r="Q1203" s="28" t="str">
        <f t="shared" si="104"/>
        <v/>
      </c>
      <c r="R1203" s="26" t="str">
        <f t="shared" ca="1" si="105"/>
        <v/>
      </c>
      <c r="S1203" s="27" t="str">
        <f>IF(I1203="","",_xlfn.XLOOKUP(I1203,Lists!$C:$C,Lists!$I:$I))</f>
        <v/>
      </c>
    </row>
    <row r="1204" spans="3:19" x14ac:dyDescent="0.2">
      <c r="C1204" s="26">
        <f>_xlfn.XLOOKUP(B1204,Lists!B:B,Lists!A:A,"")</f>
        <v>0</v>
      </c>
      <c r="G1204" s="26" t="str">
        <f t="shared" si="101"/>
        <v/>
      </c>
      <c r="H1204" s="31" t="str">
        <f t="shared" si="102"/>
        <v/>
      </c>
      <c r="J1204" s="27" t="str">
        <f>IF(I1204="","",_xlfn.XLOOKUP(I1204,Lists!$C:$C,Lists!$D:$D))</f>
        <v/>
      </c>
      <c r="N1204" s="26" t="str">
        <f t="shared" si="103"/>
        <v/>
      </c>
      <c r="O1204" s="27" t="str">
        <f>IF(I1204="","",_xlfn.XLOOKUP(I1204,Lists!$C:$C,Lists!$J:$J))</f>
        <v/>
      </c>
      <c r="P1204" s="27" t="str">
        <f>IF(I1204="","",_xlfn.XLOOKUP(I1204,Lists!$C:$C,Lists!$E:$E))</f>
        <v/>
      </c>
      <c r="Q1204" s="28" t="str">
        <f t="shared" si="104"/>
        <v/>
      </c>
      <c r="R1204" s="26" t="str">
        <f t="shared" ca="1" si="105"/>
        <v/>
      </c>
      <c r="S1204" s="27" t="str">
        <f>IF(I1204="","",_xlfn.XLOOKUP(I1204,Lists!$C:$C,Lists!$I:$I))</f>
        <v/>
      </c>
    </row>
    <row r="1205" spans="3:19" x14ac:dyDescent="0.2">
      <c r="C1205" s="26">
        <f>_xlfn.XLOOKUP(B1205,Lists!B:B,Lists!A:A,"")</f>
        <v>0</v>
      </c>
      <c r="G1205" s="26" t="str">
        <f t="shared" si="101"/>
        <v/>
      </c>
      <c r="H1205" s="31" t="str">
        <f t="shared" si="102"/>
        <v/>
      </c>
      <c r="J1205" s="27" t="str">
        <f>IF(I1205="","",_xlfn.XLOOKUP(I1205,Lists!$C:$C,Lists!$D:$D))</f>
        <v/>
      </c>
      <c r="N1205" s="26" t="str">
        <f t="shared" si="103"/>
        <v/>
      </c>
      <c r="O1205" s="27" t="str">
        <f>IF(I1205="","",_xlfn.XLOOKUP(I1205,Lists!$C:$C,Lists!$J:$J))</f>
        <v/>
      </c>
      <c r="P1205" s="27" t="str">
        <f>IF(I1205="","",_xlfn.XLOOKUP(I1205,Lists!$C:$C,Lists!$E:$E))</f>
        <v/>
      </c>
      <c r="Q1205" s="28" t="str">
        <f t="shared" si="104"/>
        <v/>
      </c>
      <c r="R1205" s="26" t="str">
        <f t="shared" ca="1" si="105"/>
        <v/>
      </c>
      <c r="S1205" s="27" t="str">
        <f>IF(I1205="","",_xlfn.XLOOKUP(I1205,Lists!$C:$C,Lists!$I:$I))</f>
        <v/>
      </c>
    </row>
    <row r="1206" spans="3:19" x14ac:dyDescent="0.2">
      <c r="C1206" s="26">
        <f>_xlfn.XLOOKUP(B1206,Lists!B:B,Lists!A:A,"")</f>
        <v>0</v>
      </c>
      <c r="G1206" s="26" t="str">
        <f t="shared" si="101"/>
        <v/>
      </c>
      <c r="H1206" s="31" t="str">
        <f t="shared" si="102"/>
        <v/>
      </c>
      <c r="J1206" s="27" t="str">
        <f>IF(I1206="","",_xlfn.XLOOKUP(I1206,Lists!$C:$C,Lists!$D:$D))</f>
        <v/>
      </c>
      <c r="N1206" s="26" t="str">
        <f t="shared" si="103"/>
        <v/>
      </c>
      <c r="O1206" s="27" t="str">
        <f>IF(I1206="","",_xlfn.XLOOKUP(I1206,Lists!$C:$C,Lists!$J:$J))</f>
        <v/>
      </c>
      <c r="P1206" s="27" t="str">
        <f>IF(I1206="","",_xlfn.XLOOKUP(I1206,Lists!$C:$C,Lists!$E:$E))</f>
        <v/>
      </c>
      <c r="Q1206" s="28" t="str">
        <f t="shared" si="104"/>
        <v/>
      </c>
      <c r="R1206" s="26" t="str">
        <f t="shared" ca="1" si="105"/>
        <v/>
      </c>
      <c r="S1206" s="27" t="str">
        <f>IF(I1206="","",_xlfn.XLOOKUP(I1206,Lists!$C:$C,Lists!$I:$I))</f>
        <v/>
      </c>
    </row>
    <row r="1207" spans="3:19" x14ac:dyDescent="0.2">
      <c r="C1207" s="26">
        <f>_xlfn.XLOOKUP(B1207,Lists!B:B,Lists!A:A,"")</f>
        <v>0</v>
      </c>
      <c r="G1207" s="26" t="str">
        <f t="shared" si="101"/>
        <v/>
      </c>
      <c r="H1207" s="31" t="str">
        <f t="shared" si="102"/>
        <v/>
      </c>
      <c r="J1207" s="27" t="str">
        <f>IF(I1207="","",_xlfn.XLOOKUP(I1207,Lists!$C:$C,Lists!$D:$D))</f>
        <v/>
      </c>
      <c r="N1207" s="26" t="str">
        <f t="shared" si="103"/>
        <v/>
      </c>
      <c r="O1207" s="27" t="str">
        <f>IF(I1207="","",_xlfn.XLOOKUP(I1207,Lists!$C:$C,Lists!$J:$J))</f>
        <v/>
      </c>
      <c r="P1207" s="27" t="str">
        <f>IF(I1207="","",_xlfn.XLOOKUP(I1207,Lists!$C:$C,Lists!$E:$E))</f>
        <v/>
      </c>
      <c r="Q1207" s="28" t="str">
        <f t="shared" si="104"/>
        <v/>
      </c>
      <c r="R1207" s="26" t="str">
        <f t="shared" ca="1" si="105"/>
        <v/>
      </c>
      <c r="S1207" s="27" t="str">
        <f>IF(I1207="","",_xlfn.XLOOKUP(I1207,Lists!$C:$C,Lists!$I:$I))</f>
        <v/>
      </c>
    </row>
    <row r="1208" spans="3:19" x14ac:dyDescent="0.2">
      <c r="C1208" s="26">
        <f>_xlfn.XLOOKUP(B1208,Lists!B:B,Lists!A:A,"")</f>
        <v>0</v>
      </c>
      <c r="G1208" s="26" t="str">
        <f t="shared" si="101"/>
        <v/>
      </c>
      <c r="H1208" s="31" t="str">
        <f t="shared" si="102"/>
        <v/>
      </c>
      <c r="J1208" s="27" t="str">
        <f>IF(I1208="","",_xlfn.XLOOKUP(I1208,Lists!$C:$C,Lists!$D:$D))</f>
        <v/>
      </c>
      <c r="N1208" s="26" t="str">
        <f t="shared" si="103"/>
        <v/>
      </c>
      <c r="O1208" s="27" t="str">
        <f>IF(I1208="","",_xlfn.XLOOKUP(I1208,Lists!$C:$C,Lists!$J:$J))</f>
        <v/>
      </c>
      <c r="P1208" s="27" t="str">
        <f>IF(I1208="","",_xlfn.XLOOKUP(I1208,Lists!$C:$C,Lists!$E:$E))</f>
        <v/>
      </c>
      <c r="Q1208" s="28" t="str">
        <f t="shared" si="104"/>
        <v/>
      </c>
      <c r="R1208" s="26" t="str">
        <f t="shared" ca="1" si="105"/>
        <v/>
      </c>
      <c r="S1208" s="27" t="str">
        <f>IF(I1208="","",_xlfn.XLOOKUP(I1208,Lists!$C:$C,Lists!$I:$I))</f>
        <v/>
      </c>
    </row>
    <row r="1209" spans="3:19" x14ac:dyDescent="0.2">
      <c r="C1209" s="26">
        <f>_xlfn.XLOOKUP(B1209,Lists!B:B,Lists!A:A,"")</f>
        <v>0</v>
      </c>
      <c r="G1209" s="26" t="str">
        <f t="shared" si="101"/>
        <v/>
      </c>
      <c r="H1209" s="31" t="str">
        <f t="shared" si="102"/>
        <v/>
      </c>
      <c r="J1209" s="27" t="str">
        <f>IF(I1209="","",_xlfn.XLOOKUP(I1209,Lists!$C:$C,Lists!$D:$D))</f>
        <v/>
      </c>
      <c r="N1209" s="26" t="str">
        <f t="shared" si="103"/>
        <v/>
      </c>
      <c r="O1209" s="27" t="str">
        <f>IF(I1209="","",_xlfn.XLOOKUP(I1209,Lists!$C:$C,Lists!$J:$J))</f>
        <v/>
      </c>
      <c r="P1209" s="27" t="str">
        <f>IF(I1209="","",_xlfn.XLOOKUP(I1209,Lists!$C:$C,Lists!$E:$E))</f>
        <v/>
      </c>
      <c r="Q1209" s="28" t="str">
        <f t="shared" si="104"/>
        <v/>
      </c>
      <c r="R1209" s="26" t="str">
        <f t="shared" ca="1" si="105"/>
        <v/>
      </c>
      <c r="S1209" s="27" t="str">
        <f>IF(I1209="","",_xlfn.XLOOKUP(I1209,Lists!$C:$C,Lists!$I:$I))</f>
        <v/>
      </c>
    </row>
    <row r="1210" spans="3:19" x14ac:dyDescent="0.2">
      <c r="C1210" s="26">
        <f>_xlfn.XLOOKUP(B1210,Lists!B:B,Lists!A:A,"")</f>
        <v>0</v>
      </c>
      <c r="G1210" s="26" t="str">
        <f t="shared" si="101"/>
        <v/>
      </c>
      <c r="H1210" s="31" t="str">
        <f t="shared" si="102"/>
        <v/>
      </c>
      <c r="J1210" s="27" t="str">
        <f>IF(I1210="","",_xlfn.XLOOKUP(I1210,Lists!$C:$C,Lists!$D:$D))</f>
        <v/>
      </c>
      <c r="N1210" s="26" t="str">
        <f t="shared" si="103"/>
        <v/>
      </c>
      <c r="O1210" s="27" t="str">
        <f>IF(I1210="","",_xlfn.XLOOKUP(I1210,Lists!$C:$C,Lists!$J:$J))</f>
        <v/>
      </c>
      <c r="P1210" s="27" t="str">
        <f>IF(I1210="","",_xlfn.XLOOKUP(I1210,Lists!$C:$C,Lists!$E:$E))</f>
        <v/>
      </c>
      <c r="Q1210" s="28" t="str">
        <f t="shared" si="104"/>
        <v/>
      </c>
      <c r="R1210" s="26" t="str">
        <f t="shared" ca="1" si="105"/>
        <v/>
      </c>
      <c r="S1210" s="27" t="str">
        <f>IF(I1210="","",_xlfn.XLOOKUP(I1210,Lists!$C:$C,Lists!$I:$I))</f>
        <v/>
      </c>
    </row>
    <row r="1211" spans="3:19" x14ac:dyDescent="0.2">
      <c r="C1211" s="26">
        <f>_xlfn.XLOOKUP(B1211,Lists!B:B,Lists!A:A,"")</f>
        <v>0</v>
      </c>
      <c r="G1211" s="26" t="str">
        <f t="shared" si="101"/>
        <v/>
      </c>
      <c r="H1211" s="31" t="str">
        <f t="shared" si="102"/>
        <v/>
      </c>
      <c r="J1211" s="27" t="str">
        <f>IF(I1211="","",_xlfn.XLOOKUP(I1211,Lists!$C:$C,Lists!$D:$D))</f>
        <v/>
      </c>
      <c r="N1211" s="26" t="str">
        <f t="shared" si="103"/>
        <v/>
      </c>
      <c r="O1211" s="27" t="str">
        <f>IF(I1211="","",_xlfn.XLOOKUP(I1211,Lists!$C:$C,Lists!$J:$J))</f>
        <v/>
      </c>
      <c r="P1211" s="27" t="str">
        <f>IF(I1211="","",_xlfn.XLOOKUP(I1211,Lists!$C:$C,Lists!$E:$E))</f>
        <v/>
      </c>
      <c r="Q1211" s="28" t="str">
        <f t="shared" si="104"/>
        <v/>
      </c>
      <c r="R1211" s="26" t="str">
        <f t="shared" ca="1" si="105"/>
        <v/>
      </c>
      <c r="S1211" s="27" t="str">
        <f>IF(I1211="","",_xlfn.XLOOKUP(I1211,Lists!$C:$C,Lists!$I:$I))</f>
        <v/>
      </c>
    </row>
    <row r="1212" spans="3:19" x14ac:dyDescent="0.2">
      <c r="C1212" s="26">
        <f>_xlfn.XLOOKUP(B1212,Lists!B:B,Lists!A:A,"")</f>
        <v>0</v>
      </c>
      <c r="G1212" s="26" t="str">
        <f t="shared" si="101"/>
        <v/>
      </c>
      <c r="H1212" s="31" t="str">
        <f t="shared" si="102"/>
        <v/>
      </c>
      <c r="J1212" s="27" t="str">
        <f>IF(I1212="","",_xlfn.XLOOKUP(I1212,Lists!$C:$C,Lists!$D:$D))</f>
        <v/>
      </c>
      <c r="N1212" s="26" t="str">
        <f t="shared" si="103"/>
        <v/>
      </c>
      <c r="O1212" s="27" t="str">
        <f>IF(I1212="","",_xlfn.XLOOKUP(I1212,Lists!$C:$C,Lists!$J:$J))</f>
        <v/>
      </c>
      <c r="P1212" s="27" t="str">
        <f>IF(I1212="","",_xlfn.XLOOKUP(I1212,Lists!$C:$C,Lists!$E:$E))</f>
        <v/>
      </c>
      <c r="Q1212" s="28" t="str">
        <f t="shared" si="104"/>
        <v/>
      </c>
      <c r="R1212" s="26" t="str">
        <f t="shared" ca="1" si="105"/>
        <v/>
      </c>
      <c r="S1212" s="27" t="str">
        <f>IF(I1212="","",_xlfn.XLOOKUP(I1212,Lists!$C:$C,Lists!$I:$I))</f>
        <v/>
      </c>
    </row>
    <row r="1213" spans="3:19" x14ac:dyDescent="0.2">
      <c r="C1213" s="26">
        <f>_xlfn.XLOOKUP(B1213,Lists!B:B,Lists!A:A,"")</f>
        <v>0</v>
      </c>
      <c r="G1213" s="26" t="str">
        <f t="shared" si="101"/>
        <v/>
      </c>
      <c r="H1213" s="31" t="str">
        <f t="shared" si="102"/>
        <v/>
      </c>
      <c r="J1213" s="27" t="str">
        <f>IF(I1213="","",_xlfn.XLOOKUP(I1213,Lists!$C:$C,Lists!$D:$D))</f>
        <v/>
      </c>
      <c r="N1213" s="26" t="str">
        <f t="shared" si="103"/>
        <v/>
      </c>
      <c r="O1213" s="27" t="str">
        <f>IF(I1213="","",_xlfn.XLOOKUP(I1213,Lists!$C:$C,Lists!$J:$J))</f>
        <v/>
      </c>
      <c r="P1213" s="27" t="str">
        <f>IF(I1213="","",_xlfn.XLOOKUP(I1213,Lists!$C:$C,Lists!$E:$E))</f>
        <v/>
      </c>
      <c r="Q1213" s="28" t="str">
        <f t="shared" si="104"/>
        <v/>
      </c>
      <c r="R1213" s="26" t="str">
        <f t="shared" ca="1" si="105"/>
        <v/>
      </c>
      <c r="S1213" s="27" t="str">
        <f>IF(I1213="","",_xlfn.XLOOKUP(I1213,Lists!$C:$C,Lists!$I:$I))</f>
        <v/>
      </c>
    </row>
    <row r="1214" spans="3:19" x14ac:dyDescent="0.2">
      <c r="C1214" s="26">
        <f>_xlfn.XLOOKUP(B1214,Lists!B:B,Lists!A:A,"")</f>
        <v>0</v>
      </c>
      <c r="G1214" s="26" t="str">
        <f t="shared" si="101"/>
        <v/>
      </c>
      <c r="H1214" s="31" t="str">
        <f t="shared" si="102"/>
        <v/>
      </c>
      <c r="J1214" s="27" t="str">
        <f>IF(I1214="","",_xlfn.XLOOKUP(I1214,Lists!$C:$C,Lists!$D:$D))</f>
        <v/>
      </c>
      <c r="N1214" s="26" t="str">
        <f t="shared" si="103"/>
        <v/>
      </c>
      <c r="O1214" s="27" t="str">
        <f>IF(I1214="","",_xlfn.XLOOKUP(I1214,Lists!$C:$C,Lists!$J:$J))</f>
        <v/>
      </c>
      <c r="P1214" s="27" t="str">
        <f>IF(I1214="","",_xlfn.XLOOKUP(I1214,Lists!$C:$C,Lists!$E:$E))</f>
        <v/>
      </c>
      <c r="Q1214" s="28" t="str">
        <f t="shared" si="104"/>
        <v/>
      </c>
      <c r="R1214" s="26" t="str">
        <f t="shared" ca="1" si="105"/>
        <v/>
      </c>
      <c r="S1214" s="27" t="str">
        <f>IF(I1214="","",_xlfn.XLOOKUP(I1214,Lists!$C:$C,Lists!$I:$I))</f>
        <v/>
      </c>
    </row>
    <row r="1215" spans="3:19" x14ac:dyDescent="0.2">
      <c r="C1215" s="26">
        <f>_xlfn.XLOOKUP(B1215,Lists!B:B,Lists!A:A,"")</f>
        <v>0</v>
      </c>
      <c r="G1215" s="26" t="str">
        <f t="shared" ref="G1215:G1246" si="106">IF(OR(E1215="",F1215=""),"",F1215-E1215+1)</f>
        <v/>
      </c>
      <c r="H1215" s="31" t="str">
        <f t="shared" ref="H1215:H1246" si="107">IF(D1215="","",IF(OR(D1215="A",D1215="B"),G1215/80,IF(D1215="A&amp;B",G1215/160,"")))</f>
        <v/>
      </c>
      <c r="J1215" s="27" t="str">
        <f>IF(I1215="","",_xlfn.XLOOKUP(I1215,Lists!$C:$C,Lists!$D:$D))</f>
        <v/>
      </c>
      <c r="N1215" s="26" t="str">
        <f t="shared" ref="N1215:N1246" si="108">IF(OR(M1215="",L1215=""),"",(M1215*L1215)/100000)</f>
        <v/>
      </c>
      <c r="O1215" s="27" t="str">
        <f>IF(I1215="","",_xlfn.XLOOKUP(I1215,Lists!$C:$C,Lists!$J:$J))</f>
        <v/>
      </c>
      <c r="P1215" s="27" t="str">
        <f>IF(I1215="","",_xlfn.XLOOKUP(I1215,Lists!$C:$C,Lists!$E:$E))</f>
        <v/>
      </c>
      <c r="Q1215" s="28" t="str">
        <f t="shared" ref="Q1215:Q1246" si="109">IF(OR(A1215="",P1215=""),"",A1215+P1215+1)</f>
        <v/>
      </c>
      <c r="R1215" s="26" t="str">
        <f t="shared" ref="R1215:R1246" ca="1" si="110">IF(Q1215="","",IF(Q1215&lt;=TODAY(),"Allow","Not Allow"))</f>
        <v/>
      </c>
      <c r="S1215" s="27" t="str">
        <f>IF(I1215="","",_xlfn.XLOOKUP(I1215,Lists!$C:$C,Lists!$I:$I))</f>
        <v/>
      </c>
    </row>
    <row r="1216" spans="3:19" x14ac:dyDescent="0.2">
      <c r="C1216" s="26">
        <f>_xlfn.XLOOKUP(B1216,Lists!B:B,Lists!A:A,"")</f>
        <v>0</v>
      </c>
      <c r="G1216" s="26" t="str">
        <f t="shared" si="106"/>
        <v/>
      </c>
      <c r="H1216" s="31" t="str">
        <f t="shared" si="107"/>
        <v/>
      </c>
      <c r="J1216" s="27" t="str">
        <f>IF(I1216="","",_xlfn.XLOOKUP(I1216,Lists!$C:$C,Lists!$D:$D))</f>
        <v/>
      </c>
      <c r="N1216" s="26" t="str">
        <f t="shared" si="108"/>
        <v/>
      </c>
      <c r="O1216" s="27" t="str">
        <f>IF(I1216="","",_xlfn.XLOOKUP(I1216,Lists!$C:$C,Lists!$J:$J))</f>
        <v/>
      </c>
      <c r="P1216" s="27" t="str">
        <f>IF(I1216="","",_xlfn.XLOOKUP(I1216,Lists!$C:$C,Lists!$E:$E))</f>
        <v/>
      </c>
      <c r="Q1216" s="28" t="str">
        <f t="shared" si="109"/>
        <v/>
      </c>
      <c r="R1216" s="26" t="str">
        <f t="shared" ca="1" si="110"/>
        <v/>
      </c>
      <c r="S1216" s="27" t="str">
        <f>IF(I1216="","",_xlfn.XLOOKUP(I1216,Lists!$C:$C,Lists!$I:$I))</f>
        <v/>
      </c>
    </row>
    <row r="1217" spans="3:19" x14ac:dyDescent="0.2">
      <c r="C1217" s="26">
        <f>_xlfn.XLOOKUP(B1217,Lists!B:B,Lists!A:A,"")</f>
        <v>0</v>
      </c>
      <c r="G1217" s="26" t="str">
        <f t="shared" si="106"/>
        <v/>
      </c>
      <c r="H1217" s="31" t="str">
        <f t="shared" si="107"/>
        <v/>
      </c>
      <c r="J1217" s="27" t="str">
        <f>IF(I1217="","",_xlfn.XLOOKUP(I1217,Lists!$C:$C,Lists!$D:$D))</f>
        <v/>
      </c>
      <c r="N1217" s="26" t="str">
        <f t="shared" si="108"/>
        <v/>
      </c>
      <c r="O1217" s="27" t="str">
        <f>IF(I1217="","",_xlfn.XLOOKUP(I1217,Lists!$C:$C,Lists!$J:$J))</f>
        <v/>
      </c>
      <c r="P1217" s="27" t="str">
        <f>IF(I1217="","",_xlfn.XLOOKUP(I1217,Lists!$C:$C,Lists!$E:$E))</f>
        <v/>
      </c>
      <c r="Q1217" s="28" t="str">
        <f t="shared" si="109"/>
        <v/>
      </c>
      <c r="R1217" s="26" t="str">
        <f t="shared" ca="1" si="110"/>
        <v/>
      </c>
      <c r="S1217" s="27" t="str">
        <f>IF(I1217="","",_xlfn.XLOOKUP(I1217,Lists!$C:$C,Lists!$I:$I))</f>
        <v/>
      </c>
    </row>
    <row r="1218" spans="3:19" x14ac:dyDescent="0.2">
      <c r="C1218" s="26">
        <f>_xlfn.XLOOKUP(B1218,Lists!B:B,Lists!A:A,"")</f>
        <v>0</v>
      </c>
      <c r="G1218" s="26" t="str">
        <f t="shared" si="106"/>
        <v/>
      </c>
      <c r="H1218" s="31" t="str">
        <f t="shared" si="107"/>
        <v/>
      </c>
      <c r="J1218" s="27" t="str">
        <f>IF(I1218="","",_xlfn.XLOOKUP(I1218,Lists!$C:$C,Lists!$D:$D))</f>
        <v/>
      </c>
      <c r="N1218" s="26" t="str">
        <f t="shared" si="108"/>
        <v/>
      </c>
      <c r="O1218" s="27" t="str">
        <f>IF(I1218="","",_xlfn.XLOOKUP(I1218,Lists!$C:$C,Lists!$J:$J))</f>
        <v/>
      </c>
      <c r="P1218" s="27" t="str">
        <f>IF(I1218="","",_xlfn.XLOOKUP(I1218,Lists!$C:$C,Lists!$E:$E))</f>
        <v/>
      </c>
      <c r="Q1218" s="28" t="str">
        <f t="shared" si="109"/>
        <v/>
      </c>
      <c r="R1218" s="26" t="str">
        <f t="shared" ca="1" si="110"/>
        <v/>
      </c>
      <c r="S1218" s="27" t="str">
        <f>IF(I1218="","",_xlfn.XLOOKUP(I1218,Lists!$C:$C,Lists!$I:$I))</f>
        <v/>
      </c>
    </row>
    <row r="1219" spans="3:19" x14ac:dyDescent="0.2">
      <c r="C1219" s="26">
        <f>_xlfn.XLOOKUP(B1219,Lists!B:B,Lists!A:A,"")</f>
        <v>0</v>
      </c>
      <c r="G1219" s="26" t="str">
        <f t="shared" si="106"/>
        <v/>
      </c>
      <c r="H1219" s="31" t="str">
        <f t="shared" si="107"/>
        <v/>
      </c>
      <c r="J1219" s="27" t="str">
        <f>IF(I1219="","",_xlfn.XLOOKUP(I1219,Lists!$C:$C,Lists!$D:$D))</f>
        <v/>
      </c>
      <c r="N1219" s="26" t="str">
        <f t="shared" si="108"/>
        <v/>
      </c>
      <c r="O1219" s="27" t="str">
        <f>IF(I1219="","",_xlfn.XLOOKUP(I1219,Lists!$C:$C,Lists!$J:$J))</f>
        <v/>
      </c>
      <c r="P1219" s="27" t="str">
        <f>IF(I1219="","",_xlfn.XLOOKUP(I1219,Lists!$C:$C,Lists!$E:$E))</f>
        <v/>
      </c>
      <c r="Q1219" s="28" t="str">
        <f t="shared" si="109"/>
        <v/>
      </c>
      <c r="R1219" s="26" t="str">
        <f t="shared" ca="1" si="110"/>
        <v/>
      </c>
      <c r="S1219" s="27" t="str">
        <f>IF(I1219="","",_xlfn.XLOOKUP(I1219,Lists!$C:$C,Lists!$I:$I))</f>
        <v/>
      </c>
    </row>
    <row r="1220" spans="3:19" x14ac:dyDescent="0.2">
      <c r="C1220" s="26">
        <f>_xlfn.XLOOKUP(B1220,Lists!B:B,Lists!A:A,"")</f>
        <v>0</v>
      </c>
      <c r="G1220" s="26" t="str">
        <f t="shared" si="106"/>
        <v/>
      </c>
      <c r="H1220" s="31" t="str">
        <f t="shared" si="107"/>
        <v/>
      </c>
      <c r="J1220" s="27" t="str">
        <f>IF(I1220="","",_xlfn.XLOOKUP(I1220,Lists!$C:$C,Lists!$D:$D))</f>
        <v/>
      </c>
      <c r="N1220" s="26" t="str">
        <f t="shared" si="108"/>
        <v/>
      </c>
      <c r="O1220" s="27" t="str">
        <f>IF(I1220="","",_xlfn.XLOOKUP(I1220,Lists!$C:$C,Lists!$J:$J))</f>
        <v/>
      </c>
      <c r="P1220" s="27" t="str">
        <f>IF(I1220="","",_xlfn.XLOOKUP(I1220,Lists!$C:$C,Lists!$E:$E))</f>
        <v/>
      </c>
      <c r="Q1220" s="28" t="str">
        <f t="shared" si="109"/>
        <v/>
      </c>
      <c r="R1220" s="26" t="str">
        <f t="shared" ca="1" si="110"/>
        <v/>
      </c>
      <c r="S1220" s="27" t="str">
        <f>IF(I1220="","",_xlfn.XLOOKUP(I1220,Lists!$C:$C,Lists!$I:$I))</f>
        <v/>
      </c>
    </row>
    <row r="1221" spans="3:19" x14ac:dyDescent="0.2">
      <c r="C1221" s="26">
        <f>_xlfn.XLOOKUP(B1221,Lists!B:B,Lists!A:A,"")</f>
        <v>0</v>
      </c>
      <c r="G1221" s="26" t="str">
        <f t="shared" si="106"/>
        <v/>
      </c>
      <c r="H1221" s="31" t="str">
        <f t="shared" si="107"/>
        <v/>
      </c>
      <c r="J1221" s="27" t="str">
        <f>IF(I1221="","",_xlfn.XLOOKUP(I1221,Lists!$C:$C,Lists!$D:$D))</f>
        <v/>
      </c>
      <c r="N1221" s="26" t="str">
        <f t="shared" si="108"/>
        <v/>
      </c>
      <c r="O1221" s="27" t="str">
        <f>IF(I1221="","",_xlfn.XLOOKUP(I1221,Lists!$C:$C,Lists!$J:$J))</f>
        <v/>
      </c>
      <c r="P1221" s="27" t="str">
        <f>IF(I1221="","",_xlfn.XLOOKUP(I1221,Lists!$C:$C,Lists!$E:$E))</f>
        <v/>
      </c>
      <c r="Q1221" s="28" t="str">
        <f t="shared" si="109"/>
        <v/>
      </c>
      <c r="R1221" s="26" t="str">
        <f t="shared" ca="1" si="110"/>
        <v/>
      </c>
      <c r="S1221" s="27" t="str">
        <f>IF(I1221="","",_xlfn.XLOOKUP(I1221,Lists!$C:$C,Lists!$I:$I))</f>
        <v/>
      </c>
    </row>
    <row r="1222" spans="3:19" x14ac:dyDescent="0.2">
      <c r="C1222" s="26">
        <f>_xlfn.XLOOKUP(B1222,Lists!B:B,Lists!A:A,"")</f>
        <v>0</v>
      </c>
      <c r="G1222" s="26" t="str">
        <f t="shared" si="106"/>
        <v/>
      </c>
      <c r="H1222" s="31" t="str">
        <f t="shared" si="107"/>
        <v/>
      </c>
      <c r="J1222" s="27" t="str">
        <f>IF(I1222="","",_xlfn.XLOOKUP(I1222,Lists!$C:$C,Lists!$D:$D))</f>
        <v/>
      </c>
      <c r="N1222" s="26" t="str">
        <f t="shared" si="108"/>
        <v/>
      </c>
      <c r="O1222" s="27" t="str">
        <f>IF(I1222="","",_xlfn.XLOOKUP(I1222,Lists!$C:$C,Lists!$J:$J))</f>
        <v/>
      </c>
      <c r="P1222" s="27" t="str">
        <f>IF(I1222="","",_xlfn.XLOOKUP(I1222,Lists!$C:$C,Lists!$E:$E))</f>
        <v/>
      </c>
      <c r="Q1222" s="28" t="str">
        <f t="shared" si="109"/>
        <v/>
      </c>
      <c r="R1222" s="26" t="str">
        <f t="shared" ca="1" si="110"/>
        <v/>
      </c>
      <c r="S1222" s="27" t="str">
        <f>IF(I1222="","",_xlfn.XLOOKUP(I1222,Lists!$C:$C,Lists!$I:$I))</f>
        <v/>
      </c>
    </row>
    <row r="1223" spans="3:19" x14ac:dyDescent="0.2">
      <c r="C1223" s="26">
        <f>_xlfn.XLOOKUP(B1223,Lists!B:B,Lists!A:A,"")</f>
        <v>0</v>
      </c>
      <c r="G1223" s="26" t="str">
        <f t="shared" si="106"/>
        <v/>
      </c>
      <c r="H1223" s="31" t="str">
        <f t="shared" si="107"/>
        <v/>
      </c>
      <c r="J1223" s="27" t="str">
        <f>IF(I1223="","",_xlfn.XLOOKUP(I1223,Lists!$C:$C,Lists!$D:$D))</f>
        <v/>
      </c>
      <c r="N1223" s="26" t="str">
        <f t="shared" si="108"/>
        <v/>
      </c>
      <c r="O1223" s="27" t="str">
        <f>IF(I1223="","",_xlfn.XLOOKUP(I1223,Lists!$C:$C,Lists!$J:$J))</f>
        <v/>
      </c>
      <c r="P1223" s="27" t="str">
        <f>IF(I1223="","",_xlfn.XLOOKUP(I1223,Lists!$C:$C,Lists!$E:$E))</f>
        <v/>
      </c>
      <c r="Q1223" s="28" t="str">
        <f t="shared" si="109"/>
        <v/>
      </c>
      <c r="R1223" s="26" t="str">
        <f t="shared" ca="1" si="110"/>
        <v/>
      </c>
      <c r="S1223" s="27" t="str">
        <f>IF(I1223="","",_xlfn.XLOOKUP(I1223,Lists!$C:$C,Lists!$I:$I))</f>
        <v/>
      </c>
    </row>
    <row r="1224" spans="3:19" x14ac:dyDescent="0.2">
      <c r="C1224" s="26">
        <f>_xlfn.XLOOKUP(B1224,Lists!B:B,Lists!A:A,"")</f>
        <v>0</v>
      </c>
      <c r="G1224" s="26" t="str">
        <f t="shared" si="106"/>
        <v/>
      </c>
      <c r="H1224" s="31" t="str">
        <f t="shared" si="107"/>
        <v/>
      </c>
      <c r="J1224" s="27" t="str">
        <f>IF(I1224="","",_xlfn.XLOOKUP(I1224,Lists!$C:$C,Lists!$D:$D))</f>
        <v/>
      </c>
      <c r="N1224" s="26" t="str">
        <f t="shared" si="108"/>
        <v/>
      </c>
      <c r="O1224" s="27" t="str">
        <f>IF(I1224="","",_xlfn.XLOOKUP(I1224,Lists!$C:$C,Lists!$J:$J))</f>
        <v/>
      </c>
      <c r="P1224" s="27" t="str">
        <f>IF(I1224="","",_xlfn.XLOOKUP(I1224,Lists!$C:$C,Lists!$E:$E))</f>
        <v/>
      </c>
      <c r="Q1224" s="28" t="str">
        <f t="shared" si="109"/>
        <v/>
      </c>
      <c r="R1224" s="26" t="str">
        <f t="shared" ca="1" si="110"/>
        <v/>
      </c>
      <c r="S1224" s="27" t="str">
        <f>IF(I1224="","",_xlfn.XLOOKUP(I1224,Lists!$C:$C,Lists!$I:$I))</f>
        <v/>
      </c>
    </row>
    <row r="1225" spans="3:19" x14ac:dyDescent="0.2">
      <c r="C1225" s="26">
        <f>_xlfn.XLOOKUP(B1225,Lists!B:B,Lists!A:A,"")</f>
        <v>0</v>
      </c>
      <c r="G1225" s="26" t="str">
        <f t="shared" si="106"/>
        <v/>
      </c>
      <c r="H1225" s="31" t="str">
        <f t="shared" si="107"/>
        <v/>
      </c>
      <c r="J1225" s="27" t="str">
        <f>IF(I1225="","",_xlfn.XLOOKUP(I1225,Lists!$C:$C,Lists!$D:$D))</f>
        <v/>
      </c>
      <c r="N1225" s="26" t="str">
        <f t="shared" si="108"/>
        <v/>
      </c>
      <c r="O1225" s="27" t="str">
        <f>IF(I1225="","",_xlfn.XLOOKUP(I1225,Lists!$C:$C,Lists!$J:$J))</f>
        <v/>
      </c>
      <c r="P1225" s="27" t="str">
        <f>IF(I1225="","",_xlfn.XLOOKUP(I1225,Lists!$C:$C,Lists!$E:$E))</f>
        <v/>
      </c>
      <c r="Q1225" s="28" t="str">
        <f t="shared" si="109"/>
        <v/>
      </c>
      <c r="R1225" s="26" t="str">
        <f t="shared" ca="1" si="110"/>
        <v/>
      </c>
      <c r="S1225" s="27" t="str">
        <f>IF(I1225="","",_xlfn.XLOOKUP(I1225,Lists!$C:$C,Lists!$I:$I))</f>
        <v/>
      </c>
    </row>
    <row r="1226" spans="3:19" x14ac:dyDescent="0.2">
      <c r="C1226" s="26">
        <f>_xlfn.XLOOKUP(B1226,Lists!B:B,Lists!A:A,"")</f>
        <v>0</v>
      </c>
      <c r="G1226" s="26" t="str">
        <f t="shared" si="106"/>
        <v/>
      </c>
      <c r="H1226" s="31" t="str">
        <f t="shared" si="107"/>
        <v/>
      </c>
      <c r="J1226" s="27" t="str">
        <f>IF(I1226="","",_xlfn.XLOOKUP(I1226,Lists!$C:$C,Lists!$D:$D))</f>
        <v/>
      </c>
      <c r="N1226" s="26" t="str">
        <f t="shared" si="108"/>
        <v/>
      </c>
      <c r="O1226" s="27" t="str">
        <f>IF(I1226="","",_xlfn.XLOOKUP(I1226,Lists!$C:$C,Lists!$J:$J))</f>
        <v/>
      </c>
      <c r="P1226" s="27" t="str">
        <f>IF(I1226="","",_xlfn.XLOOKUP(I1226,Lists!$C:$C,Lists!$E:$E))</f>
        <v/>
      </c>
      <c r="Q1226" s="28" t="str">
        <f t="shared" si="109"/>
        <v/>
      </c>
      <c r="R1226" s="26" t="str">
        <f t="shared" ca="1" si="110"/>
        <v/>
      </c>
      <c r="S1226" s="27" t="str">
        <f>IF(I1226="","",_xlfn.XLOOKUP(I1226,Lists!$C:$C,Lists!$I:$I))</f>
        <v/>
      </c>
    </row>
    <row r="1227" spans="3:19" x14ac:dyDescent="0.2">
      <c r="C1227" s="26">
        <f>_xlfn.XLOOKUP(B1227,Lists!B:B,Lists!A:A,"")</f>
        <v>0</v>
      </c>
      <c r="G1227" s="26" t="str">
        <f t="shared" si="106"/>
        <v/>
      </c>
      <c r="H1227" s="31" t="str">
        <f t="shared" si="107"/>
        <v/>
      </c>
      <c r="J1227" s="27" t="str">
        <f>IF(I1227="","",_xlfn.XLOOKUP(I1227,Lists!$C:$C,Lists!$D:$D))</f>
        <v/>
      </c>
      <c r="N1227" s="26" t="str">
        <f t="shared" si="108"/>
        <v/>
      </c>
      <c r="O1227" s="27" t="str">
        <f>IF(I1227="","",_xlfn.XLOOKUP(I1227,Lists!$C:$C,Lists!$J:$J))</f>
        <v/>
      </c>
      <c r="P1227" s="27" t="str">
        <f>IF(I1227="","",_xlfn.XLOOKUP(I1227,Lists!$C:$C,Lists!$E:$E))</f>
        <v/>
      </c>
      <c r="Q1227" s="28" t="str">
        <f t="shared" si="109"/>
        <v/>
      </c>
      <c r="R1227" s="26" t="str">
        <f t="shared" ca="1" si="110"/>
        <v/>
      </c>
      <c r="S1227" s="27" t="str">
        <f>IF(I1227="","",_xlfn.XLOOKUP(I1227,Lists!$C:$C,Lists!$I:$I))</f>
        <v/>
      </c>
    </row>
    <row r="1228" spans="3:19" x14ac:dyDescent="0.2">
      <c r="C1228" s="26">
        <f>_xlfn.XLOOKUP(B1228,Lists!B:B,Lists!A:A,"")</f>
        <v>0</v>
      </c>
      <c r="G1228" s="26" t="str">
        <f t="shared" si="106"/>
        <v/>
      </c>
      <c r="H1228" s="31" t="str">
        <f t="shared" si="107"/>
        <v/>
      </c>
      <c r="J1228" s="27" t="str">
        <f>IF(I1228="","",_xlfn.XLOOKUP(I1228,Lists!$C:$C,Lists!$D:$D))</f>
        <v/>
      </c>
      <c r="N1228" s="26" t="str">
        <f t="shared" si="108"/>
        <v/>
      </c>
      <c r="O1228" s="27" t="str">
        <f>IF(I1228="","",_xlfn.XLOOKUP(I1228,Lists!$C:$C,Lists!$J:$J))</f>
        <v/>
      </c>
      <c r="P1228" s="27" t="str">
        <f>IF(I1228="","",_xlfn.XLOOKUP(I1228,Lists!$C:$C,Lists!$E:$E))</f>
        <v/>
      </c>
      <c r="Q1228" s="28" t="str">
        <f t="shared" si="109"/>
        <v/>
      </c>
      <c r="R1228" s="26" t="str">
        <f t="shared" ca="1" si="110"/>
        <v/>
      </c>
      <c r="S1228" s="27" t="str">
        <f>IF(I1228="","",_xlfn.XLOOKUP(I1228,Lists!$C:$C,Lists!$I:$I))</f>
        <v/>
      </c>
    </row>
    <row r="1229" spans="3:19" x14ac:dyDescent="0.2">
      <c r="C1229" s="26">
        <f>_xlfn.XLOOKUP(B1229,Lists!B:B,Lists!A:A,"")</f>
        <v>0</v>
      </c>
      <c r="G1229" s="26" t="str">
        <f t="shared" si="106"/>
        <v/>
      </c>
      <c r="H1229" s="31" t="str">
        <f t="shared" si="107"/>
        <v/>
      </c>
      <c r="J1229" s="27" t="str">
        <f>IF(I1229="","",_xlfn.XLOOKUP(I1229,Lists!$C:$C,Lists!$D:$D))</f>
        <v/>
      </c>
      <c r="N1229" s="26" t="str">
        <f t="shared" si="108"/>
        <v/>
      </c>
      <c r="O1229" s="27" t="str">
        <f>IF(I1229="","",_xlfn.XLOOKUP(I1229,Lists!$C:$C,Lists!$J:$J))</f>
        <v/>
      </c>
      <c r="P1229" s="27" t="str">
        <f>IF(I1229="","",_xlfn.XLOOKUP(I1229,Lists!$C:$C,Lists!$E:$E))</f>
        <v/>
      </c>
      <c r="Q1229" s="28" t="str">
        <f t="shared" si="109"/>
        <v/>
      </c>
      <c r="R1229" s="26" t="str">
        <f t="shared" ca="1" si="110"/>
        <v/>
      </c>
      <c r="S1229" s="27" t="str">
        <f>IF(I1229="","",_xlfn.XLOOKUP(I1229,Lists!$C:$C,Lists!$I:$I))</f>
        <v/>
      </c>
    </row>
    <row r="1230" spans="3:19" x14ac:dyDescent="0.2">
      <c r="C1230" s="26">
        <f>_xlfn.XLOOKUP(B1230,Lists!B:B,Lists!A:A,"")</f>
        <v>0</v>
      </c>
      <c r="G1230" s="26" t="str">
        <f t="shared" si="106"/>
        <v/>
      </c>
      <c r="H1230" s="31" t="str">
        <f t="shared" si="107"/>
        <v/>
      </c>
      <c r="J1230" s="27" t="str">
        <f>IF(I1230="","",_xlfn.XLOOKUP(I1230,Lists!$C:$C,Lists!$D:$D))</f>
        <v/>
      </c>
      <c r="N1230" s="26" t="str">
        <f t="shared" si="108"/>
        <v/>
      </c>
      <c r="O1230" s="27" t="str">
        <f>IF(I1230="","",_xlfn.XLOOKUP(I1230,Lists!$C:$C,Lists!$J:$J))</f>
        <v/>
      </c>
      <c r="P1230" s="27" t="str">
        <f>IF(I1230="","",_xlfn.XLOOKUP(I1230,Lists!$C:$C,Lists!$E:$E))</f>
        <v/>
      </c>
      <c r="Q1230" s="28" t="str">
        <f t="shared" si="109"/>
        <v/>
      </c>
      <c r="R1230" s="26" t="str">
        <f t="shared" ca="1" si="110"/>
        <v/>
      </c>
      <c r="S1230" s="27" t="str">
        <f>IF(I1230="","",_xlfn.XLOOKUP(I1230,Lists!$C:$C,Lists!$I:$I))</f>
        <v/>
      </c>
    </row>
    <row r="1231" spans="3:19" x14ac:dyDescent="0.2">
      <c r="C1231" s="26">
        <f>_xlfn.XLOOKUP(B1231,Lists!B:B,Lists!A:A,"")</f>
        <v>0</v>
      </c>
      <c r="G1231" s="26" t="str">
        <f t="shared" si="106"/>
        <v/>
      </c>
      <c r="H1231" s="31" t="str">
        <f t="shared" si="107"/>
        <v/>
      </c>
      <c r="J1231" s="27" t="str">
        <f>IF(I1231="","",_xlfn.XLOOKUP(I1231,Lists!$C:$C,Lists!$D:$D))</f>
        <v/>
      </c>
      <c r="N1231" s="26" t="str">
        <f t="shared" si="108"/>
        <v/>
      </c>
      <c r="O1231" s="27" t="str">
        <f>IF(I1231="","",_xlfn.XLOOKUP(I1231,Lists!$C:$C,Lists!$J:$J))</f>
        <v/>
      </c>
      <c r="P1231" s="27" t="str">
        <f>IF(I1231="","",_xlfn.XLOOKUP(I1231,Lists!$C:$C,Lists!$E:$E))</f>
        <v/>
      </c>
      <c r="Q1231" s="28" t="str">
        <f t="shared" si="109"/>
        <v/>
      </c>
      <c r="R1231" s="26" t="str">
        <f t="shared" ca="1" si="110"/>
        <v/>
      </c>
      <c r="S1231" s="27" t="str">
        <f>IF(I1231="","",_xlfn.XLOOKUP(I1231,Lists!$C:$C,Lists!$I:$I))</f>
        <v/>
      </c>
    </row>
    <row r="1232" spans="3:19" x14ac:dyDescent="0.2">
      <c r="C1232" s="26">
        <f>_xlfn.XLOOKUP(B1232,Lists!B:B,Lists!A:A,"")</f>
        <v>0</v>
      </c>
      <c r="G1232" s="26" t="str">
        <f t="shared" si="106"/>
        <v/>
      </c>
      <c r="H1232" s="31" t="str">
        <f t="shared" si="107"/>
        <v/>
      </c>
      <c r="J1232" s="27" t="str">
        <f>IF(I1232="","",_xlfn.XLOOKUP(I1232,Lists!$C:$C,Lists!$D:$D))</f>
        <v/>
      </c>
      <c r="N1232" s="26" t="str">
        <f t="shared" si="108"/>
        <v/>
      </c>
      <c r="O1232" s="27" t="str">
        <f>IF(I1232="","",_xlfn.XLOOKUP(I1232,Lists!$C:$C,Lists!$J:$J))</f>
        <v/>
      </c>
      <c r="P1232" s="27" t="str">
        <f>IF(I1232="","",_xlfn.XLOOKUP(I1232,Lists!$C:$C,Lists!$E:$E))</f>
        <v/>
      </c>
      <c r="Q1232" s="28" t="str">
        <f t="shared" si="109"/>
        <v/>
      </c>
      <c r="R1232" s="26" t="str">
        <f t="shared" ca="1" si="110"/>
        <v/>
      </c>
      <c r="S1232" s="27" t="str">
        <f>IF(I1232="","",_xlfn.XLOOKUP(I1232,Lists!$C:$C,Lists!$I:$I))</f>
        <v/>
      </c>
    </row>
    <row r="1233" spans="3:19" x14ac:dyDescent="0.2">
      <c r="C1233" s="26">
        <f>_xlfn.XLOOKUP(B1233,Lists!B:B,Lists!A:A,"")</f>
        <v>0</v>
      </c>
      <c r="G1233" s="26" t="str">
        <f t="shared" si="106"/>
        <v/>
      </c>
      <c r="H1233" s="31" t="str">
        <f t="shared" si="107"/>
        <v/>
      </c>
      <c r="J1233" s="27" t="str">
        <f>IF(I1233="","",_xlfn.XLOOKUP(I1233,Lists!$C:$C,Lists!$D:$D))</f>
        <v/>
      </c>
      <c r="N1233" s="26" t="str">
        <f t="shared" si="108"/>
        <v/>
      </c>
      <c r="O1233" s="27" t="str">
        <f>IF(I1233="","",_xlfn.XLOOKUP(I1233,Lists!$C:$C,Lists!$J:$J))</f>
        <v/>
      </c>
      <c r="P1233" s="27" t="str">
        <f>IF(I1233="","",_xlfn.XLOOKUP(I1233,Lists!$C:$C,Lists!$E:$E))</f>
        <v/>
      </c>
      <c r="Q1233" s="28" t="str">
        <f t="shared" si="109"/>
        <v/>
      </c>
      <c r="R1233" s="26" t="str">
        <f t="shared" ca="1" si="110"/>
        <v/>
      </c>
      <c r="S1233" s="27" t="str">
        <f>IF(I1233="","",_xlfn.XLOOKUP(I1233,Lists!$C:$C,Lists!$I:$I))</f>
        <v/>
      </c>
    </row>
    <row r="1234" spans="3:19" x14ac:dyDescent="0.2">
      <c r="C1234" s="26">
        <f>_xlfn.XLOOKUP(B1234,Lists!B:B,Lists!A:A,"")</f>
        <v>0</v>
      </c>
      <c r="G1234" s="26" t="str">
        <f t="shared" si="106"/>
        <v/>
      </c>
      <c r="H1234" s="31" t="str">
        <f t="shared" si="107"/>
        <v/>
      </c>
      <c r="J1234" s="27" t="str">
        <f>IF(I1234="","",_xlfn.XLOOKUP(I1234,Lists!$C:$C,Lists!$D:$D))</f>
        <v/>
      </c>
      <c r="N1234" s="26" t="str">
        <f t="shared" si="108"/>
        <v/>
      </c>
      <c r="O1234" s="27" t="str">
        <f>IF(I1234="","",_xlfn.XLOOKUP(I1234,Lists!$C:$C,Lists!$J:$J))</f>
        <v/>
      </c>
      <c r="P1234" s="27" t="str">
        <f>IF(I1234="","",_xlfn.XLOOKUP(I1234,Lists!$C:$C,Lists!$E:$E))</f>
        <v/>
      </c>
      <c r="Q1234" s="28" t="str">
        <f t="shared" si="109"/>
        <v/>
      </c>
      <c r="R1234" s="26" t="str">
        <f t="shared" ca="1" si="110"/>
        <v/>
      </c>
      <c r="S1234" s="27" t="str">
        <f>IF(I1234="","",_xlfn.XLOOKUP(I1234,Lists!$C:$C,Lists!$I:$I))</f>
        <v/>
      </c>
    </row>
    <row r="1235" spans="3:19" x14ac:dyDescent="0.2">
      <c r="C1235" s="26">
        <f>_xlfn.XLOOKUP(B1235,Lists!B:B,Lists!A:A,"")</f>
        <v>0</v>
      </c>
      <c r="G1235" s="26" t="str">
        <f t="shared" si="106"/>
        <v/>
      </c>
      <c r="H1235" s="31" t="str">
        <f t="shared" si="107"/>
        <v/>
      </c>
      <c r="J1235" s="27" t="str">
        <f>IF(I1235="","",_xlfn.XLOOKUP(I1235,Lists!$C:$C,Lists!$D:$D))</f>
        <v/>
      </c>
      <c r="N1235" s="26" t="str">
        <f t="shared" si="108"/>
        <v/>
      </c>
      <c r="O1235" s="27" t="str">
        <f>IF(I1235="","",_xlfn.XLOOKUP(I1235,Lists!$C:$C,Lists!$J:$J))</f>
        <v/>
      </c>
      <c r="P1235" s="27" t="str">
        <f>IF(I1235="","",_xlfn.XLOOKUP(I1235,Lists!$C:$C,Lists!$E:$E))</f>
        <v/>
      </c>
      <c r="Q1235" s="28" t="str">
        <f t="shared" si="109"/>
        <v/>
      </c>
      <c r="R1235" s="26" t="str">
        <f t="shared" ca="1" si="110"/>
        <v/>
      </c>
      <c r="S1235" s="27" t="str">
        <f>IF(I1235="","",_xlfn.XLOOKUP(I1235,Lists!$C:$C,Lists!$I:$I))</f>
        <v/>
      </c>
    </row>
    <row r="1236" spans="3:19" x14ac:dyDescent="0.2">
      <c r="C1236" s="26">
        <f>_xlfn.XLOOKUP(B1236,Lists!B:B,Lists!A:A,"")</f>
        <v>0</v>
      </c>
      <c r="G1236" s="26" t="str">
        <f t="shared" si="106"/>
        <v/>
      </c>
      <c r="H1236" s="31" t="str">
        <f t="shared" si="107"/>
        <v/>
      </c>
      <c r="J1236" s="27" t="str">
        <f>IF(I1236="","",_xlfn.XLOOKUP(I1236,Lists!$C:$C,Lists!$D:$D))</f>
        <v/>
      </c>
      <c r="N1236" s="26" t="str">
        <f t="shared" si="108"/>
        <v/>
      </c>
      <c r="O1236" s="27" t="str">
        <f>IF(I1236="","",_xlfn.XLOOKUP(I1236,Lists!$C:$C,Lists!$J:$J))</f>
        <v/>
      </c>
      <c r="P1236" s="27" t="str">
        <f>IF(I1236="","",_xlfn.XLOOKUP(I1236,Lists!$C:$C,Lists!$E:$E))</f>
        <v/>
      </c>
      <c r="Q1236" s="28" t="str">
        <f t="shared" si="109"/>
        <v/>
      </c>
      <c r="R1236" s="26" t="str">
        <f t="shared" ca="1" si="110"/>
        <v/>
      </c>
      <c r="S1236" s="27" t="str">
        <f>IF(I1236="","",_xlfn.XLOOKUP(I1236,Lists!$C:$C,Lists!$I:$I))</f>
        <v/>
      </c>
    </row>
    <row r="1237" spans="3:19" x14ac:dyDescent="0.2">
      <c r="C1237" s="26">
        <f>_xlfn.XLOOKUP(B1237,Lists!B:B,Lists!A:A,"")</f>
        <v>0</v>
      </c>
      <c r="G1237" s="26" t="str">
        <f t="shared" si="106"/>
        <v/>
      </c>
      <c r="H1237" s="31" t="str">
        <f t="shared" si="107"/>
        <v/>
      </c>
      <c r="J1237" s="27" t="str">
        <f>IF(I1237="","",_xlfn.XLOOKUP(I1237,Lists!$C:$C,Lists!$D:$D))</f>
        <v/>
      </c>
      <c r="N1237" s="26" t="str">
        <f t="shared" si="108"/>
        <v/>
      </c>
      <c r="O1237" s="27" t="str">
        <f>IF(I1237="","",_xlfn.XLOOKUP(I1237,Lists!$C:$C,Lists!$J:$J))</f>
        <v/>
      </c>
      <c r="P1237" s="27" t="str">
        <f>IF(I1237="","",_xlfn.XLOOKUP(I1237,Lists!$C:$C,Lists!$E:$E))</f>
        <v/>
      </c>
      <c r="Q1237" s="28" t="str">
        <f t="shared" si="109"/>
        <v/>
      </c>
      <c r="R1237" s="26" t="str">
        <f t="shared" ca="1" si="110"/>
        <v/>
      </c>
      <c r="S1237" s="27" t="str">
        <f>IF(I1237="","",_xlfn.XLOOKUP(I1237,Lists!$C:$C,Lists!$I:$I))</f>
        <v/>
      </c>
    </row>
    <row r="1238" spans="3:19" x14ac:dyDescent="0.2">
      <c r="C1238" s="26">
        <f>_xlfn.XLOOKUP(B1238,Lists!B:B,Lists!A:A,"")</f>
        <v>0</v>
      </c>
      <c r="G1238" s="26" t="str">
        <f t="shared" si="106"/>
        <v/>
      </c>
      <c r="H1238" s="31" t="str">
        <f t="shared" si="107"/>
        <v/>
      </c>
      <c r="J1238" s="27" t="str">
        <f>IF(I1238="","",_xlfn.XLOOKUP(I1238,Lists!$C:$C,Lists!$D:$D))</f>
        <v/>
      </c>
      <c r="N1238" s="26" t="str">
        <f t="shared" si="108"/>
        <v/>
      </c>
      <c r="O1238" s="27" t="str">
        <f>IF(I1238="","",_xlfn.XLOOKUP(I1238,Lists!$C:$C,Lists!$J:$J))</f>
        <v/>
      </c>
      <c r="P1238" s="27" t="str">
        <f>IF(I1238="","",_xlfn.XLOOKUP(I1238,Lists!$C:$C,Lists!$E:$E))</f>
        <v/>
      </c>
      <c r="Q1238" s="28" t="str">
        <f t="shared" si="109"/>
        <v/>
      </c>
      <c r="R1238" s="26" t="str">
        <f t="shared" ca="1" si="110"/>
        <v/>
      </c>
      <c r="S1238" s="27" t="str">
        <f>IF(I1238="","",_xlfn.XLOOKUP(I1238,Lists!$C:$C,Lists!$I:$I))</f>
        <v/>
      </c>
    </row>
    <row r="1239" spans="3:19" x14ac:dyDescent="0.2">
      <c r="C1239" s="26">
        <f>_xlfn.XLOOKUP(B1239,Lists!B:B,Lists!A:A,"")</f>
        <v>0</v>
      </c>
      <c r="G1239" s="26" t="str">
        <f t="shared" si="106"/>
        <v/>
      </c>
      <c r="H1239" s="31" t="str">
        <f t="shared" si="107"/>
        <v/>
      </c>
      <c r="J1239" s="27" t="str">
        <f>IF(I1239="","",_xlfn.XLOOKUP(I1239,Lists!$C:$C,Lists!$D:$D))</f>
        <v/>
      </c>
      <c r="N1239" s="26" t="str">
        <f t="shared" si="108"/>
        <v/>
      </c>
      <c r="O1239" s="27" t="str">
        <f>IF(I1239="","",_xlfn.XLOOKUP(I1239,Lists!$C:$C,Lists!$J:$J))</f>
        <v/>
      </c>
      <c r="P1239" s="27" t="str">
        <f>IF(I1239="","",_xlfn.XLOOKUP(I1239,Lists!$C:$C,Lists!$E:$E))</f>
        <v/>
      </c>
      <c r="Q1239" s="28" t="str">
        <f t="shared" si="109"/>
        <v/>
      </c>
      <c r="R1239" s="26" t="str">
        <f t="shared" ca="1" si="110"/>
        <v/>
      </c>
      <c r="S1239" s="27" t="str">
        <f>IF(I1239="","",_xlfn.XLOOKUP(I1239,Lists!$C:$C,Lists!$I:$I))</f>
        <v/>
      </c>
    </row>
    <row r="1240" spans="3:19" x14ac:dyDescent="0.2">
      <c r="C1240" s="26">
        <f>_xlfn.XLOOKUP(B1240,Lists!B:B,Lists!A:A,"")</f>
        <v>0</v>
      </c>
      <c r="G1240" s="26" t="str">
        <f t="shared" si="106"/>
        <v/>
      </c>
      <c r="H1240" s="31" t="str">
        <f t="shared" si="107"/>
        <v/>
      </c>
      <c r="J1240" s="27" t="str">
        <f>IF(I1240="","",_xlfn.XLOOKUP(I1240,Lists!$C:$C,Lists!$D:$D))</f>
        <v/>
      </c>
      <c r="N1240" s="26" t="str">
        <f t="shared" si="108"/>
        <v/>
      </c>
      <c r="O1240" s="27" t="str">
        <f>IF(I1240="","",_xlfn.XLOOKUP(I1240,Lists!$C:$C,Lists!$J:$J))</f>
        <v/>
      </c>
      <c r="P1240" s="27" t="str">
        <f>IF(I1240="","",_xlfn.XLOOKUP(I1240,Lists!$C:$C,Lists!$E:$E))</f>
        <v/>
      </c>
      <c r="Q1240" s="28" t="str">
        <f t="shared" si="109"/>
        <v/>
      </c>
      <c r="R1240" s="26" t="str">
        <f t="shared" ca="1" si="110"/>
        <v/>
      </c>
      <c r="S1240" s="27" t="str">
        <f>IF(I1240="","",_xlfn.XLOOKUP(I1240,Lists!$C:$C,Lists!$I:$I))</f>
        <v/>
      </c>
    </row>
    <row r="1241" spans="3:19" x14ac:dyDescent="0.2">
      <c r="C1241" s="26">
        <f>_xlfn.XLOOKUP(B1241,Lists!B:B,Lists!A:A,"")</f>
        <v>0</v>
      </c>
      <c r="G1241" s="26" t="str">
        <f t="shared" si="106"/>
        <v/>
      </c>
      <c r="H1241" s="31" t="str">
        <f t="shared" si="107"/>
        <v/>
      </c>
      <c r="J1241" s="27" t="str">
        <f>IF(I1241="","",_xlfn.XLOOKUP(I1241,Lists!$C:$C,Lists!$D:$D))</f>
        <v/>
      </c>
      <c r="N1241" s="26" t="str">
        <f t="shared" si="108"/>
        <v/>
      </c>
      <c r="O1241" s="27" t="str">
        <f>IF(I1241="","",_xlfn.XLOOKUP(I1241,Lists!$C:$C,Lists!$J:$J))</f>
        <v/>
      </c>
      <c r="P1241" s="27" t="str">
        <f>IF(I1241="","",_xlfn.XLOOKUP(I1241,Lists!$C:$C,Lists!$E:$E))</f>
        <v/>
      </c>
      <c r="Q1241" s="28" t="str">
        <f t="shared" si="109"/>
        <v/>
      </c>
      <c r="R1241" s="26" t="str">
        <f t="shared" ca="1" si="110"/>
        <v/>
      </c>
      <c r="S1241" s="27" t="str">
        <f>IF(I1241="","",_xlfn.XLOOKUP(I1241,Lists!$C:$C,Lists!$I:$I))</f>
        <v/>
      </c>
    </row>
    <row r="1242" spans="3:19" x14ac:dyDescent="0.2">
      <c r="C1242" s="26">
        <f>_xlfn.XLOOKUP(B1242,Lists!B:B,Lists!A:A,"")</f>
        <v>0</v>
      </c>
      <c r="G1242" s="26" t="str">
        <f t="shared" si="106"/>
        <v/>
      </c>
      <c r="H1242" s="31" t="str">
        <f t="shared" si="107"/>
        <v/>
      </c>
      <c r="J1242" s="27" t="str">
        <f>IF(I1242="","",_xlfn.XLOOKUP(I1242,Lists!$C:$C,Lists!$D:$D))</f>
        <v/>
      </c>
      <c r="N1242" s="26" t="str">
        <f t="shared" si="108"/>
        <v/>
      </c>
      <c r="O1242" s="27" t="str">
        <f>IF(I1242="","",_xlfn.XLOOKUP(I1242,Lists!$C:$C,Lists!$J:$J))</f>
        <v/>
      </c>
      <c r="P1242" s="27" t="str">
        <f>IF(I1242="","",_xlfn.XLOOKUP(I1242,Lists!$C:$C,Lists!$E:$E))</f>
        <v/>
      </c>
      <c r="Q1242" s="28" t="str">
        <f t="shared" si="109"/>
        <v/>
      </c>
      <c r="R1242" s="26" t="str">
        <f t="shared" ca="1" si="110"/>
        <v/>
      </c>
      <c r="S1242" s="27" t="str">
        <f>IF(I1242="","",_xlfn.XLOOKUP(I1242,Lists!$C:$C,Lists!$I:$I))</f>
        <v/>
      </c>
    </row>
    <row r="1243" spans="3:19" x14ac:dyDescent="0.2">
      <c r="C1243" s="26">
        <f>_xlfn.XLOOKUP(B1243,Lists!B:B,Lists!A:A,"")</f>
        <v>0</v>
      </c>
      <c r="G1243" s="26" t="str">
        <f t="shared" si="106"/>
        <v/>
      </c>
      <c r="H1243" s="31" t="str">
        <f t="shared" si="107"/>
        <v/>
      </c>
      <c r="J1243" s="27" t="str">
        <f>IF(I1243="","",_xlfn.XLOOKUP(I1243,Lists!$C:$C,Lists!$D:$D))</f>
        <v/>
      </c>
      <c r="N1243" s="26" t="str">
        <f t="shared" si="108"/>
        <v/>
      </c>
      <c r="O1243" s="27" t="str">
        <f>IF(I1243="","",_xlfn.XLOOKUP(I1243,Lists!$C:$C,Lists!$J:$J))</f>
        <v/>
      </c>
      <c r="P1243" s="27" t="str">
        <f>IF(I1243="","",_xlfn.XLOOKUP(I1243,Lists!$C:$C,Lists!$E:$E))</f>
        <v/>
      </c>
      <c r="Q1243" s="28" t="str">
        <f t="shared" si="109"/>
        <v/>
      </c>
      <c r="R1243" s="26" t="str">
        <f t="shared" ca="1" si="110"/>
        <v/>
      </c>
      <c r="S1243" s="27" t="str">
        <f>IF(I1243="","",_xlfn.XLOOKUP(I1243,Lists!$C:$C,Lists!$I:$I))</f>
        <v/>
      </c>
    </row>
    <row r="1244" spans="3:19" x14ac:dyDescent="0.2">
      <c r="C1244" s="26">
        <f>_xlfn.XLOOKUP(B1244,Lists!B:B,Lists!A:A,"")</f>
        <v>0</v>
      </c>
      <c r="G1244" s="26" t="str">
        <f t="shared" si="106"/>
        <v/>
      </c>
      <c r="H1244" s="31" t="str">
        <f t="shared" si="107"/>
        <v/>
      </c>
      <c r="J1244" s="27" t="str">
        <f>IF(I1244="","",_xlfn.XLOOKUP(I1244,Lists!$C:$C,Lists!$D:$D))</f>
        <v/>
      </c>
      <c r="N1244" s="26" t="str">
        <f t="shared" si="108"/>
        <v/>
      </c>
      <c r="O1244" s="27" t="str">
        <f>IF(I1244="","",_xlfn.XLOOKUP(I1244,Lists!$C:$C,Lists!$J:$J))</f>
        <v/>
      </c>
      <c r="P1244" s="27" t="str">
        <f>IF(I1244="","",_xlfn.XLOOKUP(I1244,Lists!$C:$C,Lists!$E:$E))</f>
        <v/>
      </c>
      <c r="Q1244" s="28" t="str">
        <f t="shared" si="109"/>
        <v/>
      </c>
      <c r="R1244" s="26" t="str">
        <f t="shared" ca="1" si="110"/>
        <v/>
      </c>
      <c r="S1244" s="27" t="str">
        <f>IF(I1244="","",_xlfn.XLOOKUP(I1244,Lists!$C:$C,Lists!$I:$I))</f>
        <v/>
      </c>
    </row>
    <row r="1245" spans="3:19" x14ac:dyDescent="0.2">
      <c r="C1245" s="26">
        <f>_xlfn.XLOOKUP(B1245,Lists!B:B,Lists!A:A,"")</f>
        <v>0</v>
      </c>
      <c r="G1245" s="26" t="str">
        <f t="shared" si="106"/>
        <v/>
      </c>
      <c r="H1245" s="31" t="str">
        <f t="shared" si="107"/>
        <v/>
      </c>
      <c r="J1245" s="27" t="str">
        <f>IF(I1245="","",_xlfn.XLOOKUP(I1245,Lists!$C:$C,Lists!$D:$D))</f>
        <v/>
      </c>
      <c r="N1245" s="26" t="str">
        <f t="shared" si="108"/>
        <v/>
      </c>
      <c r="O1245" s="27" t="str">
        <f>IF(I1245="","",_xlfn.XLOOKUP(I1245,Lists!$C:$C,Lists!$J:$J))</f>
        <v/>
      </c>
      <c r="P1245" s="27" t="str">
        <f>IF(I1245="","",_xlfn.XLOOKUP(I1245,Lists!$C:$C,Lists!$E:$E))</f>
        <v/>
      </c>
      <c r="Q1245" s="28" t="str">
        <f t="shared" si="109"/>
        <v/>
      </c>
      <c r="R1245" s="26" t="str">
        <f t="shared" ca="1" si="110"/>
        <v/>
      </c>
      <c r="S1245" s="27" t="str">
        <f>IF(I1245="","",_xlfn.XLOOKUP(I1245,Lists!$C:$C,Lists!$I:$I))</f>
        <v/>
      </c>
    </row>
    <row r="1246" spans="3:19" x14ac:dyDescent="0.2">
      <c r="C1246" s="26">
        <f>_xlfn.XLOOKUP(B1246,Lists!B:B,Lists!A:A,"")</f>
        <v>0</v>
      </c>
      <c r="G1246" s="26" t="str">
        <f t="shared" si="106"/>
        <v/>
      </c>
      <c r="H1246" s="31" t="str">
        <f t="shared" si="107"/>
        <v/>
      </c>
      <c r="J1246" s="27" t="str">
        <f>IF(I1246="","",_xlfn.XLOOKUP(I1246,Lists!$C:$C,Lists!$D:$D))</f>
        <v/>
      </c>
      <c r="N1246" s="26" t="str">
        <f t="shared" si="108"/>
        <v/>
      </c>
      <c r="O1246" s="27" t="str">
        <f>IF(I1246="","",_xlfn.XLOOKUP(I1246,Lists!$C:$C,Lists!$J:$J))</f>
        <v/>
      </c>
      <c r="P1246" s="27" t="str">
        <f>IF(I1246="","",_xlfn.XLOOKUP(I1246,Lists!$C:$C,Lists!$E:$E))</f>
        <v/>
      </c>
      <c r="Q1246" s="28" t="str">
        <f t="shared" si="109"/>
        <v/>
      </c>
      <c r="R1246" s="26" t="str">
        <f t="shared" ca="1" si="110"/>
        <v/>
      </c>
      <c r="S1246" s="27" t="str">
        <f>IF(I1246="","",_xlfn.XLOOKUP(I1246,Lists!$C:$C,Lists!$I:$I))</f>
        <v/>
      </c>
    </row>
    <row r="1247" spans="3:19" x14ac:dyDescent="0.2">
      <c r="C1247" s="26">
        <f>_xlfn.XLOOKUP(B1247,Lists!B:B,Lists!A:A,"")</f>
        <v>0</v>
      </c>
      <c r="G1247" s="26" t="str">
        <f t="shared" ref="G1247:G1278" si="111">IF(OR(E1247="",F1247=""),"",F1247-E1247+1)</f>
        <v/>
      </c>
      <c r="H1247" s="31" t="str">
        <f t="shared" ref="H1247:H1278" si="112">IF(D1247="","",IF(OR(D1247="A",D1247="B"),G1247/80,IF(D1247="A&amp;B",G1247/160,"")))</f>
        <v/>
      </c>
      <c r="J1247" s="27" t="str">
        <f>IF(I1247="","",_xlfn.XLOOKUP(I1247,Lists!$C:$C,Lists!$D:$D))</f>
        <v/>
      </c>
      <c r="N1247" s="26" t="str">
        <f t="shared" ref="N1247:N1278" si="113">IF(OR(M1247="",L1247=""),"",(M1247*L1247)/100000)</f>
        <v/>
      </c>
      <c r="O1247" s="27" t="str">
        <f>IF(I1247="","",_xlfn.XLOOKUP(I1247,Lists!$C:$C,Lists!$J:$J))</f>
        <v/>
      </c>
      <c r="P1247" s="27" t="str">
        <f>IF(I1247="","",_xlfn.XLOOKUP(I1247,Lists!$C:$C,Lists!$E:$E))</f>
        <v/>
      </c>
      <c r="Q1247" s="28" t="str">
        <f t="shared" ref="Q1247:Q1278" si="114">IF(OR(A1247="",P1247=""),"",A1247+P1247+1)</f>
        <v/>
      </c>
      <c r="R1247" s="26" t="str">
        <f t="shared" ref="R1247:R1278" ca="1" si="115">IF(Q1247="","",IF(Q1247&lt;=TODAY(),"Allow","Not Allow"))</f>
        <v/>
      </c>
      <c r="S1247" s="27" t="str">
        <f>IF(I1247="","",_xlfn.XLOOKUP(I1247,Lists!$C:$C,Lists!$I:$I))</f>
        <v/>
      </c>
    </row>
    <row r="1248" spans="3:19" x14ac:dyDescent="0.2">
      <c r="C1248" s="26">
        <f>_xlfn.XLOOKUP(B1248,Lists!B:B,Lists!A:A,"")</f>
        <v>0</v>
      </c>
      <c r="G1248" s="26" t="str">
        <f t="shared" si="111"/>
        <v/>
      </c>
      <c r="H1248" s="31" t="str">
        <f t="shared" si="112"/>
        <v/>
      </c>
      <c r="J1248" s="27" t="str">
        <f>IF(I1248="","",_xlfn.XLOOKUP(I1248,Lists!$C:$C,Lists!$D:$D))</f>
        <v/>
      </c>
      <c r="N1248" s="26" t="str">
        <f t="shared" si="113"/>
        <v/>
      </c>
      <c r="O1248" s="27" t="str">
        <f>IF(I1248="","",_xlfn.XLOOKUP(I1248,Lists!$C:$C,Lists!$J:$J))</f>
        <v/>
      </c>
      <c r="P1248" s="27" t="str">
        <f>IF(I1248="","",_xlfn.XLOOKUP(I1248,Lists!$C:$C,Lists!$E:$E))</f>
        <v/>
      </c>
      <c r="Q1248" s="28" t="str">
        <f t="shared" si="114"/>
        <v/>
      </c>
      <c r="R1248" s="26" t="str">
        <f t="shared" ca="1" si="115"/>
        <v/>
      </c>
      <c r="S1248" s="27" t="str">
        <f>IF(I1248="","",_xlfn.XLOOKUP(I1248,Lists!$C:$C,Lists!$I:$I))</f>
        <v/>
      </c>
    </row>
    <row r="1249" spans="3:19" x14ac:dyDescent="0.2">
      <c r="C1249" s="26">
        <f>_xlfn.XLOOKUP(B1249,Lists!B:B,Lists!A:A,"")</f>
        <v>0</v>
      </c>
      <c r="G1249" s="26" t="str">
        <f t="shared" si="111"/>
        <v/>
      </c>
      <c r="H1249" s="31" t="str">
        <f t="shared" si="112"/>
        <v/>
      </c>
      <c r="J1249" s="27" t="str">
        <f>IF(I1249="","",_xlfn.XLOOKUP(I1249,Lists!$C:$C,Lists!$D:$D))</f>
        <v/>
      </c>
      <c r="N1249" s="26" t="str">
        <f t="shared" si="113"/>
        <v/>
      </c>
      <c r="O1249" s="27" t="str">
        <f>IF(I1249="","",_xlfn.XLOOKUP(I1249,Lists!$C:$C,Lists!$J:$J))</f>
        <v/>
      </c>
      <c r="P1249" s="27" t="str">
        <f>IF(I1249="","",_xlfn.XLOOKUP(I1249,Lists!$C:$C,Lists!$E:$E))</f>
        <v/>
      </c>
      <c r="Q1249" s="28" t="str">
        <f t="shared" si="114"/>
        <v/>
      </c>
      <c r="R1249" s="26" t="str">
        <f t="shared" ca="1" si="115"/>
        <v/>
      </c>
      <c r="S1249" s="27" t="str">
        <f>IF(I1249="","",_xlfn.XLOOKUP(I1249,Lists!$C:$C,Lists!$I:$I))</f>
        <v/>
      </c>
    </row>
    <row r="1250" spans="3:19" x14ac:dyDescent="0.2">
      <c r="C1250" s="26">
        <f>_xlfn.XLOOKUP(B1250,Lists!B:B,Lists!A:A,"")</f>
        <v>0</v>
      </c>
      <c r="G1250" s="26" t="str">
        <f t="shared" si="111"/>
        <v/>
      </c>
      <c r="H1250" s="31" t="str">
        <f t="shared" si="112"/>
        <v/>
      </c>
      <c r="J1250" s="27" t="str">
        <f>IF(I1250="","",_xlfn.XLOOKUP(I1250,Lists!$C:$C,Lists!$D:$D))</f>
        <v/>
      </c>
      <c r="N1250" s="26" t="str">
        <f t="shared" si="113"/>
        <v/>
      </c>
      <c r="O1250" s="27" t="str">
        <f>IF(I1250="","",_xlfn.XLOOKUP(I1250,Lists!$C:$C,Lists!$J:$J))</f>
        <v/>
      </c>
      <c r="P1250" s="27" t="str">
        <f>IF(I1250="","",_xlfn.XLOOKUP(I1250,Lists!$C:$C,Lists!$E:$E))</f>
        <v/>
      </c>
      <c r="Q1250" s="28" t="str">
        <f t="shared" si="114"/>
        <v/>
      </c>
      <c r="R1250" s="26" t="str">
        <f t="shared" ca="1" si="115"/>
        <v/>
      </c>
      <c r="S1250" s="27" t="str">
        <f>IF(I1250="","",_xlfn.XLOOKUP(I1250,Lists!$C:$C,Lists!$I:$I))</f>
        <v/>
      </c>
    </row>
    <row r="1251" spans="3:19" x14ac:dyDescent="0.2">
      <c r="C1251" s="26">
        <f>_xlfn.XLOOKUP(B1251,Lists!B:B,Lists!A:A,"")</f>
        <v>0</v>
      </c>
      <c r="G1251" s="26" t="str">
        <f t="shared" si="111"/>
        <v/>
      </c>
      <c r="H1251" s="31" t="str">
        <f t="shared" si="112"/>
        <v/>
      </c>
      <c r="J1251" s="27" t="str">
        <f>IF(I1251="","",_xlfn.XLOOKUP(I1251,Lists!$C:$C,Lists!$D:$D))</f>
        <v/>
      </c>
      <c r="N1251" s="26" t="str">
        <f t="shared" si="113"/>
        <v/>
      </c>
      <c r="O1251" s="27" t="str">
        <f>IF(I1251="","",_xlfn.XLOOKUP(I1251,Lists!$C:$C,Lists!$J:$J))</f>
        <v/>
      </c>
      <c r="P1251" s="27" t="str">
        <f>IF(I1251="","",_xlfn.XLOOKUP(I1251,Lists!$C:$C,Lists!$E:$E))</f>
        <v/>
      </c>
      <c r="Q1251" s="28" t="str">
        <f t="shared" si="114"/>
        <v/>
      </c>
      <c r="R1251" s="26" t="str">
        <f t="shared" ca="1" si="115"/>
        <v/>
      </c>
      <c r="S1251" s="27" t="str">
        <f>IF(I1251="","",_xlfn.XLOOKUP(I1251,Lists!$C:$C,Lists!$I:$I))</f>
        <v/>
      </c>
    </row>
    <row r="1252" spans="3:19" x14ac:dyDescent="0.2">
      <c r="C1252" s="26">
        <f>_xlfn.XLOOKUP(B1252,Lists!B:B,Lists!A:A,"")</f>
        <v>0</v>
      </c>
      <c r="G1252" s="26" t="str">
        <f t="shared" si="111"/>
        <v/>
      </c>
      <c r="H1252" s="31" t="str">
        <f t="shared" si="112"/>
        <v/>
      </c>
      <c r="J1252" s="27" t="str">
        <f>IF(I1252="","",_xlfn.XLOOKUP(I1252,Lists!$C:$C,Lists!$D:$D))</f>
        <v/>
      </c>
      <c r="N1252" s="26" t="str">
        <f t="shared" si="113"/>
        <v/>
      </c>
      <c r="O1252" s="27" t="str">
        <f>IF(I1252="","",_xlfn.XLOOKUP(I1252,Lists!$C:$C,Lists!$J:$J))</f>
        <v/>
      </c>
      <c r="P1252" s="27" t="str">
        <f>IF(I1252="","",_xlfn.XLOOKUP(I1252,Lists!$C:$C,Lists!$E:$E))</f>
        <v/>
      </c>
      <c r="Q1252" s="28" t="str">
        <f t="shared" si="114"/>
        <v/>
      </c>
      <c r="R1252" s="26" t="str">
        <f t="shared" ca="1" si="115"/>
        <v/>
      </c>
      <c r="S1252" s="27" t="str">
        <f>IF(I1252="","",_xlfn.XLOOKUP(I1252,Lists!$C:$C,Lists!$I:$I))</f>
        <v/>
      </c>
    </row>
    <row r="1253" spans="3:19" x14ac:dyDescent="0.2">
      <c r="C1253" s="26">
        <f>_xlfn.XLOOKUP(B1253,Lists!B:B,Lists!A:A,"")</f>
        <v>0</v>
      </c>
      <c r="G1253" s="26" t="str">
        <f t="shared" si="111"/>
        <v/>
      </c>
      <c r="H1253" s="31" t="str">
        <f t="shared" si="112"/>
        <v/>
      </c>
      <c r="J1253" s="27" t="str">
        <f>IF(I1253="","",_xlfn.XLOOKUP(I1253,Lists!$C:$C,Lists!$D:$D))</f>
        <v/>
      </c>
      <c r="N1253" s="26" t="str">
        <f t="shared" si="113"/>
        <v/>
      </c>
      <c r="O1253" s="27" t="str">
        <f>IF(I1253="","",_xlfn.XLOOKUP(I1253,Lists!$C:$C,Lists!$J:$J))</f>
        <v/>
      </c>
      <c r="P1253" s="27" t="str">
        <f>IF(I1253="","",_xlfn.XLOOKUP(I1253,Lists!$C:$C,Lists!$E:$E))</f>
        <v/>
      </c>
      <c r="Q1253" s="28" t="str">
        <f t="shared" si="114"/>
        <v/>
      </c>
      <c r="R1253" s="26" t="str">
        <f t="shared" ca="1" si="115"/>
        <v/>
      </c>
      <c r="S1253" s="27" t="str">
        <f>IF(I1253="","",_xlfn.XLOOKUP(I1253,Lists!$C:$C,Lists!$I:$I))</f>
        <v/>
      </c>
    </row>
    <row r="1254" spans="3:19" x14ac:dyDescent="0.2">
      <c r="C1254" s="26">
        <f>_xlfn.XLOOKUP(B1254,Lists!B:B,Lists!A:A,"")</f>
        <v>0</v>
      </c>
      <c r="G1254" s="26" t="str">
        <f t="shared" si="111"/>
        <v/>
      </c>
      <c r="H1254" s="31" t="str">
        <f t="shared" si="112"/>
        <v/>
      </c>
      <c r="J1254" s="27" t="str">
        <f>IF(I1254="","",_xlfn.XLOOKUP(I1254,Lists!$C:$C,Lists!$D:$D))</f>
        <v/>
      </c>
      <c r="N1254" s="26" t="str">
        <f t="shared" si="113"/>
        <v/>
      </c>
      <c r="O1254" s="27" t="str">
        <f>IF(I1254="","",_xlfn.XLOOKUP(I1254,Lists!$C:$C,Lists!$J:$J))</f>
        <v/>
      </c>
      <c r="P1254" s="27" t="str">
        <f>IF(I1254="","",_xlfn.XLOOKUP(I1254,Lists!$C:$C,Lists!$E:$E))</f>
        <v/>
      </c>
      <c r="Q1254" s="28" t="str">
        <f t="shared" si="114"/>
        <v/>
      </c>
      <c r="R1254" s="26" t="str">
        <f t="shared" ca="1" si="115"/>
        <v/>
      </c>
      <c r="S1254" s="27" t="str">
        <f>IF(I1254="","",_xlfn.XLOOKUP(I1254,Lists!$C:$C,Lists!$I:$I))</f>
        <v/>
      </c>
    </row>
    <row r="1255" spans="3:19" x14ac:dyDescent="0.2">
      <c r="C1255" s="26">
        <f>_xlfn.XLOOKUP(B1255,Lists!B:B,Lists!A:A,"")</f>
        <v>0</v>
      </c>
      <c r="G1255" s="26" t="str">
        <f t="shared" si="111"/>
        <v/>
      </c>
      <c r="H1255" s="31" t="str">
        <f t="shared" si="112"/>
        <v/>
      </c>
      <c r="J1255" s="27" t="str">
        <f>IF(I1255="","",_xlfn.XLOOKUP(I1255,Lists!$C:$C,Lists!$D:$D))</f>
        <v/>
      </c>
      <c r="N1255" s="26" t="str">
        <f t="shared" si="113"/>
        <v/>
      </c>
      <c r="O1255" s="27" t="str">
        <f>IF(I1255="","",_xlfn.XLOOKUP(I1255,Lists!$C:$C,Lists!$J:$J))</f>
        <v/>
      </c>
      <c r="P1255" s="27" t="str">
        <f>IF(I1255="","",_xlfn.XLOOKUP(I1255,Lists!$C:$C,Lists!$E:$E))</f>
        <v/>
      </c>
      <c r="Q1255" s="28" t="str">
        <f t="shared" si="114"/>
        <v/>
      </c>
      <c r="R1255" s="26" t="str">
        <f t="shared" ca="1" si="115"/>
        <v/>
      </c>
      <c r="S1255" s="27" t="str">
        <f>IF(I1255="","",_xlfn.XLOOKUP(I1255,Lists!$C:$C,Lists!$I:$I))</f>
        <v/>
      </c>
    </row>
    <row r="1256" spans="3:19" x14ac:dyDescent="0.2">
      <c r="C1256" s="26">
        <f>_xlfn.XLOOKUP(B1256,Lists!B:B,Lists!A:A,"")</f>
        <v>0</v>
      </c>
      <c r="G1256" s="26" t="str">
        <f t="shared" si="111"/>
        <v/>
      </c>
      <c r="H1256" s="31" t="str">
        <f t="shared" si="112"/>
        <v/>
      </c>
      <c r="J1256" s="27" t="str">
        <f>IF(I1256="","",_xlfn.XLOOKUP(I1256,Lists!$C:$C,Lists!$D:$D))</f>
        <v/>
      </c>
      <c r="N1256" s="26" t="str">
        <f t="shared" si="113"/>
        <v/>
      </c>
      <c r="O1256" s="27" t="str">
        <f>IF(I1256="","",_xlfn.XLOOKUP(I1256,Lists!$C:$C,Lists!$J:$J))</f>
        <v/>
      </c>
      <c r="P1256" s="27" t="str">
        <f>IF(I1256="","",_xlfn.XLOOKUP(I1256,Lists!$C:$C,Lists!$E:$E))</f>
        <v/>
      </c>
      <c r="Q1256" s="28" t="str">
        <f t="shared" si="114"/>
        <v/>
      </c>
      <c r="R1256" s="26" t="str">
        <f t="shared" ca="1" si="115"/>
        <v/>
      </c>
      <c r="S1256" s="27" t="str">
        <f>IF(I1256="","",_xlfn.XLOOKUP(I1256,Lists!$C:$C,Lists!$I:$I))</f>
        <v/>
      </c>
    </row>
    <row r="1257" spans="3:19" x14ac:dyDescent="0.2">
      <c r="C1257" s="26">
        <f>_xlfn.XLOOKUP(B1257,Lists!B:B,Lists!A:A,"")</f>
        <v>0</v>
      </c>
      <c r="G1257" s="26" t="str">
        <f t="shared" si="111"/>
        <v/>
      </c>
      <c r="H1257" s="31" t="str">
        <f t="shared" si="112"/>
        <v/>
      </c>
      <c r="J1257" s="27" t="str">
        <f>IF(I1257="","",_xlfn.XLOOKUP(I1257,Lists!$C:$C,Lists!$D:$D))</f>
        <v/>
      </c>
      <c r="N1257" s="26" t="str">
        <f t="shared" si="113"/>
        <v/>
      </c>
      <c r="O1257" s="27" t="str">
        <f>IF(I1257="","",_xlfn.XLOOKUP(I1257,Lists!$C:$C,Lists!$J:$J))</f>
        <v/>
      </c>
      <c r="P1257" s="27" t="str">
        <f>IF(I1257="","",_xlfn.XLOOKUP(I1257,Lists!$C:$C,Lists!$E:$E))</f>
        <v/>
      </c>
      <c r="Q1257" s="28" t="str">
        <f t="shared" si="114"/>
        <v/>
      </c>
      <c r="R1257" s="26" t="str">
        <f t="shared" ca="1" si="115"/>
        <v/>
      </c>
      <c r="S1257" s="27" t="str">
        <f>IF(I1257="","",_xlfn.XLOOKUP(I1257,Lists!$C:$C,Lists!$I:$I))</f>
        <v/>
      </c>
    </row>
    <row r="1258" spans="3:19" x14ac:dyDescent="0.2">
      <c r="C1258" s="26">
        <f>_xlfn.XLOOKUP(B1258,Lists!B:B,Lists!A:A,"")</f>
        <v>0</v>
      </c>
      <c r="G1258" s="26" t="str">
        <f t="shared" si="111"/>
        <v/>
      </c>
      <c r="H1258" s="31" t="str">
        <f t="shared" si="112"/>
        <v/>
      </c>
      <c r="J1258" s="27" t="str">
        <f>IF(I1258="","",_xlfn.XLOOKUP(I1258,Lists!$C:$C,Lists!$D:$D))</f>
        <v/>
      </c>
      <c r="N1258" s="26" t="str">
        <f t="shared" si="113"/>
        <v/>
      </c>
      <c r="O1258" s="27" t="str">
        <f>IF(I1258="","",_xlfn.XLOOKUP(I1258,Lists!$C:$C,Lists!$J:$J))</f>
        <v/>
      </c>
      <c r="P1258" s="27" t="str">
        <f>IF(I1258="","",_xlfn.XLOOKUP(I1258,Lists!$C:$C,Lists!$E:$E))</f>
        <v/>
      </c>
      <c r="Q1258" s="28" t="str">
        <f t="shared" si="114"/>
        <v/>
      </c>
      <c r="R1258" s="26" t="str">
        <f t="shared" ca="1" si="115"/>
        <v/>
      </c>
      <c r="S1258" s="27" t="str">
        <f>IF(I1258="","",_xlfn.XLOOKUP(I1258,Lists!$C:$C,Lists!$I:$I))</f>
        <v/>
      </c>
    </row>
    <row r="1259" spans="3:19" x14ac:dyDescent="0.2">
      <c r="C1259" s="26">
        <f>_xlfn.XLOOKUP(B1259,Lists!B:B,Lists!A:A,"")</f>
        <v>0</v>
      </c>
      <c r="G1259" s="26" t="str">
        <f t="shared" si="111"/>
        <v/>
      </c>
      <c r="H1259" s="31" t="str">
        <f t="shared" si="112"/>
        <v/>
      </c>
      <c r="J1259" s="27" t="str">
        <f>IF(I1259="","",_xlfn.XLOOKUP(I1259,Lists!$C:$C,Lists!$D:$D))</f>
        <v/>
      </c>
      <c r="N1259" s="26" t="str">
        <f t="shared" si="113"/>
        <v/>
      </c>
      <c r="O1259" s="27" t="str">
        <f>IF(I1259="","",_xlfn.XLOOKUP(I1259,Lists!$C:$C,Lists!$J:$J))</f>
        <v/>
      </c>
      <c r="P1259" s="27" t="str">
        <f>IF(I1259="","",_xlfn.XLOOKUP(I1259,Lists!$C:$C,Lists!$E:$E))</f>
        <v/>
      </c>
      <c r="Q1259" s="28" t="str">
        <f t="shared" si="114"/>
        <v/>
      </c>
      <c r="R1259" s="26" t="str">
        <f t="shared" ca="1" si="115"/>
        <v/>
      </c>
      <c r="S1259" s="27" t="str">
        <f>IF(I1259="","",_xlfn.XLOOKUP(I1259,Lists!$C:$C,Lists!$I:$I))</f>
        <v/>
      </c>
    </row>
    <row r="1260" spans="3:19" x14ac:dyDescent="0.2">
      <c r="C1260" s="26">
        <f>_xlfn.XLOOKUP(B1260,Lists!B:B,Lists!A:A,"")</f>
        <v>0</v>
      </c>
      <c r="G1260" s="26" t="str">
        <f t="shared" si="111"/>
        <v/>
      </c>
      <c r="H1260" s="31" t="str">
        <f t="shared" si="112"/>
        <v/>
      </c>
      <c r="J1260" s="27" t="str">
        <f>IF(I1260="","",_xlfn.XLOOKUP(I1260,Lists!$C:$C,Lists!$D:$D))</f>
        <v/>
      </c>
      <c r="N1260" s="26" t="str">
        <f t="shared" si="113"/>
        <v/>
      </c>
      <c r="O1260" s="27" t="str">
        <f>IF(I1260="","",_xlfn.XLOOKUP(I1260,Lists!$C:$C,Lists!$J:$J))</f>
        <v/>
      </c>
      <c r="P1260" s="27" t="str">
        <f>IF(I1260="","",_xlfn.XLOOKUP(I1260,Lists!$C:$C,Lists!$E:$E))</f>
        <v/>
      </c>
      <c r="Q1260" s="28" t="str">
        <f t="shared" si="114"/>
        <v/>
      </c>
      <c r="R1260" s="26" t="str">
        <f t="shared" ca="1" si="115"/>
        <v/>
      </c>
      <c r="S1260" s="27" t="str">
        <f>IF(I1260="","",_xlfn.XLOOKUP(I1260,Lists!$C:$C,Lists!$I:$I))</f>
        <v/>
      </c>
    </row>
    <row r="1261" spans="3:19" x14ac:dyDescent="0.2">
      <c r="C1261" s="26">
        <f>_xlfn.XLOOKUP(B1261,Lists!B:B,Lists!A:A,"")</f>
        <v>0</v>
      </c>
      <c r="G1261" s="26" t="str">
        <f t="shared" ref="G1261:G1299" si="116">IF(OR(E1261="",F1261=""),"",F1261-E1261+1)</f>
        <v/>
      </c>
      <c r="H1261" s="31" t="str">
        <f t="shared" ref="H1261:H1299" si="117">IF(D1261="","",IF(OR(D1261="A",D1261="B"),G1261/80,IF(D1261="A&amp;B",G1261/160,"")))</f>
        <v/>
      </c>
      <c r="J1261" s="27" t="str">
        <f>IF(I1261="","",_xlfn.XLOOKUP(I1261,Lists!$C:$C,Lists!$D:$D))</f>
        <v/>
      </c>
      <c r="N1261" s="26" t="str">
        <f t="shared" ref="N1261:N1299" si="118">IF(OR(M1261="",L1261=""),"",(M1261*L1261)/100000)</f>
        <v/>
      </c>
      <c r="O1261" s="27" t="str">
        <f>IF(I1261="","",_xlfn.XLOOKUP(I1261,Lists!$C:$C,Lists!$J:$J))</f>
        <v/>
      </c>
      <c r="P1261" s="27" t="str">
        <f>IF(I1261="","",_xlfn.XLOOKUP(I1261,Lists!$C:$C,Lists!$E:$E))</f>
        <v/>
      </c>
      <c r="Q1261" s="28" t="str">
        <f t="shared" ref="Q1261:Q1299" si="119">IF(OR(A1261="",P1261=""),"",A1261+P1261+1)</f>
        <v/>
      </c>
      <c r="R1261" s="26" t="str">
        <f t="shared" ref="R1261:R1299" ca="1" si="120">IF(Q1261="","",IF(Q1261&lt;=TODAY(),"Allow","Not Allow"))</f>
        <v/>
      </c>
      <c r="S1261" s="27" t="str">
        <f>IF(I1261="","",_xlfn.XLOOKUP(I1261,Lists!$C:$C,Lists!$I:$I))</f>
        <v/>
      </c>
    </row>
    <row r="1262" spans="3:19" x14ac:dyDescent="0.2">
      <c r="C1262" s="26">
        <f>_xlfn.XLOOKUP(B1262,Lists!B:B,Lists!A:A,"")</f>
        <v>0</v>
      </c>
      <c r="G1262" s="26" t="str">
        <f t="shared" si="116"/>
        <v/>
      </c>
      <c r="H1262" s="31" t="str">
        <f t="shared" si="117"/>
        <v/>
      </c>
      <c r="J1262" s="27" t="str">
        <f>IF(I1262="","",_xlfn.XLOOKUP(I1262,Lists!$C:$C,Lists!$D:$D))</f>
        <v/>
      </c>
      <c r="N1262" s="26" t="str">
        <f t="shared" si="118"/>
        <v/>
      </c>
      <c r="O1262" s="27" t="str">
        <f>IF(I1262="","",_xlfn.XLOOKUP(I1262,Lists!$C:$C,Lists!$J:$J))</f>
        <v/>
      </c>
      <c r="P1262" s="27" t="str">
        <f>IF(I1262="","",_xlfn.XLOOKUP(I1262,Lists!$C:$C,Lists!$E:$E))</f>
        <v/>
      </c>
      <c r="Q1262" s="28" t="str">
        <f t="shared" si="119"/>
        <v/>
      </c>
      <c r="R1262" s="26" t="str">
        <f t="shared" ca="1" si="120"/>
        <v/>
      </c>
      <c r="S1262" s="27" t="str">
        <f>IF(I1262="","",_xlfn.XLOOKUP(I1262,Lists!$C:$C,Lists!$I:$I))</f>
        <v/>
      </c>
    </row>
    <row r="1263" spans="3:19" x14ac:dyDescent="0.2">
      <c r="C1263" s="26">
        <f>_xlfn.XLOOKUP(B1263,Lists!B:B,Lists!A:A,"")</f>
        <v>0</v>
      </c>
      <c r="G1263" s="26" t="str">
        <f t="shared" si="116"/>
        <v/>
      </c>
      <c r="H1263" s="31" t="str">
        <f t="shared" si="117"/>
        <v/>
      </c>
      <c r="J1263" s="27" t="str">
        <f>IF(I1263="","",_xlfn.XLOOKUP(I1263,Lists!$C:$C,Lists!$D:$D))</f>
        <v/>
      </c>
      <c r="N1263" s="26" t="str">
        <f t="shared" si="118"/>
        <v/>
      </c>
      <c r="O1263" s="27" t="str">
        <f>IF(I1263="","",_xlfn.XLOOKUP(I1263,Lists!$C:$C,Lists!$J:$J))</f>
        <v/>
      </c>
      <c r="P1263" s="27" t="str">
        <f>IF(I1263="","",_xlfn.XLOOKUP(I1263,Lists!$C:$C,Lists!$E:$E))</f>
        <v/>
      </c>
      <c r="Q1263" s="28" t="str">
        <f t="shared" si="119"/>
        <v/>
      </c>
      <c r="R1263" s="26" t="str">
        <f t="shared" ca="1" si="120"/>
        <v/>
      </c>
      <c r="S1263" s="27" t="str">
        <f>IF(I1263="","",_xlfn.XLOOKUP(I1263,Lists!$C:$C,Lists!$I:$I))</f>
        <v/>
      </c>
    </row>
    <row r="1264" spans="3:19" x14ac:dyDescent="0.2">
      <c r="C1264" s="26">
        <f>_xlfn.XLOOKUP(B1264,Lists!B:B,Lists!A:A,"")</f>
        <v>0</v>
      </c>
      <c r="G1264" s="26" t="str">
        <f t="shared" si="116"/>
        <v/>
      </c>
      <c r="H1264" s="31" t="str">
        <f t="shared" si="117"/>
        <v/>
      </c>
      <c r="J1264" s="27" t="str">
        <f>IF(I1264="","",_xlfn.XLOOKUP(I1264,Lists!$C:$C,Lists!$D:$D))</f>
        <v/>
      </c>
      <c r="N1264" s="26" t="str">
        <f t="shared" si="118"/>
        <v/>
      </c>
      <c r="O1264" s="27" t="str">
        <f>IF(I1264="","",_xlfn.XLOOKUP(I1264,Lists!$C:$C,Lists!$J:$J))</f>
        <v/>
      </c>
      <c r="P1264" s="27" t="str">
        <f>IF(I1264="","",_xlfn.XLOOKUP(I1264,Lists!$C:$C,Lists!$E:$E))</f>
        <v/>
      </c>
      <c r="Q1264" s="28" t="str">
        <f t="shared" si="119"/>
        <v/>
      </c>
      <c r="R1264" s="26" t="str">
        <f t="shared" ca="1" si="120"/>
        <v/>
      </c>
      <c r="S1264" s="27" t="str">
        <f>IF(I1264="","",_xlfn.XLOOKUP(I1264,Lists!$C:$C,Lists!$I:$I))</f>
        <v/>
      </c>
    </row>
    <row r="1265" spans="3:19" x14ac:dyDescent="0.2">
      <c r="C1265" s="26">
        <f>_xlfn.XLOOKUP(B1265,Lists!B:B,Lists!A:A,"")</f>
        <v>0</v>
      </c>
      <c r="G1265" s="26" t="str">
        <f t="shared" si="116"/>
        <v/>
      </c>
      <c r="H1265" s="31" t="str">
        <f t="shared" si="117"/>
        <v/>
      </c>
      <c r="J1265" s="27" t="str">
        <f>IF(I1265="","",_xlfn.XLOOKUP(I1265,Lists!$C:$C,Lists!$D:$D))</f>
        <v/>
      </c>
      <c r="N1265" s="26" t="str">
        <f t="shared" si="118"/>
        <v/>
      </c>
      <c r="O1265" s="27" t="str">
        <f>IF(I1265="","",_xlfn.XLOOKUP(I1265,Lists!$C:$C,Lists!$J:$J))</f>
        <v/>
      </c>
      <c r="P1265" s="27" t="str">
        <f>IF(I1265="","",_xlfn.XLOOKUP(I1265,Lists!$C:$C,Lists!$E:$E))</f>
        <v/>
      </c>
      <c r="Q1265" s="28" t="str">
        <f t="shared" si="119"/>
        <v/>
      </c>
      <c r="R1265" s="26" t="str">
        <f t="shared" ca="1" si="120"/>
        <v/>
      </c>
      <c r="S1265" s="27" t="str">
        <f>IF(I1265="","",_xlfn.XLOOKUP(I1265,Lists!$C:$C,Lists!$I:$I))</f>
        <v/>
      </c>
    </row>
    <row r="1266" spans="3:19" x14ac:dyDescent="0.2">
      <c r="C1266" s="26">
        <f>_xlfn.XLOOKUP(B1266,Lists!B:B,Lists!A:A,"")</f>
        <v>0</v>
      </c>
      <c r="G1266" s="26" t="str">
        <f t="shared" si="116"/>
        <v/>
      </c>
      <c r="H1266" s="31" t="str">
        <f t="shared" si="117"/>
        <v/>
      </c>
      <c r="J1266" s="27" t="str">
        <f>IF(I1266="","",_xlfn.XLOOKUP(I1266,Lists!$C:$C,Lists!$D:$D))</f>
        <v/>
      </c>
      <c r="N1266" s="26" t="str">
        <f t="shared" si="118"/>
        <v/>
      </c>
      <c r="O1266" s="27" t="str">
        <f>IF(I1266="","",_xlfn.XLOOKUP(I1266,Lists!$C:$C,Lists!$J:$J))</f>
        <v/>
      </c>
      <c r="P1266" s="27" t="str">
        <f>IF(I1266="","",_xlfn.XLOOKUP(I1266,Lists!$C:$C,Lists!$E:$E))</f>
        <v/>
      </c>
      <c r="Q1266" s="28" t="str">
        <f t="shared" si="119"/>
        <v/>
      </c>
      <c r="R1266" s="26" t="str">
        <f t="shared" ca="1" si="120"/>
        <v/>
      </c>
      <c r="S1266" s="27" t="str">
        <f>IF(I1266="","",_xlfn.XLOOKUP(I1266,Lists!$C:$C,Lists!$I:$I))</f>
        <v/>
      </c>
    </row>
    <row r="1267" spans="3:19" x14ac:dyDescent="0.2">
      <c r="C1267" s="26">
        <f>_xlfn.XLOOKUP(B1267,Lists!B:B,Lists!A:A,"")</f>
        <v>0</v>
      </c>
      <c r="G1267" s="26" t="str">
        <f t="shared" si="116"/>
        <v/>
      </c>
      <c r="H1267" s="31" t="str">
        <f t="shared" si="117"/>
        <v/>
      </c>
      <c r="J1267" s="27" t="str">
        <f>IF(I1267="","",_xlfn.XLOOKUP(I1267,Lists!$C:$C,Lists!$D:$D))</f>
        <v/>
      </c>
      <c r="N1267" s="26" t="str">
        <f t="shared" si="118"/>
        <v/>
      </c>
      <c r="O1267" s="27" t="str">
        <f>IF(I1267="","",_xlfn.XLOOKUP(I1267,Lists!$C:$C,Lists!$J:$J))</f>
        <v/>
      </c>
      <c r="P1267" s="27" t="str">
        <f>IF(I1267="","",_xlfn.XLOOKUP(I1267,Lists!$C:$C,Lists!$E:$E))</f>
        <v/>
      </c>
      <c r="Q1267" s="28" t="str">
        <f t="shared" si="119"/>
        <v/>
      </c>
      <c r="R1267" s="26" t="str">
        <f t="shared" ca="1" si="120"/>
        <v/>
      </c>
      <c r="S1267" s="27" t="str">
        <f>IF(I1267="","",_xlfn.XLOOKUP(I1267,Lists!$C:$C,Lists!$I:$I))</f>
        <v/>
      </c>
    </row>
    <row r="1268" spans="3:19" x14ac:dyDescent="0.2">
      <c r="C1268" s="26">
        <f>_xlfn.XLOOKUP(B1268,Lists!B:B,Lists!A:A,"")</f>
        <v>0</v>
      </c>
      <c r="G1268" s="26" t="str">
        <f t="shared" si="116"/>
        <v/>
      </c>
      <c r="H1268" s="31" t="str">
        <f t="shared" si="117"/>
        <v/>
      </c>
      <c r="J1268" s="27" t="str">
        <f>IF(I1268="","",_xlfn.XLOOKUP(I1268,Lists!$C:$C,Lists!$D:$D))</f>
        <v/>
      </c>
      <c r="N1268" s="26" t="str">
        <f t="shared" si="118"/>
        <v/>
      </c>
      <c r="O1268" s="27" t="str">
        <f>IF(I1268="","",_xlfn.XLOOKUP(I1268,Lists!$C:$C,Lists!$J:$J))</f>
        <v/>
      </c>
      <c r="P1268" s="27" t="str">
        <f>IF(I1268="","",_xlfn.XLOOKUP(I1268,Lists!$C:$C,Lists!$E:$E))</f>
        <v/>
      </c>
      <c r="Q1268" s="28" t="str">
        <f t="shared" si="119"/>
        <v/>
      </c>
      <c r="R1268" s="26" t="str">
        <f t="shared" ca="1" si="120"/>
        <v/>
      </c>
      <c r="S1268" s="27" t="str">
        <f>IF(I1268="","",_xlfn.XLOOKUP(I1268,Lists!$C:$C,Lists!$I:$I))</f>
        <v/>
      </c>
    </row>
    <row r="1269" spans="3:19" x14ac:dyDescent="0.2">
      <c r="C1269" s="26">
        <f>_xlfn.XLOOKUP(B1269,Lists!B:B,Lists!A:A,"")</f>
        <v>0</v>
      </c>
      <c r="G1269" s="26" t="str">
        <f t="shared" si="116"/>
        <v/>
      </c>
      <c r="H1269" s="31" t="str">
        <f t="shared" si="117"/>
        <v/>
      </c>
      <c r="J1269" s="27" t="str">
        <f>IF(I1269="","",_xlfn.XLOOKUP(I1269,Lists!$C:$C,Lists!$D:$D))</f>
        <v/>
      </c>
      <c r="N1269" s="26" t="str">
        <f t="shared" si="118"/>
        <v/>
      </c>
      <c r="O1269" s="27" t="str">
        <f>IF(I1269="","",_xlfn.XLOOKUP(I1269,Lists!$C:$C,Lists!$J:$J))</f>
        <v/>
      </c>
      <c r="P1269" s="27" t="str">
        <f>IF(I1269="","",_xlfn.XLOOKUP(I1269,Lists!$C:$C,Lists!$E:$E))</f>
        <v/>
      </c>
      <c r="Q1269" s="28" t="str">
        <f t="shared" si="119"/>
        <v/>
      </c>
      <c r="R1269" s="26" t="str">
        <f t="shared" ca="1" si="120"/>
        <v/>
      </c>
      <c r="S1269" s="27" t="str">
        <f>IF(I1269="","",_xlfn.XLOOKUP(I1269,Lists!$C:$C,Lists!$I:$I))</f>
        <v/>
      </c>
    </row>
    <row r="1270" spans="3:19" x14ac:dyDescent="0.2">
      <c r="C1270" s="26">
        <f>_xlfn.XLOOKUP(B1270,Lists!B:B,Lists!A:A,"")</f>
        <v>0</v>
      </c>
      <c r="G1270" s="26" t="str">
        <f t="shared" si="116"/>
        <v/>
      </c>
      <c r="H1270" s="31" t="str">
        <f t="shared" si="117"/>
        <v/>
      </c>
      <c r="J1270" s="27" t="str">
        <f>IF(I1270="","",_xlfn.XLOOKUP(I1270,Lists!$C:$C,Lists!$D:$D))</f>
        <v/>
      </c>
      <c r="N1270" s="26" t="str">
        <f t="shared" si="118"/>
        <v/>
      </c>
      <c r="O1270" s="27" t="str">
        <f>IF(I1270="","",_xlfn.XLOOKUP(I1270,Lists!$C:$C,Lists!$J:$J))</f>
        <v/>
      </c>
      <c r="P1270" s="27" t="str">
        <f>IF(I1270="","",_xlfn.XLOOKUP(I1270,Lists!$C:$C,Lists!$E:$E))</f>
        <v/>
      </c>
      <c r="Q1270" s="28" t="str">
        <f t="shared" si="119"/>
        <v/>
      </c>
      <c r="R1270" s="26" t="str">
        <f t="shared" ca="1" si="120"/>
        <v/>
      </c>
      <c r="S1270" s="27" t="str">
        <f>IF(I1270="","",_xlfn.XLOOKUP(I1270,Lists!$C:$C,Lists!$I:$I))</f>
        <v/>
      </c>
    </row>
    <row r="1271" spans="3:19" x14ac:dyDescent="0.2">
      <c r="C1271" s="26">
        <f>_xlfn.XLOOKUP(B1271,Lists!B:B,Lists!A:A,"")</f>
        <v>0</v>
      </c>
      <c r="G1271" s="26" t="str">
        <f t="shared" si="116"/>
        <v/>
      </c>
      <c r="H1271" s="31" t="str">
        <f t="shared" si="117"/>
        <v/>
      </c>
      <c r="J1271" s="27" t="str">
        <f>IF(I1271="","",_xlfn.XLOOKUP(I1271,Lists!$C:$C,Lists!$D:$D))</f>
        <v/>
      </c>
      <c r="N1271" s="26" t="str">
        <f t="shared" si="118"/>
        <v/>
      </c>
      <c r="O1271" s="27" t="str">
        <f>IF(I1271="","",_xlfn.XLOOKUP(I1271,Lists!$C:$C,Lists!$J:$J))</f>
        <v/>
      </c>
      <c r="P1271" s="27" t="str">
        <f>IF(I1271="","",_xlfn.XLOOKUP(I1271,Lists!$C:$C,Lists!$E:$E))</f>
        <v/>
      </c>
      <c r="Q1271" s="28" t="str">
        <f t="shared" si="119"/>
        <v/>
      </c>
      <c r="R1271" s="26" t="str">
        <f t="shared" ca="1" si="120"/>
        <v/>
      </c>
      <c r="S1271" s="27" t="str">
        <f>IF(I1271="","",_xlfn.XLOOKUP(I1271,Lists!$C:$C,Lists!$I:$I))</f>
        <v/>
      </c>
    </row>
    <row r="1272" spans="3:19" x14ac:dyDescent="0.2">
      <c r="C1272" s="26">
        <f>_xlfn.XLOOKUP(B1272,Lists!B:B,Lists!A:A,"")</f>
        <v>0</v>
      </c>
      <c r="G1272" s="26" t="str">
        <f t="shared" si="116"/>
        <v/>
      </c>
      <c r="H1272" s="31" t="str">
        <f t="shared" si="117"/>
        <v/>
      </c>
      <c r="J1272" s="27" t="str">
        <f>IF(I1272="","",_xlfn.XLOOKUP(I1272,Lists!$C:$C,Lists!$D:$D))</f>
        <v/>
      </c>
      <c r="N1272" s="26" t="str">
        <f t="shared" si="118"/>
        <v/>
      </c>
      <c r="O1272" s="27" t="str">
        <f>IF(I1272="","",_xlfn.XLOOKUP(I1272,Lists!$C:$C,Lists!$J:$J))</f>
        <v/>
      </c>
      <c r="P1272" s="27" t="str">
        <f>IF(I1272="","",_xlfn.XLOOKUP(I1272,Lists!$C:$C,Lists!$E:$E))</f>
        <v/>
      </c>
      <c r="Q1272" s="28" t="str">
        <f t="shared" si="119"/>
        <v/>
      </c>
      <c r="R1272" s="26" t="str">
        <f t="shared" ca="1" si="120"/>
        <v/>
      </c>
      <c r="S1272" s="27" t="str">
        <f>IF(I1272="","",_xlfn.XLOOKUP(I1272,Lists!$C:$C,Lists!$I:$I))</f>
        <v/>
      </c>
    </row>
    <row r="1273" spans="3:19" x14ac:dyDescent="0.2">
      <c r="C1273" s="26">
        <f>_xlfn.XLOOKUP(B1273,Lists!B:B,Lists!A:A,"")</f>
        <v>0</v>
      </c>
      <c r="G1273" s="26" t="str">
        <f t="shared" si="116"/>
        <v/>
      </c>
      <c r="H1273" s="31" t="str">
        <f t="shared" si="117"/>
        <v/>
      </c>
      <c r="J1273" s="27" t="str">
        <f>IF(I1273="","",_xlfn.XLOOKUP(I1273,Lists!$C:$C,Lists!$D:$D))</f>
        <v/>
      </c>
      <c r="N1273" s="26" t="str">
        <f t="shared" si="118"/>
        <v/>
      </c>
      <c r="O1273" s="27" t="str">
        <f>IF(I1273="","",_xlfn.XLOOKUP(I1273,Lists!$C:$C,Lists!$J:$J))</f>
        <v/>
      </c>
      <c r="P1273" s="27" t="str">
        <f>IF(I1273="","",_xlfn.XLOOKUP(I1273,Lists!$C:$C,Lists!$E:$E))</f>
        <v/>
      </c>
      <c r="Q1273" s="28" t="str">
        <f t="shared" si="119"/>
        <v/>
      </c>
      <c r="R1273" s="26" t="str">
        <f t="shared" ca="1" si="120"/>
        <v/>
      </c>
      <c r="S1273" s="27" t="str">
        <f>IF(I1273="","",_xlfn.XLOOKUP(I1273,Lists!$C:$C,Lists!$I:$I))</f>
        <v/>
      </c>
    </row>
    <row r="1274" spans="3:19" x14ac:dyDescent="0.2">
      <c r="C1274" s="26">
        <f>_xlfn.XLOOKUP(B1274,Lists!B:B,Lists!A:A,"")</f>
        <v>0</v>
      </c>
      <c r="G1274" s="26" t="str">
        <f t="shared" si="116"/>
        <v/>
      </c>
      <c r="H1274" s="31" t="str">
        <f t="shared" si="117"/>
        <v/>
      </c>
      <c r="J1274" s="27" t="str">
        <f>IF(I1274="","",_xlfn.XLOOKUP(I1274,Lists!$C:$C,Lists!$D:$D))</f>
        <v/>
      </c>
      <c r="N1274" s="26" t="str">
        <f t="shared" si="118"/>
        <v/>
      </c>
      <c r="O1274" s="27" t="str">
        <f>IF(I1274="","",_xlfn.XLOOKUP(I1274,Lists!$C:$C,Lists!$J:$J))</f>
        <v/>
      </c>
      <c r="P1274" s="27" t="str">
        <f>IF(I1274="","",_xlfn.XLOOKUP(I1274,Lists!$C:$C,Lists!$E:$E))</f>
        <v/>
      </c>
      <c r="Q1274" s="28" t="str">
        <f t="shared" si="119"/>
        <v/>
      </c>
      <c r="R1274" s="26" t="str">
        <f t="shared" ca="1" si="120"/>
        <v/>
      </c>
      <c r="S1274" s="27" t="str">
        <f>IF(I1274="","",_xlfn.XLOOKUP(I1274,Lists!$C:$C,Lists!$I:$I))</f>
        <v/>
      </c>
    </row>
    <row r="1275" spans="3:19" x14ac:dyDescent="0.2">
      <c r="C1275" s="26">
        <f>_xlfn.XLOOKUP(B1275,Lists!B:B,Lists!A:A,"")</f>
        <v>0</v>
      </c>
      <c r="G1275" s="26" t="str">
        <f t="shared" si="116"/>
        <v/>
      </c>
      <c r="H1275" s="31" t="str">
        <f t="shared" si="117"/>
        <v/>
      </c>
      <c r="J1275" s="27" t="str">
        <f>IF(I1275="","",_xlfn.XLOOKUP(I1275,Lists!$C:$C,Lists!$D:$D))</f>
        <v/>
      </c>
      <c r="N1275" s="26" t="str">
        <f t="shared" si="118"/>
        <v/>
      </c>
      <c r="O1275" s="27" t="str">
        <f>IF(I1275="","",_xlfn.XLOOKUP(I1275,Lists!$C:$C,Lists!$J:$J))</f>
        <v/>
      </c>
      <c r="P1275" s="27" t="str">
        <f>IF(I1275="","",_xlfn.XLOOKUP(I1275,Lists!$C:$C,Lists!$E:$E))</f>
        <v/>
      </c>
      <c r="Q1275" s="28" t="str">
        <f t="shared" si="119"/>
        <v/>
      </c>
      <c r="R1275" s="26" t="str">
        <f t="shared" ca="1" si="120"/>
        <v/>
      </c>
      <c r="S1275" s="27" t="str">
        <f>IF(I1275="","",_xlfn.XLOOKUP(I1275,Lists!$C:$C,Lists!$I:$I))</f>
        <v/>
      </c>
    </row>
    <row r="1276" spans="3:19" x14ac:dyDescent="0.2">
      <c r="C1276" s="26">
        <f>_xlfn.XLOOKUP(B1276,Lists!B:B,Lists!A:A,"")</f>
        <v>0</v>
      </c>
      <c r="G1276" s="26" t="str">
        <f t="shared" si="116"/>
        <v/>
      </c>
      <c r="H1276" s="31" t="str">
        <f t="shared" si="117"/>
        <v/>
      </c>
      <c r="J1276" s="27" t="str">
        <f>IF(I1276="","",_xlfn.XLOOKUP(I1276,Lists!$C:$C,Lists!$D:$D))</f>
        <v/>
      </c>
      <c r="N1276" s="26" t="str">
        <f t="shared" si="118"/>
        <v/>
      </c>
      <c r="O1276" s="27" t="str">
        <f>IF(I1276="","",_xlfn.XLOOKUP(I1276,Lists!$C:$C,Lists!$J:$J))</f>
        <v/>
      </c>
      <c r="P1276" s="27" t="str">
        <f>IF(I1276="","",_xlfn.XLOOKUP(I1276,Lists!$C:$C,Lists!$E:$E))</f>
        <v/>
      </c>
      <c r="Q1276" s="28" t="str">
        <f t="shared" si="119"/>
        <v/>
      </c>
      <c r="R1276" s="26" t="str">
        <f t="shared" ca="1" si="120"/>
        <v/>
      </c>
      <c r="S1276" s="27" t="str">
        <f>IF(I1276="","",_xlfn.XLOOKUP(I1276,Lists!$C:$C,Lists!$I:$I))</f>
        <v/>
      </c>
    </row>
    <row r="1277" spans="3:19" x14ac:dyDescent="0.2">
      <c r="C1277" s="26">
        <f>_xlfn.XLOOKUP(B1277,Lists!B:B,Lists!A:A,"")</f>
        <v>0</v>
      </c>
      <c r="G1277" s="26" t="str">
        <f t="shared" si="116"/>
        <v/>
      </c>
      <c r="H1277" s="31" t="str">
        <f t="shared" si="117"/>
        <v/>
      </c>
      <c r="J1277" s="27" t="str">
        <f>IF(I1277="","",_xlfn.XLOOKUP(I1277,Lists!$C:$C,Lists!$D:$D))</f>
        <v/>
      </c>
      <c r="N1277" s="26" t="str">
        <f t="shared" si="118"/>
        <v/>
      </c>
      <c r="O1277" s="27" t="str">
        <f>IF(I1277="","",_xlfn.XLOOKUP(I1277,Lists!$C:$C,Lists!$J:$J))</f>
        <v/>
      </c>
      <c r="P1277" s="27" t="str">
        <f>IF(I1277="","",_xlfn.XLOOKUP(I1277,Lists!$C:$C,Lists!$E:$E))</f>
        <v/>
      </c>
      <c r="Q1277" s="28" t="str">
        <f t="shared" si="119"/>
        <v/>
      </c>
      <c r="R1277" s="26" t="str">
        <f t="shared" ca="1" si="120"/>
        <v/>
      </c>
      <c r="S1277" s="27" t="str">
        <f>IF(I1277="","",_xlfn.XLOOKUP(I1277,Lists!$C:$C,Lists!$I:$I))</f>
        <v/>
      </c>
    </row>
    <row r="1278" spans="3:19" x14ac:dyDescent="0.2">
      <c r="C1278" s="26">
        <f>_xlfn.XLOOKUP(B1278,Lists!B:B,Lists!A:A,"")</f>
        <v>0</v>
      </c>
      <c r="G1278" s="26" t="str">
        <f t="shared" si="116"/>
        <v/>
      </c>
      <c r="H1278" s="31" t="str">
        <f t="shared" si="117"/>
        <v/>
      </c>
      <c r="J1278" s="27" t="str">
        <f>IF(I1278="","",_xlfn.XLOOKUP(I1278,Lists!$C:$C,Lists!$D:$D))</f>
        <v/>
      </c>
      <c r="N1278" s="26" t="str">
        <f t="shared" si="118"/>
        <v/>
      </c>
      <c r="O1278" s="27" t="str">
        <f>IF(I1278="","",_xlfn.XLOOKUP(I1278,Lists!$C:$C,Lists!$J:$J))</f>
        <v/>
      </c>
      <c r="P1278" s="27" t="str">
        <f>IF(I1278="","",_xlfn.XLOOKUP(I1278,Lists!$C:$C,Lists!$E:$E))</f>
        <v/>
      </c>
      <c r="Q1278" s="28" t="str">
        <f t="shared" si="119"/>
        <v/>
      </c>
      <c r="R1278" s="26" t="str">
        <f t="shared" ca="1" si="120"/>
        <v/>
      </c>
      <c r="S1278" s="27" t="str">
        <f>IF(I1278="","",_xlfn.XLOOKUP(I1278,Lists!$C:$C,Lists!$I:$I))</f>
        <v/>
      </c>
    </row>
    <row r="1279" spans="3:19" x14ac:dyDescent="0.2">
      <c r="C1279" s="26">
        <f>_xlfn.XLOOKUP(B1279,Lists!B:B,Lists!A:A,"")</f>
        <v>0</v>
      </c>
      <c r="G1279" s="26" t="str">
        <f t="shared" si="116"/>
        <v/>
      </c>
      <c r="H1279" s="31" t="str">
        <f t="shared" si="117"/>
        <v/>
      </c>
      <c r="J1279" s="27" t="str">
        <f>IF(I1279="","",_xlfn.XLOOKUP(I1279,Lists!$C:$C,Lists!$D:$D))</f>
        <v/>
      </c>
      <c r="N1279" s="26" t="str">
        <f t="shared" si="118"/>
        <v/>
      </c>
      <c r="O1279" s="27" t="str">
        <f>IF(I1279="","",_xlfn.XLOOKUP(I1279,Lists!$C:$C,Lists!$J:$J))</f>
        <v/>
      </c>
      <c r="P1279" s="27" t="str">
        <f>IF(I1279="","",_xlfn.XLOOKUP(I1279,Lists!$C:$C,Lists!$E:$E))</f>
        <v/>
      </c>
      <c r="Q1279" s="28" t="str">
        <f t="shared" si="119"/>
        <v/>
      </c>
      <c r="R1279" s="26" t="str">
        <f t="shared" ca="1" si="120"/>
        <v/>
      </c>
      <c r="S1279" s="27" t="str">
        <f>IF(I1279="","",_xlfn.XLOOKUP(I1279,Lists!$C:$C,Lists!$I:$I))</f>
        <v/>
      </c>
    </row>
    <row r="1280" spans="3:19" x14ac:dyDescent="0.2">
      <c r="C1280" s="26">
        <f>_xlfn.XLOOKUP(B1280,Lists!B:B,Lists!A:A,"")</f>
        <v>0</v>
      </c>
      <c r="G1280" s="26" t="str">
        <f t="shared" si="116"/>
        <v/>
      </c>
      <c r="H1280" s="31" t="str">
        <f t="shared" si="117"/>
        <v/>
      </c>
      <c r="J1280" s="27" t="str">
        <f>IF(I1280="","",_xlfn.XLOOKUP(I1280,Lists!$C:$C,Lists!$D:$D))</f>
        <v/>
      </c>
      <c r="N1280" s="26" t="str">
        <f t="shared" si="118"/>
        <v/>
      </c>
      <c r="O1280" s="27" t="str">
        <f>IF(I1280="","",_xlfn.XLOOKUP(I1280,Lists!$C:$C,Lists!$J:$J))</f>
        <v/>
      </c>
      <c r="P1280" s="27" t="str">
        <f>IF(I1280="","",_xlfn.XLOOKUP(I1280,Lists!$C:$C,Lists!$E:$E))</f>
        <v/>
      </c>
      <c r="Q1280" s="28" t="str">
        <f t="shared" si="119"/>
        <v/>
      </c>
      <c r="R1280" s="26" t="str">
        <f t="shared" ca="1" si="120"/>
        <v/>
      </c>
      <c r="S1280" s="27" t="str">
        <f>IF(I1280="","",_xlfn.XLOOKUP(I1280,Lists!$C:$C,Lists!$I:$I))</f>
        <v/>
      </c>
    </row>
    <row r="1281" spans="3:19" x14ac:dyDescent="0.2">
      <c r="C1281" s="26">
        <f>_xlfn.XLOOKUP(B1281,Lists!B:B,Lists!A:A,"")</f>
        <v>0</v>
      </c>
      <c r="G1281" s="26" t="str">
        <f t="shared" si="116"/>
        <v/>
      </c>
      <c r="H1281" s="31" t="str">
        <f t="shared" si="117"/>
        <v/>
      </c>
      <c r="J1281" s="27" t="str">
        <f>IF(I1281="","",_xlfn.XLOOKUP(I1281,Lists!$C:$C,Lists!$D:$D))</f>
        <v/>
      </c>
      <c r="N1281" s="26" t="str">
        <f t="shared" si="118"/>
        <v/>
      </c>
      <c r="O1281" s="27" t="str">
        <f>IF(I1281="","",_xlfn.XLOOKUP(I1281,Lists!$C:$C,Lists!$J:$J))</f>
        <v/>
      </c>
      <c r="P1281" s="27" t="str">
        <f>IF(I1281="","",_xlfn.XLOOKUP(I1281,Lists!$C:$C,Lists!$E:$E))</f>
        <v/>
      </c>
      <c r="Q1281" s="28" t="str">
        <f t="shared" si="119"/>
        <v/>
      </c>
      <c r="R1281" s="26" t="str">
        <f t="shared" ca="1" si="120"/>
        <v/>
      </c>
      <c r="S1281" s="27" t="str">
        <f>IF(I1281="","",_xlfn.XLOOKUP(I1281,Lists!$C:$C,Lists!$I:$I))</f>
        <v/>
      </c>
    </row>
    <row r="1282" spans="3:19" x14ac:dyDescent="0.2">
      <c r="C1282" s="26">
        <f>_xlfn.XLOOKUP(B1282,Lists!B:B,Lists!A:A,"")</f>
        <v>0</v>
      </c>
      <c r="G1282" s="26" t="str">
        <f t="shared" si="116"/>
        <v/>
      </c>
      <c r="H1282" s="31" t="str">
        <f t="shared" si="117"/>
        <v/>
      </c>
      <c r="J1282" s="27" t="str">
        <f>IF(I1282="","",_xlfn.XLOOKUP(I1282,Lists!$C:$C,Lists!$D:$D))</f>
        <v/>
      </c>
      <c r="N1282" s="26" t="str">
        <f t="shared" si="118"/>
        <v/>
      </c>
      <c r="O1282" s="27" t="str">
        <f>IF(I1282="","",_xlfn.XLOOKUP(I1282,Lists!$C:$C,Lists!$J:$J))</f>
        <v/>
      </c>
      <c r="P1282" s="27" t="str">
        <f>IF(I1282="","",_xlfn.XLOOKUP(I1282,Lists!$C:$C,Lists!$E:$E))</f>
        <v/>
      </c>
      <c r="Q1282" s="28" t="str">
        <f t="shared" si="119"/>
        <v/>
      </c>
      <c r="R1282" s="26" t="str">
        <f t="shared" ca="1" si="120"/>
        <v/>
      </c>
      <c r="S1282" s="27" t="str">
        <f>IF(I1282="","",_xlfn.XLOOKUP(I1282,Lists!$C:$C,Lists!$I:$I))</f>
        <v/>
      </c>
    </row>
    <row r="1283" spans="3:19" x14ac:dyDescent="0.2">
      <c r="C1283" s="26">
        <f>_xlfn.XLOOKUP(B1283,Lists!B:B,Lists!A:A,"")</f>
        <v>0</v>
      </c>
      <c r="G1283" s="26" t="str">
        <f t="shared" si="116"/>
        <v/>
      </c>
      <c r="H1283" s="31" t="str">
        <f t="shared" si="117"/>
        <v/>
      </c>
      <c r="J1283" s="27" t="str">
        <f>IF(I1283="","",_xlfn.XLOOKUP(I1283,Lists!$C:$C,Lists!$D:$D))</f>
        <v/>
      </c>
      <c r="N1283" s="26" t="str">
        <f t="shared" si="118"/>
        <v/>
      </c>
      <c r="O1283" s="27" t="str">
        <f>IF(I1283="","",_xlfn.XLOOKUP(I1283,Lists!$C:$C,Lists!$J:$J))</f>
        <v/>
      </c>
      <c r="P1283" s="27" t="str">
        <f>IF(I1283="","",_xlfn.XLOOKUP(I1283,Lists!$C:$C,Lists!$E:$E))</f>
        <v/>
      </c>
      <c r="Q1283" s="28" t="str">
        <f t="shared" si="119"/>
        <v/>
      </c>
      <c r="R1283" s="26" t="str">
        <f t="shared" ca="1" si="120"/>
        <v/>
      </c>
      <c r="S1283" s="27" t="str">
        <f>IF(I1283="","",_xlfn.XLOOKUP(I1283,Lists!$C:$C,Lists!$I:$I))</f>
        <v/>
      </c>
    </row>
    <row r="1284" spans="3:19" x14ac:dyDescent="0.2">
      <c r="C1284" s="26">
        <f>_xlfn.XLOOKUP(B1284,Lists!B:B,Lists!A:A,"")</f>
        <v>0</v>
      </c>
      <c r="G1284" s="26" t="str">
        <f t="shared" si="116"/>
        <v/>
      </c>
      <c r="H1284" s="31" t="str">
        <f t="shared" si="117"/>
        <v/>
      </c>
      <c r="J1284" s="27" t="str">
        <f>IF(I1284="","",_xlfn.XLOOKUP(I1284,Lists!$C:$C,Lists!$D:$D))</f>
        <v/>
      </c>
      <c r="N1284" s="26" t="str">
        <f t="shared" si="118"/>
        <v/>
      </c>
      <c r="O1284" s="27" t="str">
        <f>IF(I1284="","",_xlfn.XLOOKUP(I1284,Lists!$C:$C,Lists!$J:$J))</f>
        <v/>
      </c>
      <c r="P1284" s="27" t="str">
        <f>IF(I1284="","",_xlfn.XLOOKUP(I1284,Lists!$C:$C,Lists!$E:$E))</f>
        <v/>
      </c>
      <c r="Q1284" s="28" t="str">
        <f t="shared" si="119"/>
        <v/>
      </c>
      <c r="R1284" s="26" t="str">
        <f t="shared" ca="1" si="120"/>
        <v/>
      </c>
      <c r="S1284" s="27" t="str">
        <f>IF(I1284="","",_xlfn.XLOOKUP(I1284,Lists!$C:$C,Lists!$I:$I))</f>
        <v/>
      </c>
    </row>
    <row r="1285" spans="3:19" x14ac:dyDescent="0.2">
      <c r="C1285" s="26">
        <f>_xlfn.XLOOKUP(B1285,Lists!B:B,Lists!A:A,"")</f>
        <v>0</v>
      </c>
      <c r="G1285" s="26" t="str">
        <f t="shared" si="116"/>
        <v/>
      </c>
      <c r="H1285" s="31" t="str">
        <f t="shared" si="117"/>
        <v/>
      </c>
      <c r="J1285" s="27" t="str">
        <f>IF(I1285="","",_xlfn.XLOOKUP(I1285,Lists!$C:$C,Lists!$D:$D))</f>
        <v/>
      </c>
      <c r="N1285" s="26" t="str">
        <f t="shared" si="118"/>
        <v/>
      </c>
      <c r="O1285" s="27" t="str">
        <f>IF(I1285="","",_xlfn.XLOOKUP(I1285,Lists!$C:$C,Lists!$J:$J))</f>
        <v/>
      </c>
      <c r="P1285" s="27" t="str">
        <f>IF(I1285="","",_xlfn.XLOOKUP(I1285,Lists!$C:$C,Lists!$E:$E))</f>
        <v/>
      </c>
      <c r="Q1285" s="28" t="str">
        <f t="shared" si="119"/>
        <v/>
      </c>
      <c r="R1285" s="26" t="str">
        <f t="shared" ca="1" si="120"/>
        <v/>
      </c>
      <c r="S1285" s="27" t="str">
        <f>IF(I1285="","",_xlfn.XLOOKUP(I1285,Lists!$C:$C,Lists!$I:$I))</f>
        <v/>
      </c>
    </row>
    <row r="1286" spans="3:19" x14ac:dyDescent="0.2">
      <c r="C1286" s="26">
        <f>_xlfn.XLOOKUP(B1286,Lists!B:B,Lists!A:A,"")</f>
        <v>0</v>
      </c>
      <c r="G1286" s="26" t="str">
        <f t="shared" si="116"/>
        <v/>
      </c>
      <c r="H1286" s="31" t="str">
        <f t="shared" si="117"/>
        <v/>
      </c>
      <c r="J1286" s="27" t="str">
        <f>IF(I1286="","",_xlfn.XLOOKUP(I1286,Lists!$C:$C,Lists!$D:$D))</f>
        <v/>
      </c>
      <c r="N1286" s="26" t="str">
        <f t="shared" si="118"/>
        <v/>
      </c>
      <c r="O1286" s="27" t="str">
        <f>IF(I1286="","",_xlfn.XLOOKUP(I1286,Lists!$C:$C,Lists!$J:$J))</f>
        <v/>
      </c>
      <c r="P1286" s="27" t="str">
        <f>IF(I1286="","",_xlfn.XLOOKUP(I1286,Lists!$C:$C,Lists!$E:$E))</f>
        <v/>
      </c>
      <c r="Q1286" s="28" t="str">
        <f t="shared" si="119"/>
        <v/>
      </c>
      <c r="R1286" s="26" t="str">
        <f t="shared" ca="1" si="120"/>
        <v/>
      </c>
      <c r="S1286" s="27" t="str">
        <f>IF(I1286="","",_xlfn.XLOOKUP(I1286,Lists!$C:$C,Lists!$I:$I))</f>
        <v/>
      </c>
    </row>
    <row r="1287" spans="3:19" x14ac:dyDescent="0.2">
      <c r="C1287" s="26">
        <f>_xlfn.XLOOKUP(B1287,Lists!B:B,Lists!A:A,"")</f>
        <v>0</v>
      </c>
      <c r="G1287" s="26" t="str">
        <f t="shared" si="116"/>
        <v/>
      </c>
      <c r="H1287" s="31" t="str">
        <f t="shared" si="117"/>
        <v/>
      </c>
      <c r="J1287" s="27" t="str">
        <f>IF(I1287="","",_xlfn.XLOOKUP(I1287,Lists!$C:$C,Lists!$D:$D))</f>
        <v/>
      </c>
      <c r="N1287" s="26" t="str">
        <f t="shared" si="118"/>
        <v/>
      </c>
      <c r="O1287" s="27" t="str">
        <f>IF(I1287="","",_xlfn.XLOOKUP(I1287,Lists!$C:$C,Lists!$J:$J))</f>
        <v/>
      </c>
      <c r="P1287" s="27" t="str">
        <f>IF(I1287="","",_xlfn.XLOOKUP(I1287,Lists!$C:$C,Lists!$E:$E))</f>
        <v/>
      </c>
      <c r="Q1287" s="28" t="str">
        <f t="shared" si="119"/>
        <v/>
      </c>
      <c r="R1287" s="26" t="str">
        <f t="shared" ca="1" si="120"/>
        <v/>
      </c>
      <c r="S1287" s="27" t="str">
        <f>IF(I1287="","",_xlfn.XLOOKUP(I1287,Lists!$C:$C,Lists!$I:$I))</f>
        <v/>
      </c>
    </row>
    <row r="1288" spans="3:19" x14ac:dyDescent="0.2">
      <c r="C1288" s="26">
        <f>_xlfn.XLOOKUP(B1288,Lists!B:B,Lists!A:A,"")</f>
        <v>0</v>
      </c>
      <c r="G1288" s="26" t="str">
        <f t="shared" si="116"/>
        <v/>
      </c>
      <c r="H1288" s="31" t="str">
        <f t="shared" si="117"/>
        <v/>
      </c>
      <c r="J1288" s="27" t="str">
        <f>IF(I1288="","",_xlfn.XLOOKUP(I1288,Lists!$C:$C,Lists!$D:$D))</f>
        <v/>
      </c>
      <c r="N1288" s="26" t="str">
        <f t="shared" si="118"/>
        <v/>
      </c>
      <c r="O1288" s="27" t="str">
        <f>IF(I1288="","",_xlfn.XLOOKUP(I1288,Lists!$C:$C,Lists!$J:$J))</f>
        <v/>
      </c>
      <c r="P1288" s="27" t="str">
        <f>IF(I1288="","",_xlfn.XLOOKUP(I1288,Lists!$C:$C,Lists!$E:$E))</f>
        <v/>
      </c>
      <c r="Q1288" s="28" t="str">
        <f t="shared" si="119"/>
        <v/>
      </c>
      <c r="R1288" s="26" t="str">
        <f t="shared" ca="1" si="120"/>
        <v/>
      </c>
      <c r="S1288" s="27" t="str">
        <f>IF(I1288="","",_xlfn.XLOOKUP(I1288,Lists!$C:$C,Lists!$I:$I))</f>
        <v/>
      </c>
    </row>
    <row r="1289" spans="3:19" x14ac:dyDescent="0.2">
      <c r="C1289" s="26">
        <f>_xlfn.XLOOKUP(B1289,Lists!B:B,Lists!A:A,"")</f>
        <v>0</v>
      </c>
      <c r="G1289" s="26" t="str">
        <f t="shared" si="116"/>
        <v/>
      </c>
      <c r="H1289" s="31" t="str">
        <f t="shared" si="117"/>
        <v/>
      </c>
      <c r="J1289" s="27" t="str">
        <f>IF(I1289="","",_xlfn.XLOOKUP(I1289,Lists!$C:$C,Lists!$D:$D))</f>
        <v/>
      </c>
      <c r="N1289" s="26" t="str">
        <f t="shared" si="118"/>
        <v/>
      </c>
      <c r="O1289" s="27" t="str">
        <f>IF(I1289="","",_xlfn.XLOOKUP(I1289,Lists!$C:$C,Lists!$J:$J))</f>
        <v/>
      </c>
      <c r="P1289" s="27" t="str">
        <f>IF(I1289="","",_xlfn.XLOOKUP(I1289,Lists!$C:$C,Lists!$E:$E))</f>
        <v/>
      </c>
      <c r="Q1289" s="28" t="str">
        <f t="shared" si="119"/>
        <v/>
      </c>
      <c r="R1289" s="26" t="str">
        <f t="shared" ca="1" si="120"/>
        <v/>
      </c>
      <c r="S1289" s="27" t="str">
        <f>IF(I1289="","",_xlfn.XLOOKUP(I1289,Lists!$C:$C,Lists!$I:$I))</f>
        <v/>
      </c>
    </row>
    <row r="1290" spans="3:19" x14ac:dyDescent="0.2">
      <c r="C1290" s="26">
        <f>_xlfn.XLOOKUP(B1290,Lists!B:B,Lists!A:A,"")</f>
        <v>0</v>
      </c>
      <c r="G1290" s="26" t="str">
        <f t="shared" si="116"/>
        <v/>
      </c>
      <c r="H1290" s="31" t="str">
        <f t="shared" si="117"/>
        <v/>
      </c>
      <c r="J1290" s="27" t="str">
        <f>IF(I1290="","",_xlfn.XLOOKUP(I1290,Lists!$C:$C,Lists!$D:$D))</f>
        <v/>
      </c>
      <c r="N1290" s="26" t="str">
        <f t="shared" si="118"/>
        <v/>
      </c>
      <c r="O1290" s="27" t="str">
        <f>IF(I1290="","",_xlfn.XLOOKUP(I1290,Lists!$C:$C,Lists!$J:$J))</f>
        <v/>
      </c>
      <c r="P1290" s="27" t="str">
        <f>IF(I1290="","",_xlfn.XLOOKUP(I1290,Lists!$C:$C,Lists!$E:$E))</f>
        <v/>
      </c>
      <c r="Q1290" s="28" t="str">
        <f t="shared" si="119"/>
        <v/>
      </c>
      <c r="R1290" s="26" t="str">
        <f t="shared" ca="1" si="120"/>
        <v/>
      </c>
      <c r="S1290" s="27" t="str">
        <f>IF(I1290="","",_xlfn.XLOOKUP(I1290,Lists!$C:$C,Lists!$I:$I))</f>
        <v/>
      </c>
    </row>
    <row r="1291" spans="3:19" x14ac:dyDescent="0.2">
      <c r="C1291" s="26">
        <f>_xlfn.XLOOKUP(B1291,Lists!B:B,Lists!A:A,"")</f>
        <v>0</v>
      </c>
      <c r="G1291" s="26" t="str">
        <f t="shared" si="116"/>
        <v/>
      </c>
      <c r="H1291" s="31" t="str">
        <f t="shared" si="117"/>
        <v/>
      </c>
      <c r="J1291" s="27" t="str">
        <f>IF(I1291="","",_xlfn.XLOOKUP(I1291,Lists!$C:$C,Lists!$D:$D))</f>
        <v/>
      </c>
      <c r="N1291" s="26" t="str">
        <f t="shared" si="118"/>
        <v/>
      </c>
      <c r="O1291" s="27" t="str">
        <f>IF(I1291="","",_xlfn.XLOOKUP(I1291,Lists!$C:$C,Lists!$J:$J))</f>
        <v/>
      </c>
      <c r="P1291" s="27" t="str">
        <f>IF(I1291="","",_xlfn.XLOOKUP(I1291,Lists!$C:$C,Lists!$E:$E))</f>
        <v/>
      </c>
      <c r="Q1291" s="28" t="str">
        <f t="shared" si="119"/>
        <v/>
      </c>
      <c r="R1291" s="26" t="str">
        <f t="shared" ca="1" si="120"/>
        <v/>
      </c>
      <c r="S1291" s="27" t="str">
        <f>IF(I1291="","",_xlfn.XLOOKUP(I1291,Lists!$C:$C,Lists!$I:$I))</f>
        <v/>
      </c>
    </row>
    <row r="1292" spans="3:19" x14ac:dyDescent="0.2">
      <c r="C1292" s="26">
        <f>_xlfn.XLOOKUP(B1292,Lists!B:B,Lists!A:A,"")</f>
        <v>0</v>
      </c>
      <c r="G1292" s="26" t="str">
        <f t="shared" si="116"/>
        <v/>
      </c>
      <c r="H1292" s="31" t="str">
        <f t="shared" si="117"/>
        <v/>
      </c>
      <c r="J1292" s="27" t="str">
        <f>IF(I1292="","",_xlfn.XLOOKUP(I1292,Lists!$C:$C,Lists!$D:$D))</f>
        <v/>
      </c>
      <c r="N1292" s="26" t="str">
        <f t="shared" si="118"/>
        <v/>
      </c>
      <c r="O1292" s="27" t="str">
        <f>IF(I1292="","",_xlfn.XLOOKUP(I1292,Lists!$C:$C,Lists!$J:$J))</f>
        <v/>
      </c>
      <c r="P1292" s="27" t="str">
        <f>IF(I1292="","",_xlfn.XLOOKUP(I1292,Lists!$C:$C,Lists!$E:$E))</f>
        <v/>
      </c>
      <c r="Q1292" s="28" t="str">
        <f t="shared" si="119"/>
        <v/>
      </c>
      <c r="R1292" s="26" t="str">
        <f t="shared" ca="1" si="120"/>
        <v/>
      </c>
      <c r="S1292" s="27" t="str">
        <f>IF(I1292="","",_xlfn.XLOOKUP(I1292,Lists!$C:$C,Lists!$I:$I))</f>
        <v/>
      </c>
    </row>
    <row r="1293" spans="3:19" x14ac:dyDescent="0.2">
      <c r="C1293" s="26">
        <f>_xlfn.XLOOKUP(B1293,Lists!B:B,Lists!A:A,"")</f>
        <v>0</v>
      </c>
      <c r="G1293" s="26" t="str">
        <f t="shared" si="116"/>
        <v/>
      </c>
      <c r="H1293" s="31" t="str">
        <f t="shared" si="117"/>
        <v/>
      </c>
      <c r="J1293" s="27" t="str">
        <f>IF(I1293="","",_xlfn.XLOOKUP(I1293,Lists!$C:$C,Lists!$D:$D))</f>
        <v/>
      </c>
      <c r="N1293" s="26" t="str">
        <f t="shared" si="118"/>
        <v/>
      </c>
      <c r="O1293" s="27" t="str">
        <f>IF(I1293="","",_xlfn.XLOOKUP(I1293,Lists!$C:$C,Lists!$J:$J))</f>
        <v/>
      </c>
      <c r="P1293" s="27" t="str">
        <f>IF(I1293="","",_xlfn.XLOOKUP(I1293,Lists!$C:$C,Lists!$E:$E))</f>
        <v/>
      </c>
      <c r="Q1293" s="28" t="str">
        <f t="shared" si="119"/>
        <v/>
      </c>
      <c r="R1293" s="26" t="str">
        <f t="shared" ca="1" si="120"/>
        <v/>
      </c>
      <c r="S1293" s="27" t="str">
        <f>IF(I1293="","",_xlfn.XLOOKUP(I1293,Lists!$C:$C,Lists!$I:$I))</f>
        <v/>
      </c>
    </row>
    <row r="1294" spans="3:19" x14ac:dyDescent="0.2">
      <c r="C1294" s="26">
        <f>_xlfn.XLOOKUP(B1294,Lists!B:B,Lists!A:A,"")</f>
        <v>0</v>
      </c>
      <c r="G1294" s="26" t="str">
        <f t="shared" si="116"/>
        <v/>
      </c>
      <c r="H1294" s="31" t="str">
        <f t="shared" si="117"/>
        <v/>
      </c>
      <c r="J1294" s="27" t="str">
        <f>IF(I1294="","",_xlfn.XLOOKUP(I1294,Lists!$C:$C,Lists!$D:$D))</f>
        <v/>
      </c>
      <c r="N1294" s="26" t="str">
        <f t="shared" si="118"/>
        <v/>
      </c>
      <c r="O1294" s="27" t="str">
        <f>IF(I1294="","",_xlfn.XLOOKUP(I1294,Lists!$C:$C,Lists!$J:$J))</f>
        <v/>
      </c>
      <c r="P1294" s="27" t="str">
        <f>IF(I1294="","",_xlfn.XLOOKUP(I1294,Lists!$C:$C,Lists!$E:$E))</f>
        <v/>
      </c>
      <c r="Q1294" s="28" t="str">
        <f t="shared" si="119"/>
        <v/>
      </c>
      <c r="R1294" s="26" t="str">
        <f t="shared" ca="1" si="120"/>
        <v/>
      </c>
      <c r="S1294" s="27" t="str">
        <f>IF(I1294="","",_xlfn.XLOOKUP(I1294,Lists!$C:$C,Lists!$I:$I))</f>
        <v/>
      </c>
    </row>
    <row r="1295" spans="3:19" x14ac:dyDescent="0.2">
      <c r="C1295" s="26">
        <f>_xlfn.XLOOKUP(B1295,Lists!B:B,Lists!A:A,"")</f>
        <v>0</v>
      </c>
      <c r="G1295" s="26" t="str">
        <f t="shared" si="116"/>
        <v/>
      </c>
      <c r="H1295" s="31" t="str">
        <f t="shared" si="117"/>
        <v/>
      </c>
      <c r="J1295" s="27" t="str">
        <f>IF(I1295="","",_xlfn.XLOOKUP(I1295,Lists!$C:$C,Lists!$D:$D))</f>
        <v/>
      </c>
      <c r="N1295" s="26" t="str">
        <f t="shared" si="118"/>
        <v/>
      </c>
      <c r="O1295" s="27" t="str">
        <f>IF(I1295="","",_xlfn.XLOOKUP(I1295,Lists!$C:$C,Lists!$J:$J))</f>
        <v/>
      </c>
      <c r="P1295" s="27" t="str">
        <f>IF(I1295="","",_xlfn.XLOOKUP(I1295,Lists!$C:$C,Lists!$E:$E))</f>
        <v/>
      </c>
      <c r="Q1295" s="28" t="str">
        <f t="shared" si="119"/>
        <v/>
      </c>
      <c r="R1295" s="26" t="str">
        <f t="shared" ca="1" si="120"/>
        <v/>
      </c>
      <c r="S1295" s="27" t="str">
        <f>IF(I1295="","",_xlfn.XLOOKUP(I1295,Lists!$C:$C,Lists!$I:$I))</f>
        <v/>
      </c>
    </row>
    <row r="1296" spans="3:19" x14ac:dyDescent="0.2">
      <c r="C1296" s="26">
        <f>_xlfn.XLOOKUP(B1296,Lists!B:B,Lists!A:A,"")</f>
        <v>0</v>
      </c>
      <c r="G1296" s="26" t="str">
        <f t="shared" si="116"/>
        <v/>
      </c>
      <c r="H1296" s="31" t="str">
        <f t="shared" si="117"/>
        <v/>
      </c>
      <c r="J1296" s="27" t="str">
        <f>IF(I1296="","",_xlfn.XLOOKUP(I1296,Lists!$C:$C,Lists!$D:$D))</f>
        <v/>
      </c>
      <c r="N1296" s="26" t="str">
        <f t="shared" si="118"/>
        <v/>
      </c>
      <c r="O1296" s="27" t="str">
        <f>IF(I1296="","",_xlfn.XLOOKUP(I1296,Lists!$C:$C,Lists!$J:$J))</f>
        <v/>
      </c>
      <c r="P1296" s="27" t="str">
        <f>IF(I1296="","",_xlfn.XLOOKUP(I1296,Lists!$C:$C,Lists!$E:$E))</f>
        <v/>
      </c>
      <c r="Q1296" s="28" t="str">
        <f t="shared" si="119"/>
        <v/>
      </c>
      <c r="R1296" s="26" t="str">
        <f t="shared" ca="1" si="120"/>
        <v/>
      </c>
      <c r="S1296" s="27" t="str">
        <f>IF(I1296="","",_xlfn.XLOOKUP(I1296,Lists!$C:$C,Lists!$I:$I))</f>
        <v/>
      </c>
    </row>
    <row r="1297" spans="3:19" x14ac:dyDescent="0.2">
      <c r="C1297" s="26">
        <f>_xlfn.XLOOKUP(B1297,Lists!B:B,Lists!A:A,"")</f>
        <v>0</v>
      </c>
      <c r="G1297" s="26" t="str">
        <f t="shared" si="116"/>
        <v/>
      </c>
      <c r="H1297" s="31" t="str">
        <f t="shared" si="117"/>
        <v/>
      </c>
      <c r="J1297" s="27" t="str">
        <f>IF(I1297="","",_xlfn.XLOOKUP(I1297,Lists!$C:$C,Lists!$D:$D))</f>
        <v/>
      </c>
      <c r="N1297" s="26" t="str">
        <f t="shared" si="118"/>
        <v/>
      </c>
      <c r="O1297" s="27" t="str">
        <f>IF(I1297="","",_xlfn.XLOOKUP(I1297,Lists!$C:$C,Lists!$J:$J))</f>
        <v/>
      </c>
      <c r="P1297" s="27" t="str">
        <f>IF(I1297="","",_xlfn.XLOOKUP(I1297,Lists!$C:$C,Lists!$E:$E))</f>
        <v/>
      </c>
      <c r="Q1297" s="28" t="str">
        <f t="shared" si="119"/>
        <v/>
      </c>
      <c r="R1297" s="26" t="str">
        <f t="shared" ca="1" si="120"/>
        <v/>
      </c>
      <c r="S1297" s="27" t="str">
        <f>IF(I1297="","",_xlfn.XLOOKUP(I1297,Lists!$C:$C,Lists!$I:$I))</f>
        <v/>
      </c>
    </row>
    <row r="1298" spans="3:19" x14ac:dyDescent="0.2">
      <c r="C1298" s="26">
        <f>_xlfn.XLOOKUP(B1298,Lists!B:B,Lists!A:A,"")</f>
        <v>0</v>
      </c>
      <c r="G1298" s="26" t="str">
        <f t="shared" si="116"/>
        <v/>
      </c>
      <c r="H1298" s="31" t="str">
        <f t="shared" si="117"/>
        <v/>
      </c>
      <c r="J1298" s="27" t="str">
        <f>IF(I1298="","",_xlfn.XLOOKUP(I1298,Lists!$C:$C,Lists!$D:$D))</f>
        <v/>
      </c>
      <c r="N1298" s="26" t="str">
        <f t="shared" si="118"/>
        <v/>
      </c>
      <c r="O1298" s="27" t="str">
        <f>IF(I1298="","",_xlfn.XLOOKUP(I1298,Lists!$C:$C,Lists!$J:$J))</f>
        <v/>
      </c>
      <c r="P1298" s="27" t="str">
        <f>IF(I1298="","",_xlfn.XLOOKUP(I1298,Lists!$C:$C,Lists!$E:$E))</f>
        <v/>
      </c>
      <c r="Q1298" s="28" t="str">
        <f t="shared" si="119"/>
        <v/>
      </c>
      <c r="R1298" s="26" t="str">
        <f t="shared" ca="1" si="120"/>
        <v/>
      </c>
      <c r="S1298" s="27" t="str">
        <f>IF(I1298="","",_xlfn.XLOOKUP(I1298,Lists!$C:$C,Lists!$I:$I))</f>
        <v/>
      </c>
    </row>
    <row r="1299" spans="3:19" x14ac:dyDescent="0.2">
      <c r="C1299" s="26">
        <f>_xlfn.XLOOKUP(B1299,Lists!B:B,Lists!A:A,"")</f>
        <v>0</v>
      </c>
      <c r="G1299" s="26" t="str">
        <f t="shared" si="116"/>
        <v/>
      </c>
      <c r="H1299" s="31" t="str">
        <f t="shared" si="117"/>
        <v/>
      </c>
      <c r="J1299" s="27" t="str">
        <f>IF(I1299="","",_xlfn.XLOOKUP(I1299,Lists!$C:$C,Lists!$D:$D))</f>
        <v/>
      </c>
      <c r="N1299" s="26" t="str">
        <f t="shared" si="118"/>
        <v/>
      </c>
      <c r="O1299" s="27" t="str">
        <f>IF(I1299="","",_xlfn.XLOOKUP(I1299,Lists!$C:$C,Lists!$J:$J))</f>
        <v/>
      </c>
      <c r="P1299" s="27" t="str">
        <f>IF(I1299="","",_xlfn.XLOOKUP(I1299,Lists!$C:$C,Lists!$E:$E))</f>
        <v/>
      </c>
      <c r="Q1299" s="28" t="str">
        <f t="shared" si="119"/>
        <v/>
      </c>
      <c r="R1299" s="26" t="str">
        <f t="shared" ca="1" si="120"/>
        <v/>
      </c>
      <c r="S1299" s="27" t="str">
        <f>IF(I1299="","",_xlfn.XLOOKUP(I1299,Lists!$C:$C,Lists!$I:$I))</f>
        <v/>
      </c>
    </row>
    <row r="1300" spans="3:19" x14ac:dyDescent="0.2">
      <c r="C1300" s="26">
        <f>_xlfn.XLOOKUP(B1300,Lists!B:B,Lists!A:A,"")</f>
        <v>0</v>
      </c>
      <c r="G1300" s="26" t="str">
        <f t="shared" ref="G1300:G1318" si="121">IF(OR(E1300="",F1300=""),"",F1300-E1300+1)</f>
        <v/>
      </c>
      <c r="H1300" s="31" t="str">
        <f t="shared" ref="H1300:H1318" si="122">IF(D1300="","",IF(OR(D1300="A",D1300="B"),G1300/80,IF(D1300="A&amp;B",G1300/160,"")))</f>
        <v/>
      </c>
      <c r="J1300" s="27" t="str">
        <f>IF(I1300="","",_xlfn.XLOOKUP(I1300,Lists!$C:$C,Lists!$D:$D))</f>
        <v/>
      </c>
      <c r="N1300" s="26" t="str">
        <f t="shared" ref="N1300:N1318" si="123">IF(OR(M1300="",L1300=""),"",(M1300*L1300)/100000)</f>
        <v/>
      </c>
      <c r="O1300" s="27" t="str">
        <f>IF(I1300="","",_xlfn.XLOOKUP(I1300,Lists!$C:$C,Lists!$J:$J))</f>
        <v/>
      </c>
      <c r="P1300" s="27" t="str">
        <f>IF(I1300="","",_xlfn.XLOOKUP(I1300,Lists!$C:$C,Lists!$E:$E))</f>
        <v/>
      </c>
      <c r="Q1300" s="28" t="str">
        <f t="shared" ref="Q1300:Q1318" si="124">IF(OR(A1300="",P1300=""),"",A1300+P1300+1)</f>
        <v/>
      </c>
      <c r="R1300" s="26" t="str">
        <f t="shared" ref="R1300:R1318" ca="1" si="125">IF(Q1300="","",IF(Q1300&lt;=TODAY(),"Allow","Not Allow"))</f>
        <v/>
      </c>
      <c r="S1300" s="27" t="str">
        <f>IF(I1300="","",_xlfn.XLOOKUP(I1300,Lists!$C:$C,Lists!$I:$I))</f>
        <v/>
      </c>
    </row>
    <row r="1301" spans="3:19" x14ac:dyDescent="0.2">
      <c r="C1301" s="26">
        <f>_xlfn.XLOOKUP(B1301,Lists!B:B,Lists!A:A,"")</f>
        <v>0</v>
      </c>
      <c r="G1301" s="26" t="str">
        <f t="shared" si="121"/>
        <v/>
      </c>
      <c r="H1301" s="31" t="str">
        <f t="shared" si="122"/>
        <v/>
      </c>
      <c r="J1301" s="27" t="str">
        <f>IF(I1301="","",_xlfn.XLOOKUP(I1301,Lists!$C:$C,Lists!$D:$D))</f>
        <v/>
      </c>
      <c r="N1301" s="26" t="str">
        <f t="shared" si="123"/>
        <v/>
      </c>
      <c r="O1301" s="27" t="str">
        <f>IF(I1301="","",_xlfn.XLOOKUP(I1301,Lists!$C:$C,Lists!$J:$J))</f>
        <v/>
      </c>
      <c r="P1301" s="27" t="str">
        <f>IF(I1301="","",_xlfn.XLOOKUP(I1301,Lists!$C:$C,Lists!$E:$E))</f>
        <v/>
      </c>
      <c r="Q1301" s="28" t="str">
        <f t="shared" si="124"/>
        <v/>
      </c>
      <c r="R1301" s="26" t="str">
        <f t="shared" ca="1" si="125"/>
        <v/>
      </c>
      <c r="S1301" s="27" t="str">
        <f>IF(I1301="","",_xlfn.XLOOKUP(I1301,Lists!$C:$C,Lists!$I:$I))</f>
        <v/>
      </c>
    </row>
    <row r="1302" spans="3:19" x14ac:dyDescent="0.2">
      <c r="C1302" s="26">
        <f>_xlfn.XLOOKUP(B1302,Lists!B:B,Lists!A:A,"")</f>
        <v>0</v>
      </c>
      <c r="G1302" s="26" t="str">
        <f t="shared" si="121"/>
        <v/>
      </c>
      <c r="H1302" s="31" t="str">
        <f t="shared" si="122"/>
        <v/>
      </c>
      <c r="J1302" s="27" t="str">
        <f>IF(I1302="","",_xlfn.XLOOKUP(I1302,Lists!$C:$C,Lists!$D:$D))</f>
        <v/>
      </c>
      <c r="N1302" s="26" t="str">
        <f t="shared" si="123"/>
        <v/>
      </c>
      <c r="O1302" s="27" t="str">
        <f>IF(I1302="","",_xlfn.XLOOKUP(I1302,Lists!$C:$C,Lists!$J:$J))</f>
        <v/>
      </c>
      <c r="P1302" s="27" t="str">
        <f>IF(I1302="","",_xlfn.XLOOKUP(I1302,Lists!$C:$C,Lists!$E:$E))</f>
        <v/>
      </c>
      <c r="Q1302" s="28" t="str">
        <f t="shared" si="124"/>
        <v/>
      </c>
      <c r="R1302" s="26" t="str">
        <f t="shared" ca="1" si="125"/>
        <v/>
      </c>
      <c r="S1302" s="27" t="str">
        <f>IF(I1302="","",_xlfn.XLOOKUP(I1302,Lists!$C:$C,Lists!$I:$I))</f>
        <v/>
      </c>
    </row>
    <row r="1303" spans="3:19" x14ac:dyDescent="0.2">
      <c r="C1303" s="26">
        <f>_xlfn.XLOOKUP(B1303,Lists!B:B,Lists!A:A,"")</f>
        <v>0</v>
      </c>
      <c r="G1303" s="26" t="str">
        <f t="shared" si="121"/>
        <v/>
      </c>
      <c r="H1303" s="31" t="str">
        <f t="shared" si="122"/>
        <v/>
      </c>
      <c r="J1303" s="27" t="str">
        <f>IF(I1303="","",_xlfn.XLOOKUP(I1303,Lists!$C:$C,Lists!$D:$D))</f>
        <v/>
      </c>
      <c r="N1303" s="26" t="str">
        <f t="shared" si="123"/>
        <v/>
      </c>
      <c r="O1303" s="27" t="str">
        <f>IF(I1303="","",_xlfn.XLOOKUP(I1303,Lists!$C:$C,Lists!$J:$J))</f>
        <v/>
      </c>
      <c r="P1303" s="27" t="str">
        <f>IF(I1303="","",_xlfn.XLOOKUP(I1303,Lists!$C:$C,Lists!$E:$E))</f>
        <v/>
      </c>
      <c r="Q1303" s="28" t="str">
        <f t="shared" si="124"/>
        <v/>
      </c>
      <c r="R1303" s="26" t="str">
        <f t="shared" ca="1" si="125"/>
        <v/>
      </c>
      <c r="S1303" s="27" t="str">
        <f>IF(I1303="","",_xlfn.XLOOKUP(I1303,Lists!$C:$C,Lists!$I:$I))</f>
        <v/>
      </c>
    </row>
    <row r="1304" spans="3:19" x14ac:dyDescent="0.2">
      <c r="C1304" s="26">
        <f>_xlfn.XLOOKUP(B1304,Lists!B:B,Lists!A:A,"")</f>
        <v>0</v>
      </c>
      <c r="G1304" s="26" t="str">
        <f t="shared" si="121"/>
        <v/>
      </c>
      <c r="H1304" s="31" t="str">
        <f t="shared" si="122"/>
        <v/>
      </c>
      <c r="J1304" s="27" t="str">
        <f>IF(I1304="","",_xlfn.XLOOKUP(I1304,Lists!$C:$C,Lists!$D:$D))</f>
        <v/>
      </c>
      <c r="N1304" s="26" t="str">
        <f t="shared" si="123"/>
        <v/>
      </c>
      <c r="O1304" s="27" t="str">
        <f>IF(I1304="","",_xlfn.XLOOKUP(I1304,Lists!$C:$C,Lists!$J:$J))</f>
        <v/>
      </c>
      <c r="P1304" s="27" t="str">
        <f>IF(I1304="","",_xlfn.XLOOKUP(I1304,Lists!$C:$C,Lists!$E:$E))</f>
        <v/>
      </c>
      <c r="Q1304" s="28" t="str">
        <f t="shared" si="124"/>
        <v/>
      </c>
      <c r="R1304" s="26" t="str">
        <f t="shared" ca="1" si="125"/>
        <v/>
      </c>
      <c r="S1304" s="27" t="str">
        <f>IF(I1304="","",_xlfn.XLOOKUP(I1304,Lists!$C:$C,Lists!$I:$I))</f>
        <v/>
      </c>
    </row>
    <row r="1305" spans="3:19" x14ac:dyDescent="0.2">
      <c r="C1305" s="26">
        <f>_xlfn.XLOOKUP(B1305,Lists!B:B,Lists!A:A,"")</f>
        <v>0</v>
      </c>
      <c r="G1305" s="26" t="str">
        <f t="shared" si="121"/>
        <v/>
      </c>
      <c r="H1305" s="31" t="str">
        <f t="shared" si="122"/>
        <v/>
      </c>
      <c r="J1305" s="27" t="str">
        <f>IF(I1305="","",_xlfn.XLOOKUP(I1305,Lists!$C:$C,Lists!$D:$D))</f>
        <v/>
      </c>
      <c r="N1305" s="26" t="str">
        <f t="shared" si="123"/>
        <v/>
      </c>
      <c r="O1305" s="27" t="str">
        <f>IF(I1305="","",_xlfn.XLOOKUP(I1305,Lists!$C:$C,Lists!$J:$J))</f>
        <v/>
      </c>
      <c r="P1305" s="27" t="str">
        <f>IF(I1305="","",_xlfn.XLOOKUP(I1305,Lists!$C:$C,Lists!$E:$E))</f>
        <v/>
      </c>
      <c r="Q1305" s="28" t="str">
        <f t="shared" si="124"/>
        <v/>
      </c>
      <c r="R1305" s="26" t="str">
        <f t="shared" ca="1" si="125"/>
        <v/>
      </c>
      <c r="S1305" s="27" t="str">
        <f>IF(I1305="","",_xlfn.XLOOKUP(I1305,Lists!$C:$C,Lists!$I:$I))</f>
        <v/>
      </c>
    </row>
    <row r="1306" spans="3:19" x14ac:dyDescent="0.2">
      <c r="C1306" s="26">
        <f>_xlfn.XLOOKUP(B1306,Lists!B:B,Lists!A:A,"")</f>
        <v>0</v>
      </c>
      <c r="G1306" s="26" t="str">
        <f t="shared" si="121"/>
        <v/>
      </c>
      <c r="H1306" s="31" t="str">
        <f t="shared" si="122"/>
        <v/>
      </c>
      <c r="J1306" s="27" t="str">
        <f>IF(I1306="","",_xlfn.XLOOKUP(I1306,Lists!$C:$C,Lists!$D:$D))</f>
        <v/>
      </c>
      <c r="N1306" s="26" t="str">
        <f t="shared" si="123"/>
        <v/>
      </c>
      <c r="O1306" s="27" t="str">
        <f>IF(I1306="","",_xlfn.XLOOKUP(I1306,Lists!$C:$C,Lists!$J:$J))</f>
        <v/>
      </c>
      <c r="P1306" s="27" t="str">
        <f>IF(I1306="","",_xlfn.XLOOKUP(I1306,Lists!$C:$C,Lists!$E:$E))</f>
        <v/>
      </c>
      <c r="Q1306" s="28" t="str">
        <f t="shared" si="124"/>
        <v/>
      </c>
      <c r="R1306" s="26" t="str">
        <f t="shared" ca="1" si="125"/>
        <v/>
      </c>
      <c r="S1306" s="27" t="str">
        <f>IF(I1306="","",_xlfn.XLOOKUP(I1306,Lists!$C:$C,Lists!$I:$I))</f>
        <v/>
      </c>
    </row>
    <row r="1307" spans="3:19" x14ac:dyDescent="0.2">
      <c r="C1307" s="26">
        <f>_xlfn.XLOOKUP(B1307,Lists!B:B,Lists!A:A,"")</f>
        <v>0</v>
      </c>
      <c r="G1307" s="26" t="str">
        <f t="shared" si="121"/>
        <v/>
      </c>
      <c r="H1307" s="31" t="str">
        <f t="shared" si="122"/>
        <v/>
      </c>
      <c r="J1307" s="27" t="str">
        <f>IF(I1307="","",_xlfn.XLOOKUP(I1307,Lists!$C:$C,Lists!$D:$D))</f>
        <v/>
      </c>
      <c r="N1307" s="26" t="str">
        <f t="shared" si="123"/>
        <v/>
      </c>
      <c r="O1307" s="27" t="str">
        <f>IF(I1307="","",_xlfn.XLOOKUP(I1307,Lists!$C:$C,Lists!$J:$J))</f>
        <v/>
      </c>
      <c r="P1307" s="27" t="str">
        <f>IF(I1307="","",_xlfn.XLOOKUP(I1307,Lists!$C:$C,Lists!$E:$E))</f>
        <v/>
      </c>
      <c r="Q1307" s="28" t="str">
        <f t="shared" si="124"/>
        <v/>
      </c>
      <c r="R1307" s="26" t="str">
        <f t="shared" ca="1" si="125"/>
        <v/>
      </c>
      <c r="S1307" s="27" t="str">
        <f>IF(I1307="","",_xlfn.XLOOKUP(I1307,Lists!$C:$C,Lists!$I:$I))</f>
        <v/>
      </c>
    </row>
    <row r="1308" spans="3:19" x14ac:dyDescent="0.2">
      <c r="C1308" s="26">
        <f>_xlfn.XLOOKUP(B1308,Lists!B:B,Lists!A:A,"")</f>
        <v>0</v>
      </c>
      <c r="G1308" s="26" t="str">
        <f t="shared" si="121"/>
        <v/>
      </c>
      <c r="H1308" s="31" t="str">
        <f t="shared" si="122"/>
        <v/>
      </c>
      <c r="J1308" s="27" t="str">
        <f>IF(I1308="","",_xlfn.XLOOKUP(I1308,Lists!$C:$C,Lists!$D:$D))</f>
        <v/>
      </c>
      <c r="N1308" s="26" t="str">
        <f t="shared" si="123"/>
        <v/>
      </c>
      <c r="O1308" s="27" t="str">
        <f>IF(I1308="","",_xlfn.XLOOKUP(I1308,Lists!$C:$C,Lists!$J:$J))</f>
        <v/>
      </c>
      <c r="P1308" s="27" t="str">
        <f>IF(I1308="","",_xlfn.XLOOKUP(I1308,Lists!$C:$C,Lists!$E:$E))</f>
        <v/>
      </c>
      <c r="Q1308" s="28" t="str">
        <f t="shared" si="124"/>
        <v/>
      </c>
      <c r="R1308" s="26" t="str">
        <f t="shared" ca="1" si="125"/>
        <v/>
      </c>
      <c r="S1308" s="27" t="str">
        <f>IF(I1308="","",_xlfn.XLOOKUP(I1308,Lists!$C:$C,Lists!$I:$I))</f>
        <v/>
      </c>
    </row>
    <row r="1309" spans="3:19" x14ac:dyDescent="0.2">
      <c r="C1309" s="26">
        <f>_xlfn.XLOOKUP(B1309,Lists!B:B,Lists!A:A,"")</f>
        <v>0</v>
      </c>
      <c r="G1309" s="26" t="str">
        <f t="shared" si="121"/>
        <v/>
      </c>
      <c r="H1309" s="31" t="str">
        <f t="shared" si="122"/>
        <v/>
      </c>
      <c r="J1309" s="27" t="str">
        <f>IF(I1309="","",_xlfn.XLOOKUP(I1309,Lists!$C:$C,Lists!$D:$D))</f>
        <v/>
      </c>
      <c r="N1309" s="26" t="str">
        <f t="shared" si="123"/>
        <v/>
      </c>
      <c r="O1309" s="27" t="str">
        <f>IF(I1309="","",_xlfn.XLOOKUP(I1309,Lists!$C:$C,Lists!$J:$J))</f>
        <v/>
      </c>
      <c r="P1309" s="27" t="str">
        <f>IF(I1309="","",_xlfn.XLOOKUP(I1309,Lists!$C:$C,Lists!$E:$E))</f>
        <v/>
      </c>
      <c r="Q1309" s="28" t="str">
        <f t="shared" si="124"/>
        <v/>
      </c>
      <c r="R1309" s="26" t="str">
        <f t="shared" ca="1" si="125"/>
        <v/>
      </c>
      <c r="S1309" s="27" t="str">
        <f>IF(I1309="","",_xlfn.XLOOKUP(I1309,Lists!$C:$C,Lists!$I:$I))</f>
        <v/>
      </c>
    </row>
    <row r="1310" spans="3:19" x14ac:dyDescent="0.2">
      <c r="C1310" s="26">
        <f>_xlfn.XLOOKUP(B1310,Lists!B:B,Lists!A:A,"")</f>
        <v>0</v>
      </c>
      <c r="G1310" s="26" t="str">
        <f t="shared" si="121"/>
        <v/>
      </c>
      <c r="H1310" s="31" t="str">
        <f t="shared" si="122"/>
        <v/>
      </c>
      <c r="J1310" s="27" t="str">
        <f>IF(I1310="","",_xlfn.XLOOKUP(I1310,Lists!$C:$C,Lists!$D:$D))</f>
        <v/>
      </c>
      <c r="N1310" s="26" t="str">
        <f t="shared" si="123"/>
        <v/>
      </c>
      <c r="O1310" s="27" t="str">
        <f>IF(I1310="","",_xlfn.XLOOKUP(I1310,Lists!$C:$C,Lists!$J:$J))</f>
        <v/>
      </c>
      <c r="P1310" s="27" t="str">
        <f>IF(I1310="","",_xlfn.XLOOKUP(I1310,Lists!$C:$C,Lists!$E:$E))</f>
        <v/>
      </c>
      <c r="Q1310" s="28" t="str">
        <f t="shared" si="124"/>
        <v/>
      </c>
      <c r="R1310" s="26" t="str">
        <f t="shared" ca="1" si="125"/>
        <v/>
      </c>
      <c r="S1310" s="27" t="str">
        <f>IF(I1310="","",_xlfn.XLOOKUP(I1310,Lists!$C:$C,Lists!$I:$I))</f>
        <v/>
      </c>
    </row>
    <row r="1311" spans="3:19" x14ac:dyDescent="0.2">
      <c r="C1311" s="26">
        <f>_xlfn.XLOOKUP(B1311,Lists!B:B,Lists!A:A,"")</f>
        <v>0</v>
      </c>
      <c r="G1311" s="26" t="str">
        <f t="shared" si="121"/>
        <v/>
      </c>
      <c r="H1311" s="31" t="str">
        <f t="shared" si="122"/>
        <v/>
      </c>
      <c r="J1311" s="27" t="str">
        <f>IF(I1311="","",_xlfn.XLOOKUP(I1311,Lists!$C:$C,Lists!$D:$D))</f>
        <v/>
      </c>
      <c r="N1311" s="26" t="str">
        <f t="shared" si="123"/>
        <v/>
      </c>
      <c r="O1311" s="27" t="str">
        <f>IF(I1311="","",_xlfn.XLOOKUP(I1311,Lists!$C:$C,Lists!$J:$J))</f>
        <v/>
      </c>
      <c r="P1311" s="27" t="str">
        <f>IF(I1311="","",_xlfn.XLOOKUP(I1311,Lists!$C:$C,Lists!$E:$E))</f>
        <v/>
      </c>
      <c r="Q1311" s="28" t="str">
        <f t="shared" si="124"/>
        <v/>
      </c>
      <c r="R1311" s="26" t="str">
        <f t="shared" ca="1" si="125"/>
        <v/>
      </c>
      <c r="S1311" s="27" t="str">
        <f>IF(I1311="","",_xlfn.XLOOKUP(I1311,Lists!$C:$C,Lists!$I:$I))</f>
        <v/>
      </c>
    </row>
    <row r="1312" spans="3:19" x14ac:dyDescent="0.2">
      <c r="C1312" s="26">
        <f>_xlfn.XLOOKUP(B1312,Lists!B:B,Lists!A:A,"")</f>
        <v>0</v>
      </c>
      <c r="G1312" s="26" t="str">
        <f t="shared" si="121"/>
        <v/>
      </c>
      <c r="H1312" s="31" t="str">
        <f t="shared" si="122"/>
        <v/>
      </c>
      <c r="J1312" s="27" t="str">
        <f>IF(I1312="","",_xlfn.XLOOKUP(I1312,Lists!$C:$C,Lists!$D:$D))</f>
        <v/>
      </c>
      <c r="N1312" s="26" t="str">
        <f t="shared" si="123"/>
        <v/>
      </c>
      <c r="O1312" s="27" t="str">
        <f>IF(I1312="","",_xlfn.XLOOKUP(I1312,Lists!$C:$C,Lists!$J:$J))</f>
        <v/>
      </c>
      <c r="P1312" s="27" t="str">
        <f>IF(I1312="","",_xlfn.XLOOKUP(I1312,Lists!$C:$C,Lists!$E:$E))</f>
        <v/>
      </c>
      <c r="Q1312" s="28" t="str">
        <f t="shared" si="124"/>
        <v/>
      </c>
      <c r="R1312" s="26" t="str">
        <f t="shared" ca="1" si="125"/>
        <v/>
      </c>
      <c r="S1312" s="27" t="str">
        <f>IF(I1312="","",_xlfn.XLOOKUP(I1312,Lists!$C:$C,Lists!$I:$I))</f>
        <v/>
      </c>
    </row>
    <row r="1313" spans="3:19" x14ac:dyDescent="0.2">
      <c r="C1313" s="26">
        <f>_xlfn.XLOOKUP(B1313,Lists!B:B,Lists!A:A,"")</f>
        <v>0</v>
      </c>
      <c r="G1313" s="26" t="str">
        <f t="shared" si="121"/>
        <v/>
      </c>
      <c r="H1313" s="31" t="str">
        <f t="shared" si="122"/>
        <v/>
      </c>
      <c r="J1313" s="27" t="str">
        <f>IF(I1313="","",_xlfn.XLOOKUP(I1313,Lists!$C:$C,Lists!$D:$D))</f>
        <v/>
      </c>
      <c r="N1313" s="26" t="str">
        <f t="shared" si="123"/>
        <v/>
      </c>
      <c r="O1313" s="27" t="str">
        <f>IF(I1313="","",_xlfn.XLOOKUP(I1313,Lists!$C:$C,Lists!$J:$J))</f>
        <v/>
      </c>
      <c r="P1313" s="27" t="str">
        <f>IF(I1313="","",_xlfn.XLOOKUP(I1313,Lists!$C:$C,Lists!$E:$E))</f>
        <v/>
      </c>
      <c r="Q1313" s="28" t="str">
        <f t="shared" si="124"/>
        <v/>
      </c>
      <c r="R1313" s="26" t="str">
        <f t="shared" ca="1" si="125"/>
        <v/>
      </c>
      <c r="S1313" s="27" t="str">
        <f>IF(I1313="","",_xlfn.XLOOKUP(I1313,Lists!$C:$C,Lists!$I:$I))</f>
        <v/>
      </c>
    </row>
    <row r="1314" spans="3:19" x14ac:dyDescent="0.2">
      <c r="C1314" s="26">
        <f>_xlfn.XLOOKUP(B1314,Lists!B:B,Lists!A:A,"")</f>
        <v>0</v>
      </c>
      <c r="G1314" s="26" t="str">
        <f t="shared" si="121"/>
        <v/>
      </c>
      <c r="H1314" s="31" t="str">
        <f t="shared" si="122"/>
        <v/>
      </c>
      <c r="J1314" s="27" t="str">
        <f>IF(I1314="","",_xlfn.XLOOKUP(I1314,Lists!$C:$C,Lists!$D:$D))</f>
        <v/>
      </c>
      <c r="N1314" s="26" t="str">
        <f t="shared" si="123"/>
        <v/>
      </c>
      <c r="O1314" s="27" t="str">
        <f>IF(I1314="","",_xlfn.XLOOKUP(I1314,Lists!$C:$C,Lists!$J:$J))</f>
        <v/>
      </c>
      <c r="P1314" s="27" t="str">
        <f>IF(I1314="","",_xlfn.XLOOKUP(I1314,Lists!$C:$C,Lists!$E:$E))</f>
        <v/>
      </c>
      <c r="Q1314" s="28" t="str">
        <f t="shared" si="124"/>
        <v/>
      </c>
      <c r="R1314" s="26" t="str">
        <f t="shared" ca="1" si="125"/>
        <v/>
      </c>
      <c r="S1314" s="27" t="str">
        <f>IF(I1314="","",_xlfn.XLOOKUP(I1314,Lists!$C:$C,Lists!$I:$I))</f>
        <v/>
      </c>
    </row>
    <row r="1315" spans="3:19" x14ac:dyDescent="0.2">
      <c r="C1315" s="26">
        <f>_xlfn.XLOOKUP(B1315,Lists!B:B,Lists!A:A,"")</f>
        <v>0</v>
      </c>
      <c r="G1315" s="26" t="str">
        <f t="shared" si="121"/>
        <v/>
      </c>
      <c r="H1315" s="31" t="str">
        <f t="shared" si="122"/>
        <v/>
      </c>
      <c r="J1315" s="27" t="str">
        <f>IF(I1315="","",_xlfn.XLOOKUP(I1315,Lists!$C:$C,Lists!$D:$D))</f>
        <v/>
      </c>
      <c r="N1315" s="26" t="str">
        <f t="shared" si="123"/>
        <v/>
      </c>
      <c r="O1315" s="27" t="str">
        <f>IF(I1315="","",_xlfn.XLOOKUP(I1315,Lists!$C:$C,Lists!$J:$J))</f>
        <v/>
      </c>
      <c r="P1315" s="27" t="str">
        <f>IF(I1315="","",_xlfn.XLOOKUP(I1315,Lists!$C:$C,Lists!$E:$E))</f>
        <v/>
      </c>
      <c r="Q1315" s="28" t="str">
        <f t="shared" si="124"/>
        <v/>
      </c>
      <c r="R1315" s="26" t="str">
        <f t="shared" ca="1" si="125"/>
        <v/>
      </c>
      <c r="S1315" s="27" t="str">
        <f>IF(I1315="","",_xlfn.XLOOKUP(I1315,Lists!$C:$C,Lists!$I:$I))</f>
        <v/>
      </c>
    </row>
    <row r="1316" spans="3:19" x14ac:dyDescent="0.2">
      <c r="C1316" s="26">
        <f>_xlfn.XLOOKUP(B1316,Lists!B:B,Lists!A:A,"")</f>
        <v>0</v>
      </c>
      <c r="G1316" s="26" t="str">
        <f t="shared" si="121"/>
        <v/>
      </c>
      <c r="H1316" s="31" t="str">
        <f t="shared" si="122"/>
        <v/>
      </c>
      <c r="J1316" s="27" t="str">
        <f>IF(I1316="","",_xlfn.XLOOKUP(I1316,Lists!$C:$C,Lists!$D:$D))</f>
        <v/>
      </c>
      <c r="N1316" s="26" t="str">
        <f t="shared" si="123"/>
        <v/>
      </c>
      <c r="O1316" s="27" t="str">
        <f>IF(I1316="","",_xlfn.XLOOKUP(I1316,Lists!$C:$C,Lists!$J:$J))</f>
        <v/>
      </c>
      <c r="P1316" s="27" t="str">
        <f>IF(I1316="","",_xlfn.XLOOKUP(I1316,Lists!$C:$C,Lists!$E:$E))</f>
        <v/>
      </c>
      <c r="Q1316" s="28" t="str">
        <f t="shared" si="124"/>
        <v/>
      </c>
      <c r="R1316" s="26" t="str">
        <f t="shared" ca="1" si="125"/>
        <v/>
      </c>
      <c r="S1316" s="27" t="str">
        <f>IF(I1316="","",_xlfn.XLOOKUP(I1316,Lists!$C:$C,Lists!$I:$I))</f>
        <v/>
      </c>
    </row>
    <row r="1317" spans="3:19" x14ac:dyDescent="0.2">
      <c r="C1317" s="26">
        <f>_xlfn.XLOOKUP(B1317,Lists!B:B,Lists!A:A,"")</f>
        <v>0</v>
      </c>
      <c r="G1317" s="26" t="str">
        <f t="shared" si="121"/>
        <v/>
      </c>
      <c r="H1317" s="31" t="str">
        <f t="shared" si="122"/>
        <v/>
      </c>
      <c r="J1317" s="27" t="str">
        <f>IF(I1317="","",_xlfn.XLOOKUP(I1317,Lists!$C:$C,Lists!$D:$D))</f>
        <v/>
      </c>
      <c r="N1317" s="26" t="str">
        <f t="shared" si="123"/>
        <v/>
      </c>
      <c r="O1317" s="27" t="str">
        <f>IF(I1317="","",_xlfn.XLOOKUP(I1317,Lists!$C:$C,Lists!$J:$J))</f>
        <v/>
      </c>
      <c r="P1317" s="27" t="str">
        <f>IF(I1317="","",_xlfn.XLOOKUP(I1317,Lists!$C:$C,Lists!$E:$E))</f>
        <v/>
      </c>
      <c r="Q1317" s="28" t="str">
        <f t="shared" si="124"/>
        <v/>
      </c>
      <c r="R1317" s="26" t="str">
        <f t="shared" ca="1" si="125"/>
        <v/>
      </c>
      <c r="S1317" s="27" t="str">
        <f>IF(I1317="","",_xlfn.XLOOKUP(I1317,Lists!$C:$C,Lists!$I:$I))</f>
        <v/>
      </c>
    </row>
    <row r="1318" spans="3:19" x14ac:dyDescent="0.2">
      <c r="C1318" s="26">
        <f>_xlfn.XLOOKUP(B1318,Lists!B:B,Lists!A:A,"")</f>
        <v>0</v>
      </c>
      <c r="G1318" s="26" t="str">
        <f t="shared" si="121"/>
        <v/>
      </c>
      <c r="H1318" s="31" t="str">
        <f t="shared" si="122"/>
        <v/>
      </c>
      <c r="J1318" s="27" t="str">
        <f>IF(I1318="","",_xlfn.XLOOKUP(I1318,Lists!$C:$C,Lists!$D:$D))</f>
        <v/>
      </c>
      <c r="N1318" s="26" t="str">
        <f t="shared" si="123"/>
        <v/>
      </c>
      <c r="O1318" s="27" t="str">
        <f>IF(I1318="","",_xlfn.XLOOKUP(I1318,Lists!$C:$C,Lists!$J:$J))</f>
        <v/>
      </c>
      <c r="P1318" s="27" t="str">
        <f>IF(I1318="","",_xlfn.XLOOKUP(I1318,Lists!$C:$C,Lists!$E:$E))</f>
        <v/>
      </c>
      <c r="Q1318" s="28" t="str">
        <f t="shared" si="124"/>
        <v/>
      </c>
      <c r="R1318" s="26" t="str">
        <f t="shared" ca="1" si="125"/>
        <v/>
      </c>
      <c r="S1318" s="27" t="str">
        <f>IF(I1318="","",_xlfn.XLOOKUP(I1318,Lists!$C:$C,Lists!$I:$I))</f>
        <v/>
      </c>
    </row>
    <row r="1319" spans="3:19" x14ac:dyDescent="0.2">
      <c r="C1319" s="26">
        <f>_xlfn.XLOOKUP(B1319,Lists!B:B,Lists!A:A,"")</f>
        <v>0</v>
      </c>
      <c r="G1319" s="26" t="str">
        <f t="shared" ref="G1319:G1328" si="126">IF(OR(E1319="",F1319=""),"",F1319-E1319+1)</f>
        <v/>
      </c>
      <c r="H1319" s="31" t="str">
        <f t="shared" ref="H1319:H1328" si="127">IF(D1319="","",IF(OR(D1319="A",D1319="B"),G1319/80,IF(D1319="A&amp;B",G1319/160,"")))</f>
        <v/>
      </c>
      <c r="J1319" s="27" t="str">
        <f>IF(I1319="","",_xlfn.XLOOKUP(I1319,Lists!$C:$C,Lists!$D:$D))</f>
        <v/>
      </c>
      <c r="N1319" s="26" t="str">
        <f t="shared" ref="N1319:N1328" si="128">IF(OR(M1319="",L1319=""),"",(M1319*L1319)/100000)</f>
        <v/>
      </c>
      <c r="O1319" s="27" t="str">
        <f>IF(I1319="","",_xlfn.XLOOKUP(I1319,Lists!$C:$C,Lists!$J:$J))</f>
        <v/>
      </c>
      <c r="P1319" s="27" t="str">
        <f>IF(I1319="","",_xlfn.XLOOKUP(I1319,Lists!$C:$C,Lists!$E:$E))</f>
        <v/>
      </c>
      <c r="Q1319" s="28" t="str">
        <f t="shared" ref="Q1319:Q1328" si="129">IF(OR(A1319="",P1319=""),"",A1319+P1319+1)</f>
        <v/>
      </c>
      <c r="R1319" s="26" t="str">
        <f t="shared" ref="R1319:R1328" ca="1" si="130">IF(Q1319="","",IF(Q1319&lt;=TODAY(),"Allow","Not Allow"))</f>
        <v/>
      </c>
      <c r="S1319" s="27" t="str">
        <f>IF(I1319="","",_xlfn.XLOOKUP(I1319,Lists!$C:$C,Lists!$I:$I))</f>
        <v/>
      </c>
    </row>
    <row r="1320" spans="3:19" x14ac:dyDescent="0.2">
      <c r="C1320" s="26">
        <f>_xlfn.XLOOKUP(B1320,Lists!B:B,Lists!A:A,"")</f>
        <v>0</v>
      </c>
      <c r="G1320" s="26" t="str">
        <f t="shared" si="126"/>
        <v/>
      </c>
      <c r="H1320" s="31" t="str">
        <f t="shared" si="127"/>
        <v/>
      </c>
      <c r="J1320" s="27" t="str">
        <f>IF(I1320="","",_xlfn.XLOOKUP(I1320,Lists!$C:$C,Lists!$D:$D))</f>
        <v/>
      </c>
      <c r="N1320" s="26" t="str">
        <f t="shared" si="128"/>
        <v/>
      </c>
      <c r="O1320" s="27" t="str">
        <f>IF(I1320="","",_xlfn.XLOOKUP(I1320,Lists!$C:$C,Lists!$J:$J))</f>
        <v/>
      </c>
      <c r="P1320" s="27" t="str">
        <f>IF(I1320="","",_xlfn.XLOOKUP(I1320,Lists!$C:$C,Lists!$E:$E))</f>
        <v/>
      </c>
      <c r="Q1320" s="28" t="str">
        <f t="shared" si="129"/>
        <v/>
      </c>
      <c r="R1320" s="26" t="str">
        <f t="shared" ca="1" si="130"/>
        <v/>
      </c>
      <c r="S1320" s="27" t="str">
        <f>IF(I1320="","",_xlfn.XLOOKUP(I1320,Lists!$C:$C,Lists!$I:$I))</f>
        <v/>
      </c>
    </row>
    <row r="1321" spans="3:19" x14ac:dyDescent="0.2">
      <c r="C1321" s="26">
        <f>_xlfn.XLOOKUP(B1321,Lists!B:B,Lists!A:A,"")</f>
        <v>0</v>
      </c>
      <c r="G1321" s="26" t="str">
        <f t="shared" si="126"/>
        <v/>
      </c>
      <c r="H1321" s="31" t="str">
        <f t="shared" si="127"/>
        <v/>
      </c>
      <c r="J1321" s="27" t="str">
        <f>IF(I1321="","",_xlfn.XLOOKUP(I1321,Lists!$C:$C,Lists!$D:$D))</f>
        <v/>
      </c>
      <c r="N1321" s="26" t="str">
        <f t="shared" si="128"/>
        <v/>
      </c>
      <c r="O1321" s="27" t="str">
        <f>IF(I1321="","",_xlfn.XLOOKUP(I1321,Lists!$C:$C,Lists!$J:$J))</f>
        <v/>
      </c>
      <c r="P1321" s="27" t="str">
        <f>IF(I1321="","",_xlfn.XLOOKUP(I1321,Lists!$C:$C,Lists!$E:$E))</f>
        <v/>
      </c>
      <c r="Q1321" s="28" t="str">
        <f t="shared" si="129"/>
        <v/>
      </c>
      <c r="R1321" s="26" t="str">
        <f t="shared" ca="1" si="130"/>
        <v/>
      </c>
      <c r="S1321" s="27" t="str">
        <f>IF(I1321="","",_xlfn.XLOOKUP(I1321,Lists!$C:$C,Lists!$I:$I))</f>
        <v/>
      </c>
    </row>
    <row r="1322" spans="3:19" x14ac:dyDescent="0.2">
      <c r="C1322" s="26">
        <f>_xlfn.XLOOKUP(B1322,Lists!B:B,Lists!A:A,"")</f>
        <v>0</v>
      </c>
      <c r="G1322" s="26" t="str">
        <f t="shared" si="126"/>
        <v/>
      </c>
      <c r="H1322" s="31" t="str">
        <f t="shared" si="127"/>
        <v/>
      </c>
      <c r="J1322" s="27" t="str">
        <f>IF(I1322="","",_xlfn.XLOOKUP(I1322,Lists!$C:$C,Lists!$D:$D))</f>
        <v/>
      </c>
      <c r="N1322" s="26" t="str">
        <f t="shared" si="128"/>
        <v/>
      </c>
      <c r="O1322" s="27" t="str">
        <f>IF(I1322="","",_xlfn.XLOOKUP(I1322,Lists!$C:$C,Lists!$J:$J))</f>
        <v/>
      </c>
      <c r="P1322" s="27" t="str">
        <f>IF(I1322="","",_xlfn.XLOOKUP(I1322,Lists!$C:$C,Lists!$E:$E))</f>
        <v/>
      </c>
      <c r="Q1322" s="28" t="str">
        <f t="shared" si="129"/>
        <v/>
      </c>
      <c r="R1322" s="26" t="str">
        <f t="shared" ca="1" si="130"/>
        <v/>
      </c>
      <c r="S1322" s="27" t="str">
        <f>IF(I1322="","",_xlfn.XLOOKUP(I1322,Lists!$C:$C,Lists!$I:$I))</f>
        <v/>
      </c>
    </row>
    <row r="1323" spans="3:19" x14ac:dyDescent="0.2">
      <c r="C1323" s="26">
        <f>_xlfn.XLOOKUP(B1323,Lists!B:B,Lists!A:A,"")</f>
        <v>0</v>
      </c>
      <c r="G1323" s="26" t="str">
        <f t="shared" si="126"/>
        <v/>
      </c>
      <c r="H1323" s="31" t="str">
        <f t="shared" si="127"/>
        <v/>
      </c>
      <c r="J1323" s="27" t="str">
        <f>IF(I1323="","",_xlfn.XLOOKUP(I1323,Lists!$C:$C,Lists!$D:$D))</f>
        <v/>
      </c>
      <c r="N1323" s="26" t="str">
        <f t="shared" si="128"/>
        <v/>
      </c>
      <c r="O1323" s="27" t="str">
        <f>IF(I1323="","",_xlfn.XLOOKUP(I1323,Lists!$C:$C,Lists!$J:$J))</f>
        <v/>
      </c>
      <c r="P1323" s="27" t="str">
        <f>IF(I1323="","",_xlfn.XLOOKUP(I1323,Lists!$C:$C,Lists!$E:$E))</f>
        <v/>
      </c>
      <c r="Q1323" s="28" t="str">
        <f t="shared" si="129"/>
        <v/>
      </c>
      <c r="R1323" s="26" t="str">
        <f t="shared" ca="1" si="130"/>
        <v/>
      </c>
      <c r="S1323" s="27" t="str">
        <f>IF(I1323="","",_xlfn.XLOOKUP(I1323,Lists!$C:$C,Lists!$I:$I))</f>
        <v/>
      </c>
    </row>
    <row r="1324" spans="3:19" x14ac:dyDescent="0.2">
      <c r="C1324" s="26">
        <f>_xlfn.XLOOKUP(B1324,Lists!B:B,Lists!A:A,"")</f>
        <v>0</v>
      </c>
      <c r="G1324" s="26" t="str">
        <f t="shared" si="126"/>
        <v/>
      </c>
      <c r="H1324" s="31" t="str">
        <f t="shared" si="127"/>
        <v/>
      </c>
      <c r="J1324" s="27" t="str">
        <f>IF(I1324="","",_xlfn.XLOOKUP(I1324,Lists!$C:$C,Lists!$D:$D))</f>
        <v/>
      </c>
      <c r="N1324" s="26" t="str">
        <f t="shared" si="128"/>
        <v/>
      </c>
      <c r="O1324" s="27" t="str">
        <f>IF(I1324="","",_xlfn.XLOOKUP(I1324,Lists!$C:$C,Lists!$J:$J))</f>
        <v/>
      </c>
      <c r="P1324" s="27" t="str">
        <f>IF(I1324="","",_xlfn.XLOOKUP(I1324,Lists!$C:$C,Lists!$E:$E))</f>
        <v/>
      </c>
      <c r="Q1324" s="28" t="str">
        <f t="shared" si="129"/>
        <v/>
      </c>
      <c r="R1324" s="26" t="str">
        <f t="shared" ca="1" si="130"/>
        <v/>
      </c>
      <c r="S1324" s="27" t="str">
        <f>IF(I1324="","",_xlfn.XLOOKUP(I1324,Lists!$C:$C,Lists!$I:$I))</f>
        <v/>
      </c>
    </row>
    <row r="1325" spans="3:19" x14ac:dyDescent="0.2">
      <c r="C1325" s="26">
        <f>_xlfn.XLOOKUP(B1325,Lists!B:B,Lists!A:A,"")</f>
        <v>0</v>
      </c>
      <c r="G1325" s="26" t="str">
        <f t="shared" si="126"/>
        <v/>
      </c>
      <c r="H1325" s="31" t="str">
        <f t="shared" si="127"/>
        <v/>
      </c>
      <c r="J1325" s="27" t="str">
        <f>IF(I1325="","",_xlfn.XLOOKUP(I1325,Lists!$C:$C,Lists!$D:$D))</f>
        <v/>
      </c>
      <c r="N1325" s="26" t="str">
        <f t="shared" si="128"/>
        <v/>
      </c>
      <c r="O1325" s="27" t="str">
        <f>IF(I1325="","",_xlfn.XLOOKUP(I1325,Lists!$C:$C,Lists!$J:$J))</f>
        <v/>
      </c>
      <c r="P1325" s="27" t="str">
        <f>IF(I1325="","",_xlfn.XLOOKUP(I1325,Lists!$C:$C,Lists!$E:$E))</f>
        <v/>
      </c>
      <c r="Q1325" s="28" t="str">
        <f t="shared" si="129"/>
        <v/>
      </c>
      <c r="R1325" s="26" t="str">
        <f t="shared" ca="1" si="130"/>
        <v/>
      </c>
      <c r="S1325" s="27" t="str">
        <f>IF(I1325="","",_xlfn.XLOOKUP(I1325,Lists!$C:$C,Lists!$I:$I))</f>
        <v/>
      </c>
    </row>
    <row r="1326" spans="3:19" x14ac:dyDescent="0.2">
      <c r="C1326" s="26">
        <f>_xlfn.XLOOKUP(B1326,Lists!B:B,Lists!A:A,"")</f>
        <v>0</v>
      </c>
      <c r="G1326" s="26" t="str">
        <f t="shared" si="126"/>
        <v/>
      </c>
      <c r="H1326" s="31" t="str">
        <f t="shared" si="127"/>
        <v/>
      </c>
      <c r="J1326" s="27" t="str">
        <f>IF(I1326="","",_xlfn.XLOOKUP(I1326,Lists!$C:$C,Lists!$D:$D))</f>
        <v/>
      </c>
      <c r="N1326" s="26" t="str">
        <f t="shared" si="128"/>
        <v/>
      </c>
      <c r="O1326" s="27" t="str">
        <f>IF(I1326="","",_xlfn.XLOOKUP(I1326,Lists!$C:$C,Lists!$J:$J))</f>
        <v/>
      </c>
      <c r="P1326" s="27" t="str">
        <f>IF(I1326="","",_xlfn.XLOOKUP(I1326,Lists!$C:$C,Lists!$E:$E))</f>
        <v/>
      </c>
      <c r="Q1326" s="28" t="str">
        <f t="shared" si="129"/>
        <v/>
      </c>
      <c r="R1326" s="26" t="str">
        <f t="shared" ca="1" si="130"/>
        <v/>
      </c>
      <c r="S1326" s="27" t="str">
        <f>IF(I1326="","",_xlfn.XLOOKUP(I1326,Lists!$C:$C,Lists!$I:$I))</f>
        <v/>
      </c>
    </row>
    <row r="1327" spans="3:19" x14ac:dyDescent="0.2">
      <c r="C1327" s="26">
        <f>_xlfn.XLOOKUP(B1327,Lists!B:B,Lists!A:A,"")</f>
        <v>0</v>
      </c>
      <c r="G1327" s="26" t="str">
        <f t="shared" si="126"/>
        <v/>
      </c>
      <c r="H1327" s="31" t="str">
        <f t="shared" si="127"/>
        <v/>
      </c>
      <c r="J1327" s="27" t="str">
        <f>IF(I1327="","",_xlfn.XLOOKUP(I1327,Lists!$C:$C,Lists!$D:$D))</f>
        <v/>
      </c>
      <c r="N1327" s="26" t="str">
        <f t="shared" si="128"/>
        <v/>
      </c>
      <c r="O1327" s="27" t="str">
        <f>IF(I1327="","",_xlfn.XLOOKUP(I1327,Lists!$C:$C,Lists!$J:$J))</f>
        <v/>
      </c>
      <c r="P1327" s="27" t="str">
        <f>IF(I1327="","",_xlfn.XLOOKUP(I1327,Lists!$C:$C,Lists!$E:$E))</f>
        <v/>
      </c>
      <c r="Q1327" s="28" t="str">
        <f t="shared" si="129"/>
        <v/>
      </c>
      <c r="R1327" s="26" t="str">
        <f t="shared" ca="1" si="130"/>
        <v/>
      </c>
      <c r="S1327" s="27" t="str">
        <f>IF(I1327="","",_xlfn.XLOOKUP(I1327,Lists!$C:$C,Lists!$I:$I))</f>
        <v/>
      </c>
    </row>
    <row r="1328" spans="3:19" x14ac:dyDescent="0.2">
      <c r="C1328" s="26">
        <f>_xlfn.XLOOKUP(B1328,Lists!B:B,Lists!A:A,"")</f>
        <v>0</v>
      </c>
      <c r="G1328" s="26" t="str">
        <f t="shared" si="126"/>
        <v/>
      </c>
      <c r="H1328" s="31" t="str">
        <f t="shared" si="127"/>
        <v/>
      </c>
      <c r="J1328" s="27" t="str">
        <f>IF(I1328="","",_xlfn.XLOOKUP(I1328,Lists!$C:$C,Lists!$D:$D))</f>
        <v/>
      </c>
      <c r="N1328" s="26" t="str">
        <f t="shared" si="128"/>
        <v/>
      </c>
      <c r="O1328" s="27" t="str">
        <f>IF(I1328="","",_xlfn.XLOOKUP(I1328,Lists!$C:$C,Lists!$J:$J))</f>
        <v/>
      </c>
      <c r="P1328" s="27" t="str">
        <f>IF(I1328="","",_xlfn.XLOOKUP(I1328,Lists!$C:$C,Lists!$E:$E))</f>
        <v/>
      </c>
      <c r="Q1328" s="28" t="str">
        <f t="shared" si="129"/>
        <v/>
      </c>
      <c r="R1328" s="26" t="str">
        <f t="shared" ca="1" si="130"/>
        <v/>
      </c>
      <c r="S1328" s="27" t="str">
        <f>IF(I1328="","",_xlfn.XLOOKUP(I1328,Lists!$C:$C,Lists!$I:$I))</f>
        <v/>
      </c>
    </row>
    <row r="1329" spans="3:19" x14ac:dyDescent="0.2">
      <c r="C1329" s="26">
        <f>_xlfn.XLOOKUP(B1329,Lists!B:B,Lists!A:A,"")</f>
        <v>0</v>
      </c>
      <c r="G1329" s="26" t="str">
        <f t="shared" ref="G1329:G1333" si="131">IF(OR(E1329="",F1329=""),"",F1329-E1329+1)</f>
        <v/>
      </c>
      <c r="H1329" s="31" t="str">
        <f t="shared" ref="H1329:H1333" si="132">IF(D1329="","",IF(OR(D1329="A",D1329="B"),G1329/80,IF(D1329="A&amp;B",G1329/160,"")))</f>
        <v/>
      </c>
      <c r="J1329" s="27" t="str">
        <f>IF(I1329="","",_xlfn.XLOOKUP(I1329,Lists!$C:$C,Lists!$D:$D))</f>
        <v/>
      </c>
      <c r="N1329" s="26" t="str">
        <f t="shared" ref="N1329:N1333" si="133">IF(OR(M1329="",L1329=""),"",(M1329*L1329)/100000)</f>
        <v/>
      </c>
      <c r="O1329" s="27" t="str">
        <f>IF(I1329="","",_xlfn.XLOOKUP(I1329,Lists!$C:$C,Lists!$J:$J))</f>
        <v/>
      </c>
      <c r="P1329" s="27" t="str">
        <f>IF(I1329="","",_xlfn.XLOOKUP(I1329,Lists!$C:$C,Lists!$E:$E))</f>
        <v/>
      </c>
      <c r="Q1329" s="28" t="str">
        <f t="shared" ref="Q1329:Q1333" si="134">IF(OR(A1329="",P1329=""),"",A1329+P1329+1)</f>
        <v/>
      </c>
      <c r="R1329" s="26" t="str">
        <f t="shared" ref="R1329:R1333" ca="1" si="135">IF(Q1329="","",IF(Q1329&lt;=TODAY(),"Allow","Not Allow"))</f>
        <v/>
      </c>
      <c r="S1329" s="27" t="str">
        <f>IF(I1329="","",_xlfn.XLOOKUP(I1329,Lists!$C:$C,Lists!$I:$I))</f>
        <v/>
      </c>
    </row>
    <row r="1330" spans="3:19" x14ac:dyDescent="0.2">
      <c r="C1330" s="26">
        <f>_xlfn.XLOOKUP(B1330,Lists!B:B,Lists!A:A,"")</f>
        <v>0</v>
      </c>
      <c r="G1330" s="26" t="str">
        <f t="shared" si="131"/>
        <v/>
      </c>
      <c r="H1330" s="31" t="str">
        <f t="shared" si="132"/>
        <v/>
      </c>
      <c r="J1330" s="27" t="str">
        <f>IF(I1330="","",_xlfn.XLOOKUP(I1330,Lists!$C:$C,Lists!$D:$D))</f>
        <v/>
      </c>
      <c r="N1330" s="26" t="str">
        <f t="shared" si="133"/>
        <v/>
      </c>
      <c r="O1330" s="27" t="str">
        <f>IF(I1330="","",_xlfn.XLOOKUP(I1330,Lists!$C:$C,Lists!$J:$J))</f>
        <v/>
      </c>
      <c r="P1330" s="27" t="str">
        <f>IF(I1330="","",_xlfn.XLOOKUP(I1330,Lists!$C:$C,Lists!$E:$E))</f>
        <v/>
      </c>
      <c r="Q1330" s="28" t="str">
        <f t="shared" si="134"/>
        <v/>
      </c>
      <c r="R1330" s="26" t="str">
        <f t="shared" ca="1" si="135"/>
        <v/>
      </c>
      <c r="S1330" s="27" t="str">
        <f>IF(I1330="","",_xlfn.XLOOKUP(I1330,Lists!$C:$C,Lists!$I:$I))</f>
        <v/>
      </c>
    </row>
    <row r="1331" spans="3:19" x14ac:dyDescent="0.2">
      <c r="C1331" s="26">
        <f>_xlfn.XLOOKUP(B1331,Lists!B:B,Lists!A:A,"")</f>
        <v>0</v>
      </c>
      <c r="G1331" s="26" t="str">
        <f t="shared" si="131"/>
        <v/>
      </c>
      <c r="H1331" s="31" t="str">
        <f t="shared" si="132"/>
        <v/>
      </c>
      <c r="J1331" s="27" t="str">
        <f>IF(I1331="","",_xlfn.XLOOKUP(I1331,Lists!$C:$C,Lists!$D:$D))</f>
        <v/>
      </c>
      <c r="N1331" s="26" t="str">
        <f t="shared" si="133"/>
        <v/>
      </c>
      <c r="O1331" s="27" t="str">
        <f>IF(I1331="","",_xlfn.XLOOKUP(I1331,Lists!$C:$C,Lists!$J:$J))</f>
        <v/>
      </c>
      <c r="P1331" s="27" t="str">
        <f>IF(I1331="","",_xlfn.XLOOKUP(I1331,Lists!$C:$C,Lists!$E:$E))</f>
        <v/>
      </c>
      <c r="Q1331" s="28" t="str">
        <f t="shared" si="134"/>
        <v/>
      </c>
      <c r="R1331" s="26" t="str">
        <f t="shared" ca="1" si="135"/>
        <v/>
      </c>
      <c r="S1331" s="27" t="str">
        <f>IF(I1331="","",_xlfn.XLOOKUP(I1331,Lists!$C:$C,Lists!$I:$I))</f>
        <v/>
      </c>
    </row>
    <row r="1332" spans="3:19" x14ac:dyDescent="0.2">
      <c r="C1332" s="26">
        <f>_xlfn.XLOOKUP(B1332,Lists!B:B,Lists!A:A,"")</f>
        <v>0</v>
      </c>
      <c r="G1332" s="26" t="str">
        <f t="shared" si="131"/>
        <v/>
      </c>
      <c r="H1332" s="31" t="str">
        <f t="shared" si="132"/>
        <v/>
      </c>
      <c r="J1332" s="27" t="str">
        <f>IF(I1332="","",_xlfn.XLOOKUP(I1332,Lists!$C:$C,Lists!$D:$D))</f>
        <v/>
      </c>
      <c r="N1332" s="26" t="str">
        <f t="shared" si="133"/>
        <v/>
      </c>
      <c r="O1332" s="27" t="str">
        <f>IF(I1332="","",_xlfn.XLOOKUP(I1332,Lists!$C:$C,Lists!$J:$J))</f>
        <v/>
      </c>
      <c r="P1332" s="27" t="str">
        <f>IF(I1332="","",_xlfn.XLOOKUP(I1332,Lists!$C:$C,Lists!$E:$E))</f>
        <v/>
      </c>
      <c r="Q1332" s="28" t="str">
        <f t="shared" si="134"/>
        <v/>
      </c>
      <c r="R1332" s="26" t="str">
        <f t="shared" ca="1" si="135"/>
        <v/>
      </c>
      <c r="S1332" s="27" t="str">
        <f>IF(I1332="","",_xlfn.XLOOKUP(I1332,Lists!$C:$C,Lists!$I:$I))</f>
        <v/>
      </c>
    </row>
    <row r="1333" spans="3:19" x14ac:dyDescent="0.2">
      <c r="C1333" s="26">
        <f>_xlfn.XLOOKUP(B1333,Lists!B:B,Lists!A:A,"")</f>
        <v>0</v>
      </c>
      <c r="G1333" s="26" t="str">
        <f t="shared" si="131"/>
        <v/>
      </c>
      <c r="H1333" s="31" t="str">
        <f t="shared" si="132"/>
        <v/>
      </c>
      <c r="J1333" s="27" t="str">
        <f>IF(I1333="","",_xlfn.XLOOKUP(I1333,Lists!$C:$C,Lists!$D:$D))</f>
        <v/>
      </c>
      <c r="N1333" s="26" t="str">
        <f t="shared" si="133"/>
        <v/>
      </c>
      <c r="O1333" s="27" t="str">
        <f>IF(I1333="","",_xlfn.XLOOKUP(I1333,Lists!$C:$C,Lists!$J:$J))</f>
        <v/>
      </c>
      <c r="P1333" s="27" t="str">
        <f>IF(I1333="","",_xlfn.XLOOKUP(I1333,Lists!$C:$C,Lists!$E:$E))</f>
        <v/>
      </c>
      <c r="Q1333" s="28" t="str">
        <f t="shared" si="134"/>
        <v/>
      </c>
      <c r="R1333" s="26" t="str">
        <f t="shared" ca="1" si="135"/>
        <v/>
      </c>
      <c r="S1333" s="27" t="str">
        <f>IF(I1333="","",_xlfn.XLOOKUP(I1333,Lists!$C:$C,Lists!$I:$I))</f>
        <v/>
      </c>
    </row>
    <row r="1334" spans="3:19" x14ac:dyDescent="0.2">
      <c r="C1334" s="26">
        <f>_xlfn.XLOOKUP(B1334,Lists!B:B,Lists!A:A,"")</f>
        <v>0</v>
      </c>
      <c r="G1334" s="26" t="str">
        <f t="shared" ref="G1334:G1335" si="136">IF(OR(E1334="",F1334=""),"",F1334-E1334+1)</f>
        <v/>
      </c>
      <c r="H1334" s="31" t="str">
        <f t="shared" ref="H1334:H1335" si="137">IF(D1334="","",IF(OR(D1334="A",D1334="B"),G1334/80,IF(D1334="A&amp;B",G1334/160,"")))</f>
        <v/>
      </c>
      <c r="J1334" s="27" t="str">
        <f>IF(I1334="","",_xlfn.XLOOKUP(I1334,Lists!$C:$C,Lists!$D:$D))</f>
        <v/>
      </c>
      <c r="N1334" s="26" t="str">
        <f t="shared" ref="N1334:N1335" si="138">IF(OR(M1334="",L1334=""),"",(M1334*L1334)/100000)</f>
        <v/>
      </c>
      <c r="O1334" s="27" t="str">
        <f>IF(I1334="","",_xlfn.XLOOKUP(I1334,Lists!$C:$C,Lists!$J:$J))</f>
        <v/>
      </c>
      <c r="P1334" s="27" t="str">
        <f>IF(I1334="","",_xlfn.XLOOKUP(I1334,Lists!$C:$C,Lists!$E:$E))</f>
        <v/>
      </c>
      <c r="Q1334" s="28" t="str">
        <f t="shared" ref="Q1334:Q1335" si="139">IF(OR(A1334="",P1334=""),"",A1334+P1334+1)</f>
        <v/>
      </c>
      <c r="R1334" s="26" t="str">
        <f t="shared" ref="R1334:R1335" ca="1" si="140">IF(Q1334="","",IF(Q1334&lt;=TODAY(),"Allow","Not Allow"))</f>
        <v/>
      </c>
      <c r="S1334" s="27" t="str">
        <f>IF(I1334="","",_xlfn.XLOOKUP(I1334,Lists!$C:$C,Lists!$I:$I))</f>
        <v/>
      </c>
    </row>
    <row r="1335" spans="3:19" x14ac:dyDescent="0.2">
      <c r="C1335" s="26">
        <f>_xlfn.XLOOKUP(B1335,Lists!B:B,Lists!A:A,"")</f>
        <v>0</v>
      </c>
      <c r="G1335" s="26" t="str">
        <f t="shared" si="136"/>
        <v/>
      </c>
      <c r="H1335" s="31" t="str">
        <f t="shared" si="137"/>
        <v/>
      </c>
      <c r="J1335" s="27" t="str">
        <f>IF(I1335="","",_xlfn.XLOOKUP(I1335,Lists!$C:$C,Lists!$D:$D))</f>
        <v/>
      </c>
      <c r="N1335" s="26" t="str">
        <f t="shared" si="138"/>
        <v/>
      </c>
      <c r="O1335" s="27" t="str">
        <f>IF(I1335="","",_xlfn.XLOOKUP(I1335,Lists!$C:$C,Lists!$J:$J))</f>
        <v/>
      </c>
      <c r="P1335" s="27" t="str">
        <f>IF(I1335="","",_xlfn.XLOOKUP(I1335,Lists!$C:$C,Lists!$E:$E))</f>
        <v/>
      </c>
      <c r="Q1335" s="28" t="str">
        <f t="shared" si="139"/>
        <v/>
      </c>
      <c r="R1335" s="26" t="str">
        <f t="shared" ca="1" si="140"/>
        <v/>
      </c>
      <c r="S1335" s="27" t="str">
        <f>IF(I1335="","",_xlfn.XLOOKUP(I1335,Lists!$C:$C,Lists!$I:$I))</f>
        <v/>
      </c>
    </row>
    <row r="1336" spans="3:19" x14ac:dyDescent="0.2">
      <c r="C1336" s="26">
        <f>_xlfn.XLOOKUP(B1336,Lists!B:B,Lists!A:A,"")</f>
        <v>0</v>
      </c>
      <c r="G1336" s="26" t="str">
        <f>IF(OR(E1336="",F1336=""),"",F1336-E1336+1)</f>
        <v/>
      </c>
      <c r="H1336" s="31" t="str">
        <f>IF(D1336="","",IF(OR(D1336="A",D1336="B"),G1336/80,IF(D1336="A&amp;B",G1336/160,"")))</f>
        <v/>
      </c>
      <c r="J1336" s="27" t="str">
        <f>IF(I1336="","",_xlfn.XLOOKUP(I1336,Lists!$C:$C,Lists!$D:$D))</f>
        <v/>
      </c>
      <c r="N1336" s="26" t="str">
        <f>IF(OR(M1336="",L1336=""),"",(M1336*L1336)/100000)</f>
        <v/>
      </c>
      <c r="O1336" s="27" t="str">
        <f>IF(I1336="","",_xlfn.XLOOKUP(I1336,Lists!$C:$C,Lists!$J:$J))</f>
        <v/>
      </c>
      <c r="P1336" s="27" t="str">
        <f>IF(I1336="","",_xlfn.XLOOKUP(I1336,Lists!$C:$C,Lists!$E:$E))</f>
        <v/>
      </c>
      <c r="Q1336" s="28" t="str">
        <f>IF(OR(A1336="",P1336=""),"",A1336+P1336+1)</f>
        <v/>
      </c>
      <c r="R1336" s="26" t="str">
        <f ca="1">IF(Q1336="","",IF(Q1336&lt;=TODAY(),"Allow","Not Allow"))</f>
        <v/>
      </c>
      <c r="S1336" s="27" t="str">
        <f>IF(I1336="","",_xlfn.XLOOKUP(I1336,Lists!$C:$C,Lists!$I:$I))</f>
        <v/>
      </c>
    </row>
    <row r="1337" spans="3:19" x14ac:dyDescent="0.2">
      <c r="C1337" s="26">
        <f>_xlfn.XLOOKUP(B1337,Lists!B:B,Lists!A:A,"")</f>
        <v>0</v>
      </c>
      <c r="G1337" s="26" t="str">
        <f>IF(OR(E1337="",F1337=""),"",F1337-E1337+1)</f>
        <v/>
      </c>
      <c r="H1337" s="31" t="str">
        <f>IF(D1337="","",IF(OR(D1337="A",D1337="B"),G1337/80,IF(D1337="A&amp;B",G1337/160,"")))</f>
        <v/>
      </c>
      <c r="J1337" s="27" t="str">
        <f>IF(I1337="","",_xlfn.XLOOKUP(I1337,Lists!$C:$C,Lists!$D:$D))</f>
        <v/>
      </c>
      <c r="N1337" s="26" t="str">
        <f>IF(OR(M1337="",L1337=""),"",(M1337*L1337)/100000)</f>
        <v/>
      </c>
      <c r="O1337" s="27" t="str">
        <f>IF(I1337="","",_xlfn.XLOOKUP(I1337,Lists!$C:$C,Lists!$J:$J))</f>
        <v/>
      </c>
      <c r="P1337" s="27" t="str">
        <f>IF(I1337="","",_xlfn.XLOOKUP(I1337,Lists!$C:$C,Lists!$E:$E))</f>
        <v/>
      </c>
      <c r="Q1337" s="28" t="str">
        <f>IF(OR(A1337="",P1337=""),"",A1337+P1337+1)</f>
        <v/>
      </c>
      <c r="R1337" s="26" t="str">
        <f ca="1">IF(Q1337="","",IF(Q1337&lt;=TODAY(),"Allow","Not Allow"))</f>
        <v/>
      </c>
      <c r="S1337" s="27" t="str">
        <f>IF(I1337="","",_xlfn.XLOOKUP(I1337,Lists!$C:$C,Lists!$I:$I))</f>
        <v/>
      </c>
    </row>
    <row r="1338" spans="3:19" x14ac:dyDescent="0.2">
      <c r="C1338" s="26">
        <f>_xlfn.XLOOKUP(B1338,Lists!B:B,Lists!A:A,"")</f>
        <v>0</v>
      </c>
      <c r="G1338" s="26" t="str">
        <f>IF(OR(E1338="",F1338=""),"",F1338-E1338+1)</f>
        <v/>
      </c>
      <c r="H1338" s="31" t="str">
        <f>IF(D1338="","",IF(OR(D1338="A",D1338="B"),G1338/80,IF(D1338="A&amp;B",G1338/160,"")))</f>
        <v/>
      </c>
      <c r="J1338" s="27" t="str">
        <f>IF(I1338="","",_xlfn.XLOOKUP(I1338,Lists!$C:$C,Lists!$D:$D))</f>
        <v/>
      </c>
      <c r="N1338" s="26" t="str">
        <f>IF(OR(M1338="",L1338=""),"",(M1338*L1338)/100000)</f>
        <v/>
      </c>
      <c r="O1338" s="27" t="str">
        <f>IF(I1338="","",_xlfn.XLOOKUP(I1338,Lists!$C:$C,Lists!$J:$J))</f>
        <v/>
      </c>
      <c r="P1338" s="27" t="str">
        <f>IF(I1338="","",_xlfn.XLOOKUP(I1338,Lists!$C:$C,Lists!$E:$E))</f>
        <v/>
      </c>
      <c r="Q1338" s="28" t="str">
        <f>IF(OR(A1338="",P1338=""),"",A1338+P1338+1)</f>
        <v/>
      </c>
      <c r="R1338" s="26" t="str">
        <f ca="1">IF(Q1338="","",IF(Q1338&lt;=TODAY(),"Allow","Not Allow"))</f>
        <v/>
      </c>
      <c r="S1338" s="27" t="str">
        <f>IF(I1338="","",_xlfn.XLOOKUP(I1338,Lists!$C:$C,Lists!$I:$I))</f>
        <v/>
      </c>
    </row>
    <row r="1339" spans="3:19" x14ac:dyDescent="0.2">
      <c r="C1339" s="26"/>
      <c r="G1339" s="26"/>
      <c r="J1339" s="27"/>
      <c r="N1339" s="26"/>
      <c r="O1339" s="27"/>
      <c r="P1339" s="27"/>
      <c r="Q1339" s="28"/>
      <c r="R1339" s="26"/>
      <c r="S1339" s="27"/>
    </row>
  </sheetData>
  <sheetProtection algorithmName="SHA-512" hashValue="G3yzuTcB9fIEIrslUoA/LrTZVvJ07xGCmP7WG6egPBfahT+MKUlH7msxi339fog55AmORIxjmnKeCm1vA6d6bQ==" saltValue="gOr9ttfhejzdvnAoamsCMg==" spinCount="100000" sheet="1" objects="1" scenarios="1"/>
  <conditionalFormatting sqref="R2:R1048576">
    <cfRule type="expression" dxfId="3" priority="3">
      <formula>R2="Not Allow"</formula>
    </cfRule>
    <cfRule type="expression" dxfId="2" priority="4">
      <formula>R2="Allow"</formula>
    </cfRule>
  </conditionalFormatting>
  <conditionalFormatting sqref="S1:S1048576">
    <cfRule type="containsText" dxfId="1" priority="1" operator="containsText" text="Off-Label">
      <formula>NOT(ISERROR(SEARCH("Off-Label",S1)))</formula>
    </cfRule>
    <cfRule type="containsText" dxfId="0" priority="2" operator="containsText" text="On-Label">
      <formula>NOT(ISERROR(SEARCH("On-Label",S1)))</formula>
    </cfRule>
  </conditionalFormatting>
  <dataValidations xWindow="622" yWindow="323" count="3">
    <dataValidation type="list" allowBlank="1" showInputMessage="1" showErrorMessage="1" sqref="K2:K1048576" xr:uid="{3A367A6B-880A-4811-8FB7-22D179F95475}">
      <formula1>"Spray,Injection,Drench,Fumigation,Bait,Soil Application"</formula1>
    </dataValidation>
    <dataValidation allowBlank="1" showInputMessage="1" showErrorMessage="1" prompt="⚠️ تنبيه الجرعة يجب أن تكون_x000a_  بالملل او بالجرام لكل 100 لتر ماء فقط. لا تُدخل جرعات محسوبة لكل 1000 لتر أو لكل متر مكعب" sqref="L2:L1048576" xr:uid="{98CAE807-60C9-4897-8479-C780ADBF2E75}"/>
    <dataValidation allowBlank="1" showInputMessage="1" showErrorMessage="1" prompt="شهر_يوم_سنة" sqref="A2:A1048576" xr:uid="{57A07731-FB37-4104-BC28-2CD7C7288F7F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22" yWindow="323" count="5">
        <x14:dataValidation type="list" allowBlank="1" showInputMessage="1" showErrorMessage="1" xr:uid="{84F8AB0E-260A-4640-A069-A7F9903A3717}">
          <x14:formula1>
            <xm:f>Lists!$C:$C</xm:f>
          </x14:formula1>
          <xm:sqref>I2:I1048576</xm:sqref>
        </x14:dataValidation>
        <x14:dataValidation type="list" allowBlank="1" showInputMessage="1" showErrorMessage="1" xr:uid="{A998EF02-3079-45D4-AF7E-462C05F3654E}">
          <x14:formula1>
            <xm:f>Lists!$Q:$Q</xm:f>
          </x14:formula1>
          <xm:sqref>D2:D1048576</xm:sqref>
        </x14:dataValidation>
        <x14:dataValidation type="list" allowBlank="1" showInputMessage="1" showErrorMessage="1" xr:uid="{9FD71019-61BD-47EE-ADCB-84E424F56BDB}">
          <x14:formula1>
            <xm:f>Lists!$B:$B</xm:f>
          </x14:formula1>
          <xm:sqref>B2:B1048576</xm:sqref>
        </x14:dataValidation>
        <x14:dataValidation type="list" allowBlank="1" showInputMessage="1" showErrorMessage="1" xr:uid="{D1566C01-B991-45CC-B4EF-D22CCB1343A1}">
          <x14:formula1>
            <xm:f>OFFSET(Lists!$S$1,0,0,_xlfn.XLOOKUP(D2,Lists!$Q$1:$Q$31,Lists!$R$1:$R$31),1)</xm:f>
          </x14:formula1>
          <xm:sqref>E2:E1048576</xm:sqref>
        </x14:dataValidation>
        <x14:dataValidation type="list" allowBlank="1" showInputMessage="1" showErrorMessage="1" xr:uid="{B748AE6C-D673-4F64-AAEB-9174E491614F}">
          <x14:formula1>
            <xm:f>OFFSET(Lists!$S$1,0,0,_xlfn.XLOOKUP(D2,Lists!$Q$1:$Q$31,Lists!$R$1:$R$31),1)</xm:f>
          </x14:formula1>
          <xm:sqref>F2:F1048576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</vt:lpstr>
      <vt:lpstr>IPM2026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wewe erer</dc:creator>
  <cp:lastModifiedBy>wewe erer</cp:lastModifiedBy>
  <dcterms:created xsi:type="dcterms:W3CDTF">2026-05-25T07:04:05Z</dcterms:created>
  <dcterms:modified xsi:type="dcterms:W3CDTF">2026-06-14T13:13:33Z</dcterms:modified>
</cp:coreProperties>
</file>